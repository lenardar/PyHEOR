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_Chemotherapy" sheetId="2" state="visible" r:id="rId2"/>
    <sheet name="Calc_Immuno + Chemo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  <u val="single"/>
    </font>
    <font>
      <i val="1"/>
      <color rgb="00999999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4" fontId="0" fillId="2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&amp; Cross-Validation</t>
        </is>
      </c>
    </row>
    <row r="3">
      <c r="A3" s="2" t="inlineStr">
        <is>
          <t>Excel 公式计算结果</t>
        </is>
      </c>
    </row>
    <row r="4">
      <c r="A4" s="3" t="inlineStr">
        <is>
          <t>Strategy</t>
        </is>
      </c>
      <c r="B4" s="3" t="inlineStr">
        <is>
          <t>Total Cost</t>
        </is>
      </c>
      <c r="C4" s="3" t="inlineStr">
        <is>
          <t>QALYs</t>
        </is>
      </c>
      <c r="D4" s="3" t="inlineStr">
        <is>
          <t>LYs</t>
        </is>
      </c>
    </row>
    <row r="5">
      <c r="A5" t="inlineStr">
        <is>
          <t>Chemotherapy</t>
        </is>
      </c>
      <c r="B5" s="4">
        <f>'Calc_Chemotherapy'!U270</f>
        <v/>
      </c>
      <c r="C5" s="5">
        <f>'Calc_Chemotherapy'!W270</f>
        <v/>
      </c>
      <c r="D5" s="5">
        <f>'Calc_Chemotherapy'!Y270</f>
        <v/>
      </c>
    </row>
    <row r="6">
      <c r="A6" t="inlineStr">
        <is>
          <t>Immuno + Chemo</t>
        </is>
      </c>
      <c r="B6" s="4">
        <f>'Calc_Immuno + Chemo'!U270</f>
        <v/>
      </c>
      <c r="C6" s="5">
        <f>'Calc_Immuno + Chemo'!W270</f>
        <v/>
      </c>
      <c r="D6" s="5">
        <f>'Calc_Immuno + Chemo'!Y270</f>
        <v/>
      </c>
    </row>
    <row r="8">
      <c r="A8" s="2" t="inlineStr">
        <is>
          <t>ICER (Excel 公式)</t>
        </is>
      </c>
    </row>
    <row r="9">
      <c r="A9" s="3" t="inlineStr">
        <is>
          <t>Strategy</t>
        </is>
      </c>
      <c r="B9" s="3" t="inlineStr">
        <is>
          <t>vs</t>
        </is>
      </c>
      <c r="C9" s="3" t="inlineStr">
        <is>
          <t>Inc. Cost</t>
        </is>
      </c>
      <c r="D9" s="3" t="inlineStr">
        <is>
          <t>Inc. QALYs</t>
        </is>
      </c>
      <c r="E9" s="3" t="inlineStr">
        <is>
          <t>ICER / Classification</t>
        </is>
      </c>
    </row>
    <row r="10">
      <c r="A10" t="inlineStr">
        <is>
          <t>Immuno + Chemo</t>
        </is>
      </c>
      <c r="B10" t="inlineStr">
        <is>
          <t>Chemotherapy</t>
        </is>
      </c>
      <c r="C10" s="4">
        <f>B6-B5</f>
        <v/>
      </c>
      <c r="D10" s="5">
        <f>C6-C5</f>
        <v/>
      </c>
      <c r="E10" s="6">
        <f>IF(ABS(D10)&lt;0.0000000001,IF(C10&gt;0.0000000001,"Dominated",IF(C10&lt;-0.0000000001,"Dominant","No difference")),IF(AND(D10&gt;0,C10&lt;=0),"Dominant",IF(AND(D10&lt;0,C10&gt;=0),"Dominated",C10/D10)))</f>
        <v/>
      </c>
    </row>
    <row r="12">
      <c r="A12" s="2" t="inlineStr">
        <is>
          <t>Python 计算结果 (对照)</t>
        </is>
      </c>
    </row>
    <row r="13">
      <c r="A13" s="3" t="inlineStr">
        <is>
          <t>Strategy</t>
        </is>
      </c>
      <c r="B13" s="3" t="inlineStr">
        <is>
          <t>Total Cost</t>
        </is>
      </c>
      <c r="C13" s="3" t="inlineStr">
        <is>
          <t>QALYs</t>
        </is>
      </c>
      <c r="D13" s="3" t="inlineStr">
        <is>
          <t>LYs</t>
        </is>
      </c>
    </row>
    <row r="14">
      <c r="A14" t="inlineStr">
        <is>
          <t>Chemotherapy</t>
        </is>
      </c>
      <c r="B14" s="4" t="n">
        <v>162790.4380870385</v>
      </c>
      <c r="C14" s="5" t="n">
        <v>1.460163194829001</v>
      </c>
      <c r="D14" s="5" t="n">
        <v>2.327736590748711</v>
      </c>
    </row>
    <row r="15">
      <c r="A15" t="inlineStr">
        <is>
          <t>Immuno + Chemo</t>
        </is>
      </c>
      <c r="B15" s="4" t="n">
        <v>326889.2623840644</v>
      </c>
      <c r="C15" s="5" t="n">
        <v>1.955340668384819</v>
      </c>
      <c r="D15" s="5" t="n">
        <v>3.030336929779753</v>
      </c>
    </row>
    <row r="17">
      <c r="A17" s="2" t="inlineStr">
        <is>
          <t>差异 (Excel − Python)</t>
        </is>
      </c>
    </row>
    <row r="18">
      <c r="A18" s="3" t="inlineStr">
        <is>
          <t>Strategy</t>
        </is>
      </c>
      <c r="B18" s="3" t="inlineStr">
        <is>
          <t>Δ Cost</t>
        </is>
      </c>
      <c r="C18" s="3" t="inlineStr">
        <is>
          <t>Δ QALYs</t>
        </is>
      </c>
      <c r="D18" s="3" t="inlineStr">
        <is>
          <t>Δ LYs</t>
        </is>
      </c>
    </row>
    <row r="19">
      <c r="A19" t="inlineStr">
        <is>
          <t>Chemotherapy</t>
        </is>
      </c>
      <c r="B19" s="5">
        <f>B5-B14</f>
        <v/>
      </c>
      <c r="C19" s="5">
        <f>C5-C14</f>
        <v/>
      </c>
      <c r="D19" s="5">
        <f>D5-D14</f>
        <v/>
      </c>
    </row>
    <row r="20">
      <c r="A20" t="inlineStr">
        <is>
          <t>Immuno + Chemo</t>
        </is>
      </c>
      <c r="B20" s="5">
        <f>B6-B15</f>
        <v/>
      </c>
      <c r="C20" s="5">
        <f>C6-C15</f>
        <v/>
      </c>
      <c r="D20" s="5">
        <f>D6-D15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Chemotherapy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1.25</v>
      </c>
    </row>
    <row r="13">
      <c r="A13" t="inlineStr">
        <is>
          <t>OS / Exponential rate</t>
        </is>
      </c>
      <c r="B13" s="7" t="n">
        <v>0.4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36000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Immuno + Chemo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0.7675000000000001</v>
      </c>
    </row>
    <row r="13">
      <c r="A13" t="inlineStr">
        <is>
          <t>OS / Exponential rate</t>
        </is>
      </c>
      <c r="B13" s="7" t="n">
        <v>0.3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132000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2000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2026-09-14T05:51:04Z</dcterms:created>
  <dcterms:modified xsi:type="dcterms:W3CDTF">2026-09-14T05:51:04Z</dcterms:modified>
</cp:coreProperties>
</file>