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_Chemotherapy" sheetId="2" state="visible" r:id="rId2"/>
    <sheet name="Calc_Immuno + Chemo" sheetId="3" state="visible" r:id="rId3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00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  <u val="single"/>
    </font>
    <font>
      <i val="1"/>
      <color rgb="00999999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4" fontId="0" fillId="0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4" fontId="0" fillId="2" borderId="0" pivotButton="0" quotePrefix="0" xfId="0"/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Summary &amp; Cross-Validation</t>
        </is>
      </c>
    </row>
    <row r="3">
      <c r="A3" s="2" t="inlineStr">
        <is>
          <t>Excel 公式计算结果</t>
        </is>
      </c>
    </row>
    <row r="4">
      <c r="A4" s="3" t="inlineStr">
        <is>
          <t>Strategy</t>
        </is>
      </c>
      <c r="B4" s="3" t="inlineStr">
        <is>
          <t>Total Cost</t>
        </is>
      </c>
      <c r="C4" s="3" t="inlineStr">
        <is>
          <t>QALYs</t>
        </is>
      </c>
      <c r="D4" s="3" t="inlineStr">
        <is>
          <t>LYs</t>
        </is>
      </c>
    </row>
    <row r="5">
      <c r="A5" t="inlineStr">
        <is>
          <t>Chemotherapy</t>
        </is>
      </c>
      <c r="B5" s="4">
        <f>'Calc_Chemotherapy'!U270</f>
        <v/>
      </c>
      <c r="C5" s="5">
        <f>'Calc_Chemotherapy'!W270</f>
        <v/>
      </c>
      <c r="D5" s="5">
        <f>'Calc_Chemotherapy'!Y270</f>
        <v/>
      </c>
    </row>
    <row r="6">
      <c r="A6" t="inlineStr">
        <is>
          <t>Immuno + Chemo</t>
        </is>
      </c>
      <c r="B6" s="4">
        <f>'Calc_Immuno + Chemo'!U270</f>
        <v/>
      </c>
      <c r="C6" s="5">
        <f>'Calc_Immuno + Chemo'!W270</f>
        <v/>
      </c>
      <c r="D6" s="5">
        <f>'Calc_Immuno + Chemo'!Y270</f>
        <v/>
      </c>
    </row>
    <row r="8">
      <c r="A8" s="2" t="inlineStr">
        <is>
          <t>ICER (Excel 公式)</t>
        </is>
      </c>
    </row>
    <row r="9">
      <c r="A9" s="3" t="inlineStr">
        <is>
          <t>Strategy</t>
        </is>
      </c>
      <c r="B9" s="3" t="inlineStr">
        <is>
          <t>vs</t>
        </is>
      </c>
      <c r="C9" s="3" t="inlineStr">
        <is>
          <t>Inc. Cost</t>
        </is>
      </c>
      <c r="D9" s="3" t="inlineStr">
        <is>
          <t>Inc. QALYs</t>
        </is>
      </c>
      <c r="E9" s="3" t="inlineStr">
        <is>
          <t>ICER / Classification</t>
        </is>
      </c>
    </row>
    <row r="10">
      <c r="A10" t="inlineStr">
        <is>
          <t>Immuno + Chemo</t>
        </is>
      </c>
      <c r="B10" t="inlineStr">
        <is>
          <t>Chemotherapy</t>
        </is>
      </c>
      <c r="C10" s="4">
        <f>B6-B5</f>
        <v/>
      </c>
      <c r="D10" s="5">
        <f>C6-C5</f>
        <v/>
      </c>
      <c r="E10" s="6">
        <f>IF(ABS(D10)&lt;0.0000000001,IF(C10&gt;0.0000000001,"Dominated",IF(C10&lt;-0.0000000001,"Dominant","No difference")),IF(AND(D10&gt;0,C10&lt;=0),"Dominant",IF(AND(D10&lt;0,C10&gt;=0),"Dominated",C10/D10)))</f>
        <v/>
      </c>
    </row>
    <row r="12">
      <c r="A12" s="2" t="inlineStr">
        <is>
          <t>Python 计算结果 (对照)</t>
        </is>
      </c>
    </row>
    <row r="13">
      <c r="A13" s="3" t="inlineStr">
        <is>
          <t>Strategy</t>
        </is>
      </c>
      <c r="B13" s="3" t="inlineStr">
        <is>
          <t>Total Cost</t>
        </is>
      </c>
      <c r="C13" s="3" t="inlineStr">
        <is>
          <t>QALYs</t>
        </is>
      </c>
      <c r="D13" s="3" t="inlineStr">
        <is>
          <t>LYs</t>
        </is>
      </c>
    </row>
    <row r="14">
      <c r="A14" t="inlineStr">
        <is>
          <t>Chemotherapy</t>
        </is>
      </c>
      <c r="B14" s="4" t="n">
        <v>162790.4380870385</v>
      </c>
      <c r="C14" s="5" t="n">
        <v>1.460163194829001</v>
      </c>
      <c r="D14" s="5" t="n">
        <v>2.327736590748711</v>
      </c>
    </row>
    <row r="15">
      <c r="A15" t="inlineStr">
        <is>
          <t>Immuno + Chemo</t>
        </is>
      </c>
      <c r="B15" s="4" t="n">
        <v>326889.2623840644</v>
      </c>
      <c r="C15" s="5" t="n">
        <v>1.955340668384819</v>
      </c>
      <c r="D15" s="5" t="n">
        <v>3.030336929779753</v>
      </c>
    </row>
    <row r="17">
      <c r="A17" s="2" t="inlineStr">
        <is>
          <t>差异 (Excel − Python)</t>
        </is>
      </c>
    </row>
    <row r="18">
      <c r="A18" s="3" t="inlineStr">
        <is>
          <t>Strategy</t>
        </is>
      </c>
      <c r="B18" s="3" t="inlineStr">
        <is>
          <t>Δ Cost</t>
        </is>
      </c>
      <c r="C18" s="3" t="inlineStr">
        <is>
          <t>Δ QALYs</t>
        </is>
      </c>
      <c r="D18" s="3" t="inlineStr">
        <is>
          <t>Δ LYs</t>
        </is>
      </c>
    </row>
    <row r="19">
      <c r="A19" t="inlineStr">
        <is>
          <t>Chemotherapy</t>
        </is>
      </c>
      <c r="B19" s="5">
        <f>B5-B14</f>
        <v/>
      </c>
      <c r="C19" s="5">
        <f>C5-C14</f>
        <v/>
      </c>
      <c r="D19" s="5">
        <f>D5-D14</f>
        <v/>
      </c>
    </row>
    <row r="20">
      <c r="A20" t="inlineStr">
        <is>
          <t>Immuno + Chemo</t>
        </is>
      </c>
      <c r="B20" s="5">
        <f>B6-B15</f>
        <v/>
      </c>
      <c r="C20" s="5">
        <f>C6-C15</f>
        <v/>
      </c>
      <c r="D20" s="5">
        <f>D6-D15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70"/>
  <sheetViews>
    <sheetView workbookViewId="0">
      <pane xSplit="2" ySplit="28" topLeftCell="C2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0" customWidth="1" min="2" max="2"/>
  </cols>
  <sheetData>
    <row r="1">
      <c r="A1" s="1" t="inlineStr">
        <is>
          <t>PyHEOR PSM 验证模型 — Chemotherapy</t>
        </is>
      </c>
    </row>
    <row r="3">
      <c r="A3" s="2" t="inlineStr">
        <is>
          <t>模型设置</t>
        </is>
      </c>
    </row>
    <row r="4">
      <c r="A4" t="inlineStr">
        <is>
          <t>Discount Rate (Costs)</t>
        </is>
      </c>
      <c r="B4" s="7" t="n">
        <v>0.03</v>
      </c>
    </row>
    <row r="5">
      <c r="A5" t="inlineStr">
        <is>
          <t>Discount Rate (QALYs)</t>
        </is>
      </c>
      <c r="B5" s="7" t="n">
        <v>0.03</v>
      </c>
    </row>
    <row r="6">
      <c r="A6" t="inlineStr">
        <is>
          <t>Cycle Length (years)</t>
        </is>
      </c>
      <c r="B6" s="7" t="n">
        <v>0.08333333333333333</v>
      </c>
    </row>
    <row r="7">
      <c r="A7" t="inlineStr">
        <is>
          <t>Discount Convention [fixed; regenerate workbook]</t>
        </is>
      </c>
      <c r="B7" s="8" t="inlineStr">
        <is>
          <t>discrete</t>
        </is>
      </c>
    </row>
    <row r="8">
      <c r="A8" t="inlineStr">
        <is>
          <t>N Cycles [fixed; regenerate workbook]</t>
        </is>
      </c>
      <c r="B8" s="8" t="n">
        <v>240</v>
      </c>
    </row>
    <row r="9">
      <c r="A9" t="inlineStr">
        <is>
          <t>Half-cycle Correction [fixed; regenerate workbook]</t>
        </is>
      </c>
      <c r="B9" s="8" t="inlineStr">
        <is>
          <t>trapezoidal</t>
        </is>
      </c>
    </row>
    <row r="11">
      <c r="A11" s="2" t="inlineStr">
        <is>
          <t>生存曲线参数</t>
        </is>
      </c>
    </row>
    <row r="12">
      <c r="A12" t="inlineStr">
        <is>
          <t>PFS / Exponential rate</t>
        </is>
      </c>
      <c r="B12" s="7" t="n">
        <v>1.25</v>
      </c>
    </row>
    <row r="13">
      <c r="A13" t="inlineStr">
        <is>
          <t>OS / Exponential rate</t>
        </is>
      </c>
      <c r="B13" s="7" t="n">
        <v>0.4</v>
      </c>
    </row>
    <row r="15">
      <c r="A15" s="2" t="inlineStr">
        <is>
          <t>状态费用 (年度费率)</t>
        </is>
      </c>
    </row>
    <row r="16">
      <c r="B16" s="3" t="inlineStr">
        <is>
          <t>PFS</t>
        </is>
      </c>
      <c r="C16" s="3" t="inlineStr">
        <is>
          <t>Progressed</t>
        </is>
      </c>
      <c r="D16" s="3" t="inlineStr">
        <is>
          <t>Dead</t>
        </is>
      </c>
    </row>
    <row r="17">
      <c r="A17" t="inlineStr">
        <is>
          <t>drug</t>
        </is>
      </c>
      <c r="B17" s="9" t="n">
        <v>36000</v>
      </c>
      <c r="C17" s="9" t="n">
        <v>0</v>
      </c>
      <c r="D17" s="9" t="n">
        <v>0</v>
      </c>
    </row>
    <row r="18">
      <c r="A18" t="inlineStr">
        <is>
          <t>prog_care</t>
        </is>
      </c>
      <c r="B18" s="9" t="n">
        <v>0</v>
      </c>
      <c r="C18" s="9" t="n">
        <v>60000</v>
      </c>
      <c r="D18" s="9" t="n">
        <v>0</v>
      </c>
    </row>
    <row r="19">
      <c r="A19" t="inlineStr">
        <is>
          <t>bsc</t>
        </is>
      </c>
      <c r="B19" s="9" t="n">
        <v>18000</v>
      </c>
      <c r="C19" s="9" t="n">
        <v>18000</v>
      </c>
      <c r="D19" s="9" t="n">
        <v>0</v>
      </c>
    </row>
    <row r="20">
      <c r="A20" t="inlineStr">
        <is>
          <t>ae</t>
        </is>
      </c>
      <c r="B20" s="9" t="n">
        <v>0</v>
      </c>
      <c r="C20" s="9" t="n">
        <v>0</v>
      </c>
      <c r="D20" s="9" t="n">
        <v>0</v>
      </c>
    </row>
    <row r="22">
      <c r="A22" s="2" t="inlineStr">
        <is>
          <t>效用权重</t>
        </is>
      </c>
    </row>
    <row r="23">
      <c r="B23" s="3" t="inlineStr">
        <is>
          <t>PFS</t>
        </is>
      </c>
      <c r="C23" s="3" t="inlineStr">
        <is>
          <t>Progressed</t>
        </is>
      </c>
      <c r="D23" s="3" t="inlineStr">
        <is>
          <t>Dead</t>
        </is>
      </c>
    </row>
    <row r="24">
      <c r="A24" t="inlineStr">
        <is>
          <t>Utility</t>
        </is>
      </c>
      <c r="B24" s="7" t="n">
        <v>0.78</v>
      </c>
      <c r="C24" s="7" t="n">
        <v>0.55</v>
      </c>
      <c r="D24" s="7" t="n">
        <v>0</v>
      </c>
    </row>
    <row r="25">
      <c r="A25" t="inlineStr">
        <is>
          <t>Alive</t>
        </is>
      </c>
      <c r="B25" s="7" t="n">
        <v>1</v>
      </c>
      <c r="C25" s="7" t="n">
        <v>1</v>
      </c>
      <c r="D25" s="7" t="n">
        <v>0</v>
      </c>
    </row>
    <row r="27">
      <c r="A27" s="2" t="inlineStr">
        <is>
          <t>计算区 (标准参数曲线为公式；其余生存率为明示外部输入)</t>
        </is>
      </c>
    </row>
    <row r="28">
      <c r="A28" s="3" t="inlineStr">
        <is>
          <t>Cycle</t>
        </is>
      </c>
      <c r="B28" s="3" t="inlineStr">
        <is>
          <t>Time(yr)</t>
        </is>
      </c>
      <c r="C28" s="3" t="inlineStr">
        <is>
          <t>S(PFS)</t>
        </is>
      </c>
      <c r="D28" s="3" t="inlineStr">
        <is>
          <t>S(OS)</t>
        </is>
      </c>
      <c r="E28" s="3" t="inlineStr">
        <is>
          <t>P(PFS)</t>
        </is>
      </c>
      <c r="F28" s="3" t="inlineStr">
        <is>
          <t>P(Progressed)</t>
        </is>
      </c>
      <c r="G28" s="3" t="inlineStr">
        <is>
          <t>P(Dead)</t>
        </is>
      </c>
      <c r="H28" s="3" t="inlineStr">
        <is>
          <t>RowSum</t>
        </is>
      </c>
      <c r="I28" s="3" t="inlineStr">
        <is>
          <t>Validation</t>
        </is>
      </c>
      <c r="J28" s="3" t="inlineStr">
        <is>
          <t>DF(cost)</t>
        </is>
      </c>
      <c r="K28" s="3" t="inlineStr">
        <is>
          <t>DF(qaly)</t>
        </is>
      </c>
      <c r="L28" s="3" t="inlineStr">
        <is>
          <t>HCC</t>
        </is>
      </c>
      <c r="M28" s="3" t="inlineStr">
        <is>
          <t>drug(raw)</t>
        </is>
      </c>
      <c r="N28" s="3" t="inlineStr">
        <is>
          <t>drug(disc)</t>
        </is>
      </c>
      <c r="O28" s="3" t="inlineStr">
        <is>
          <t>prog_care(raw)</t>
        </is>
      </c>
      <c r="P28" s="3" t="inlineStr">
        <is>
          <t>prog_care(disc)</t>
        </is>
      </c>
      <c r="Q28" s="3" t="inlineStr">
        <is>
          <t>bsc(raw)</t>
        </is>
      </c>
      <c r="R28" s="3" t="inlineStr">
        <is>
          <t>bsc(disc)</t>
        </is>
      </c>
      <c r="S28" s="3" t="inlineStr">
        <is>
          <t>ae(raw)</t>
        </is>
      </c>
      <c r="T28" s="3" t="inlineStr">
        <is>
          <t>ae(disc)</t>
        </is>
      </c>
      <c r="U28" s="3" t="inlineStr">
        <is>
          <t>TotalCost(disc)</t>
        </is>
      </c>
      <c r="V28" s="3" t="inlineStr">
        <is>
          <t>QALY(raw)</t>
        </is>
      </c>
      <c r="W28" s="3" t="inlineStr">
        <is>
          <t>QALY(disc)</t>
        </is>
      </c>
      <c r="X28" s="3" t="inlineStr">
        <is>
          <t>LY(raw)</t>
        </is>
      </c>
      <c r="Y28" s="3" t="inlineStr">
        <is>
          <t>LY(disc)</t>
        </is>
      </c>
    </row>
    <row r="29">
      <c r="A29" t="n">
        <v>0</v>
      </c>
      <c r="B29">
        <f>A29*$B$6</f>
        <v/>
      </c>
      <c r="C29" s="5">
        <f>EXP(-$B$12*B29)</f>
        <v/>
      </c>
      <c r="D29" s="5">
        <f>EXP(-$B$13*B29)</f>
        <v/>
      </c>
      <c r="E29">
        <f>C29</f>
        <v/>
      </c>
      <c r="F29">
        <f>D29-C29</f>
        <v/>
      </c>
      <c r="G29">
        <f>1-D29</f>
        <v/>
      </c>
      <c r="H29">
        <f>SUM(E29:G29)</f>
        <v/>
      </c>
      <c r="I29">
        <f>IF(AND(MIN(C29:D29)&gt;=0,MAX(C29:D29)&lt;=1,MIN(E29:G29)&gt;=-1E-10,ABS(H29-1)&lt;1E-8),"OK","ERROR")</f>
        <v/>
      </c>
      <c r="J29">
        <f>1/(1+$B$4)^(B29+$B$6/2)</f>
        <v/>
      </c>
      <c r="K29">
        <f>1/(1+$B$5)^(B29+$B$6/2)</f>
        <v/>
      </c>
      <c r="L29" t="inlineStr">
        <is>
          <t>Average endpoints</t>
        </is>
      </c>
      <c r="M29" s="4">
        <f>SUMPRODUCT((E29:G29+E30:G30)/2,$B$17:$D$17)*$B$6</f>
        <v/>
      </c>
      <c r="N29" s="4">
        <f>M29*J29</f>
        <v/>
      </c>
      <c r="O29" s="4">
        <f>SUMPRODUCT((E29:G29+E30:G30)/2,$B$18:$D$18)*$B$6</f>
        <v/>
      </c>
      <c r="P29" s="4">
        <f>O29*J29</f>
        <v/>
      </c>
      <c r="Q29" s="4">
        <f>SUMPRODUCT((E29:G29+E30:G30)/2,$B$19:$D$19)*$B$6</f>
        <v/>
      </c>
      <c r="R29" s="4">
        <f>Q29*J29</f>
        <v/>
      </c>
      <c r="S29" s="4">
        <f>IF(A29=0,SUMPRODUCT((E29:G29+E30:G30)/2,$B$20:$D$20)*$B$6,0)</f>
        <v/>
      </c>
      <c r="T29" s="4">
        <f>S29*J29</f>
        <v/>
      </c>
      <c r="U29" s="4">
        <f>N29+P29+R29+T29</f>
        <v/>
      </c>
      <c r="V29">
        <f>SUMPRODUCT((E29:G29+E30:G30)/2,$B$24:$D$24)*$B$6</f>
        <v/>
      </c>
      <c r="W29" s="5">
        <f>V29*K29</f>
        <v/>
      </c>
      <c r="X29">
        <f>SUMPRODUCT((E29:G29+E30:G30)/2,$B$25:$D$25)*$B$6</f>
        <v/>
      </c>
      <c r="Y29">
        <f>X29*K29</f>
        <v/>
      </c>
    </row>
    <row r="30">
      <c r="A30" t="n">
        <v>1</v>
      </c>
      <c r="B30">
        <f>A30*$B$6</f>
        <v/>
      </c>
      <c r="C30" s="5">
        <f>EXP(-$B$12*B30)</f>
        <v/>
      </c>
      <c r="D30" s="5">
        <f>EXP(-$B$13*B30)</f>
        <v/>
      </c>
      <c r="E30">
        <f>C30</f>
        <v/>
      </c>
      <c r="F30">
        <f>D30-C30</f>
        <v/>
      </c>
      <c r="G30">
        <f>1-D30</f>
        <v/>
      </c>
      <c r="H30">
        <f>SUM(E30:G30)</f>
        <v/>
      </c>
      <c r="I30">
        <f>IF(AND(MIN(C30:D30)&gt;=0,MAX(C30:D30)&lt;=1,MIN(E30:G30)&gt;=-1E-10,ABS(H30-1)&lt;1E-8,C30&lt;=C29+1E-10,D30&lt;=D29+1E-10),"OK","ERROR")</f>
        <v/>
      </c>
      <c r="J30">
        <f>1/(1+$B$4)^(B30+$B$6/2)</f>
        <v/>
      </c>
      <c r="K30">
        <f>1/(1+$B$5)^(B30+$B$6/2)</f>
        <v/>
      </c>
      <c r="L30" t="inlineStr">
        <is>
          <t>Average endpoints</t>
        </is>
      </c>
      <c r="M30" s="4">
        <f>SUMPRODUCT((E30:G30+E31:G31)/2,$B$17:$D$17)*$B$6</f>
        <v/>
      </c>
      <c r="N30" s="4">
        <f>M30*J30</f>
        <v/>
      </c>
      <c r="O30" s="4">
        <f>SUMPRODUCT((E30:G30+E31:G31)/2,$B$18:$D$18)*$B$6</f>
        <v/>
      </c>
      <c r="P30" s="4">
        <f>O30*J30</f>
        <v/>
      </c>
      <c r="Q30" s="4">
        <f>SUMPRODUCT((E30:G30+E31:G31)/2,$B$19:$D$19)*$B$6</f>
        <v/>
      </c>
      <c r="R30" s="4">
        <f>Q30*J30</f>
        <v/>
      </c>
      <c r="S30" s="4">
        <f>IF(A30=0,SUMPRODUCT((E30:G30+E31:G31)/2,$B$20:$D$20)*$B$6,0)</f>
        <v/>
      </c>
      <c r="T30" s="4">
        <f>S30*J30</f>
        <v/>
      </c>
      <c r="U30" s="4">
        <f>N30+P30+R30+T30</f>
        <v/>
      </c>
      <c r="V30">
        <f>SUMPRODUCT((E30:G30+E31:G31)/2,$B$24:$D$24)*$B$6</f>
        <v/>
      </c>
      <c r="W30" s="5">
        <f>V30*K30</f>
        <v/>
      </c>
      <c r="X30">
        <f>SUMPRODUCT((E30:G30+E31:G31)/2,$B$25:$D$25)*$B$6</f>
        <v/>
      </c>
      <c r="Y30">
        <f>X30*K30</f>
        <v/>
      </c>
    </row>
    <row r="31">
      <c r="A31" t="n">
        <v>2</v>
      </c>
      <c r="B31">
        <f>A31*$B$6</f>
        <v/>
      </c>
      <c r="C31" s="5">
        <f>EXP(-$B$12*B31)</f>
        <v/>
      </c>
      <c r="D31" s="5">
        <f>EXP(-$B$13*B31)</f>
        <v/>
      </c>
      <c r="E31">
        <f>C31</f>
        <v/>
      </c>
      <c r="F31">
        <f>D31-C31</f>
        <v/>
      </c>
      <c r="G31">
        <f>1-D31</f>
        <v/>
      </c>
      <c r="H31">
        <f>SUM(E31:G31)</f>
        <v/>
      </c>
      <c r="I31">
        <f>IF(AND(MIN(C31:D31)&gt;=0,MAX(C31:D31)&lt;=1,MIN(E31:G31)&gt;=-1E-10,ABS(H31-1)&lt;1E-8,C31&lt;=C30+1E-10,D31&lt;=D30+1E-10),"OK","ERROR")</f>
        <v/>
      </c>
      <c r="J31">
        <f>1/(1+$B$4)^(B31+$B$6/2)</f>
        <v/>
      </c>
      <c r="K31">
        <f>1/(1+$B$5)^(B31+$B$6/2)</f>
        <v/>
      </c>
      <c r="L31" t="inlineStr">
        <is>
          <t>Average endpoints</t>
        </is>
      </c>
      <c r="M31" s="4">
        <f>SUMPRODUCT((E31:G31+E32:G32)/2,$B$17:$D$17)*$B$6</f>
        <v/>
      </c>
      <c r="N31" s="4">
        <f>M31*J31</f>
        <v/>
      </c>
      <c r="O31" s="4">
        <f>SUMPRODUCT((E31:G31+E32:G32)/2,$B$18:$D$18)*$B$6</f>
        <v/>
      </c>
      <c r="P31" s="4">
        <f>O31*J31</f>
        <v/>
      </c>
      <c r="Q31" s="4">
        <f>SUMPRODUCT((E31:G31+E32:G32)/2,$B$19:$D$19)*$B$6</f>
        <v/>
      </c>
      <c r="R31" s="4">
        <f>Q31*J31</f>
        <v/>
      </c>
      <c r="S31" s="4">
        <f>IF(A31=0,SUMPRODUCT((E31:G31+E32:G32)/2,$B$20:$D$20)*$B$6,0)</f>
        <v/>
      </c>
      <c r="T31" s="4">
        <f>S31*J31</f>
        <v/>
      </c>
      <c r="U31" s="4">
        <f>N31+P31+R31+T31</f>
        <v/>
      </c>
      <c r="V31">
        <f>SUMPRODUCT((E31:G31+E32:G32)/2,$B$24:$D$24)*$B$6</f>
        <v/>
      </c>
      <c r="W31" s="5">
        <f>V31*K31</f>
        <v/>
      </c>
      <c r="X31">
        <f>SUMPRODUCT((E31:G31+E32:G32)/2,$B$25:$D$25)*$B$6</f>
        <v/>
      </c>
      <c r="Y31">
        <f>X31*K31</f>
        <v/>
      </c>
    </row>
    <row r="32">
      <c r="A32" t="n">
        <v>3</v>
      </c>
      <c r="B32">
        <f>A32*$B$6</f>
        <v/>
      </c>
      <c r="C32" s="5">
        <f>EXP(-$B$12*B32)</f>
        <v/>
      </c>
      <c r="D32" s="5">
        <f>EXP(-$B$13*B32)</f>
        <v/>
      </c>
      <c r="E32">
        <f>C32</f>
        <v/>
      </c>
      <c r="F32">
        <f>D32-C32</f>
        <v/>
      </c>
      <c r="G32">
        <f>1-D32</f>
        <v/>
      </c>
      <c r="H32">
        <f>SUM(E32:G32)</f>
        <v/>
      </c>
      <c r="I32">
        <f>IF(AND(MIN(C32:D32)&gt;=0,MAX(C32:D32)&lt;=1,MIN(E32:G32)&gt;=-1E-10,ABS(H32-1)&lt;1E-8,C32&lt;=C31+1E-10,D32&lt;=D31+1E-10),"OK","ERROR")</f>
        <v/>
      </c>
      <c r="J32">
        <f>1/(1+$B$4)^(B32+$B$6/2)</f>
        <v/>
      </c>
      <c r="K32">
        <f>1/(1+$B$5)^(B32+$B$6/2)</f>
        <v/>
      </c>
      <c r="L32" t="inlineStr">
        <is>
          <t>Average endpoints</t>
        </is>
      </c>
      <c r="M32" s="4">
        <f>SUMPRODUCT((E32:G32+E33:G33)/2,$B$17:$D$17)*$B$6</f>
        <v/>
      </c>
      <c r="N32" s="4">
        <f>M32*J32</f>
        <v/>
      </c>
      <c r="O32" s="4">
        <f>SUMPRODUCT((E32:G32+E33:G33)/2,$B$18:$D$18)*$B$6</f>
        <v/>
      </c>
      <c r="P32" s="4">
        <f>O32*J32</f>
        <v/>
      </c>
      <c r="Q32" s="4">
        <f>SUMPRODUCT((E32:G32+E33:G33)/2,$B$19:$D$19)*$B$6</f>
        <v/>
      </c>
      <c r="R32" s="4">
        <f>Q32*J32</f>
        <v/>
      </c>
      <c r="S32" s="4">
        <f>IF(A32=0,SUMPRODUCT((E32:G32+E33:G33)/2,$B$20:$D$20)*$B$6,0)</f>
        <v/>
      </c>
      <c r="T32" s="4">
        <f>S32*J32</f>
        <v/>
      </c>
      <c r="U32" s="4">
        <f>N32+P32+R32+T32</f>
        <v/>
      </c>
      <c r="V32">
        <f>SUMPRODUCT((E32:G32+E33:G33)/2,$B$24:$D$24)*$B$6</f>
        <v/>
      </c>
      <c r="W32" s="5">
        <f>V32*K32</f>
        <v/>
      </c>
      <c r="X32">
        <f>SUMPRODUCT((E32:G32+E33:G33)/2,$B$25:$D$25)*$B$6</f>
        <v/>
      </c>
      <c r="Y32">
        <f>X32*K32</f>
        <v/>
      </c>
    </row>
    <row r="33">
      <c r="A33" t="n">
        <v>4</v>
      </c>
      <c r="B33">
        <f>A33*$B$6</f>
        <v/>
      </c>
      <c r="C33" s="5">
        <f>EXP(-$B$12*B33)</f>
        <v/>
      </c>
      <c r="D33" s="5">
        <f>EXP(-$B$13*B33)</f>
        <v/>
      </c>
      <c r="E33">
        <f>C33</f>
        <v/>
      </c>
      <c r="F33">
        <f>D33-C33</f>
        <v/>
      </c>
      <c r="G33">
        <f>1-D33</f>
        <v/>
      </c>
      <c r="H33">
        <f>SUM(E33:G33)</f>
        <v/>
      </c>
      <c r="I33">
        <f>IF(AND(MIN(C33:D33)&gt;=0,MAX(C33:D33)&lt;=1,MIN(E33:G33)&gt;=-1E-10,ABS(H33-1)&lt;1E-8,C33&lt;=C32+1E-10,D33&lt;=D32+1E-10),"OK","ERROR")</f>
        <v/>
      </c>
      <c r="J33">
        <f>1/(1+$B$4)^(B33+$B$6/2)</f>
        <v/>
      </c>
      <c r="K33">
        <f>1/(1+$B$5)^(B33+$B$6/2)</f>
        <v/>
      </c>
      <c r="L33" t="inlineStr">
        <is>
          <t>Average endpoints</t>
        </is>
      </c>
      <c r="M33" s="4">
        <f>SUMPRODUCT((E33:G33+E34:G34)/2,$B$17:$D$17)*$B$6</f>
        <v/>
      </c>
      <c r="N33" s="4">
        <f>M33*J33</f>
        <v/>
      </c>
      <c r="O33" s="4">
        <f>SUMPRODUCT((E33:G33+E34:G34)/2,$B$18:$D$18)*$B$6</f>
        <v/>
      </c>
      <c r="P33" s="4">
        <f>O33*J33</f>
        <v/>
      </c>
      <c r="Q33" s="4">
        <f>SUMPRODUCT((E33:G33+E34:G34)/2,$B$19:$D$19)*$B$6</f>
        <v/>
      </c>
      <c r="R33" s="4">
        <f>Q33*J33</f>
        <v/>
      </c>
      <c r="S33" s="4">
        <f>IF(A33=0,SUMPRODUCT((E33:G33+E34:G34)/2,$B$20:$D$20)*$B$6,0)</f>
        <v/>
      </c>
      <c r="T33" s="4">
        <f>S33*J33</f>
        <v/>
      </c>
      <c r="U33" s="4">
        <f>N33+P33+R33+T33</f>
        <v/>
      </c>
      <c r="V33">
        <f>SUMPRODUCT((E33:G33+E34:G34)/2,$B$24:$D$24)*$B$6</f>
        <v/>
      </c>
      <c r="W33" s="5">
        <f>V33*K33</f>
        <v/>
      </c>
      <c r="X33">
        <f>SUMPRODUCT((E33:G33+E34:G34)/2,$B$25:$D$25)*$B$6</f>
        <v/>
      </c>
      <c r="Y33">
        <f>X33*K33</f>
        <v/>
      </c>
    </row>
    <row r="34">
      <c r="A34" t="n">
        <v>5</v>
      </c>
      <c r="B34">
        <f>A34*$B$6</f>
        <v/>
      </c>
      <c r="C34" s="5">
        <f>EXP(-$B$12*B34)</f>
        <v/>
      </c>
      <c r="D34" s="5">
        <f>EXP(-$B$13*B34)</f>
        <v/>
      </c>
      <c r="E34">
        <f>C34</f>
        <v/>
      </c>
      <c r="F34">
        <f>D34-C34</f>
        <v/>
      </c>
      <c r="G34">
        <f>1-D34</f>
        <v/>
      </c>
      <c r="H34">
        <f>SUM(E34:G34)</f>
        <v/>
      </c>
      <c r="I34">
        <f>IF(AND(MIN(C34:D34)&gt;=0,MAX(C34:D34)&lt;=1,MIN(E34:G34)&gt;=-1E-10,ABS(H34-1)&lt;1E-8,C34&lt;=C33+1E-10,D34&lt;=D33+1E-10),"OK","ERROR")</f>
        <v/>
      </c>
      <c r="J34">
        <f>1/(1+$B$4)^(B34+$B$6/2)</f>
        <v/>
      </c>
      <c r="K34">
        <f>1/(1+$B$5)^(B34+$B$6/2)</f>
        <v/>
      </c>
      <c r="L34" t="inlineStr">
        <is>
          <t>Average endpoints</t>
        </is>
      </c>
      <c r="M34" s="4">
        <f>SUMPRODUCT((E34:G34+E35:G35)/2,$B$17:$D$17)*$B$6</f>
        <v/>
      </c>
      <c r="N34" s="4">
        <f>M34*J34</f>
        <v/>
      </c>
      <c r="O34" s="4">
        <f>SUMPRODUCT((E34:G34+E35:G35)/2,$B$18:$D$18)*$B$6</f>
        <v/>
      </c>
      <c r="P34" s="4">
        <f>O34*J34</f>
        <v/>
      </c>
      <c r="Q34" s="4">
        <f>SUMPRODUCT((E34:G34+E35:G35)/2,$B$19:$D$19)*$B$6</f>
        <v/>
      </c>
      <c r="R34" s="4">
        <f>Q34*J34</f>
        <v/>
      </c>
      <c r="S34" s="4">
        <f>IF(A34=0,SUMPRODUCT((E34:G34+E35:G35)/2,$B$20:$D$20)*$B$6,0)</f>
        <v/>
      </c>
      <c r="T34" s="4">
        <f>S34*J34</f>
        <v/>
      </c>
      <c r="U34" s="4">
        <f>N34+P34+R34+T34</f>
        <v/>
      </c>
      <c r="V34">
        <f>SUMPRODUCT((E34:G34+E35:G35)/2,$B$24:$D$24)*$B$6</f>
        <v/>
      </c>
      <c r="W34" s="5">
        <f>V34*K34</f>
        <v/>
      </c>
      <c r="X34">
        <f>SUMPRODUCT((E34:G34+E35:G35)/2,$B$25:$D$25)*$B$6</f>
        <v/>
      </c>
      <c r="Y34">
        <f>X34*K34</f>
        <v/>
      </c>
    </row>
    <row r="35">
      <c r="A35" t="n">
        <v>6</v>
      </c>
      <c r="B35">
        <f>A35*$B$6</f>
        <v/>
      </c>
      <c r="C35" s="5">
        <f>EXP(-$B$12*B35)</f>
        <v/>
      </c>
      <c r="D35" s="5">
        <f>EXP(-$B$13*B35)</f>
        <v/>
      </c>
      <c r="E35">
        <f>C35</f>
        <v/>
      </c>
      <c r="F35">
        <f>D35-C35</f>
        <v/>
      </c>
      <c r="G35">
        <f>1-D35</f>
        <v/>
      </c>
      <c r="H35">
        <f>SUM(E35:G35)</f>
        <v/>
      </c>
      <c r="I35">
        <f>IF(AND(MIN(C35:D35)&gt;=0,MAX(C35:D35)&lt;=1,MIN(E35:G35)&gt;=-1E-10,ABS(H35-1)&lt;1E-8,C35&lt;=C34+1E-10,D35&lt;=D34+1E-10),"OK","ERROR")</f>
        <v/>
      </c>
      <c r="J35">
        <f>1/(1+$B$4)^(B35+$B$6/2)</f>
        <v/>
      </c>
      <c r="K35">
        <f>1/(1+$B$5)^(B35+$B$6/2)</f>
        <v/>
      </c>
      <c r="L35" t="inlineStr">
        <is>
          <t>Average endpoints</t>
        </is>
      </c>
      <c r="M35" s="4">
        <f>SUMPRODUCT((E35:G35+E36:G36)/2,$B$17:$D$17)*$B$6</f>
        <v/>
      </c>
      <c r="N35" s="4">
        <f>M35*J35</f>
        <v/>
      </c>
      <c r="O35" s="4">
        <f>SUMPRODUCT((E35:G35+E36:G36)/2,$B$18:$D$18)*$B$6</f>
        <v/>
      </c>
      <c r="P35" s="4">
        <f>O35*J35</f>
        <v/>
      </c>
      <c r="Q35" s="4">
        <f>SUMPRODUCT((E35:G35+E36:G36)/2,$B$19:$D$19)*$B$6</f>
        <v/>
      </c>
      <c r="R35" s="4">
        <f>Q35*J35</f>
        <v/>
      </c>
      <c r="S35" s="4">
        <f>IF(A35=0,SUMPRODUCT((E35:G35+E36:G36)/2,$B$20:$D$20)*$B$6,0)</f>
        <v/>
      </c>
      <c r="T35" s="4">
        <f>S35*J35</f>
        <v/>
      </c>
      <c r="U35" s="4">
        <f>N35+P35+R35+T35</f>
        <v/>
      </c>
      <c r="V35">
        <f>SUMPRODUCT((E35:G35+E36:G36)/2,$B$24:$D$24)*$B$6</f>
        <v/>
      </c>
      <c r="W35" s="5">
        <f>V35*K35</f>
        <v/>
      </c>
      <c r="X35">
        <f>SUMPRODUCT((E35:G35+E36:G36)/2,$B$25:$D$25)*$B$6</f>
        <v/>
      </c>
      <c r="Y35">
        <f>X35*K35</f>
        <v/>
      </c>
    </row>
    <row r="36">
      <c r="A36" t="n">
        <v>7</v>
      </c>
      <c r="B36">
        <f>A36*$B$6</f>
        <v/>
      </c>
      <c r="C36" s="5">
        <f>EXP(-$B$12*B36)</f>
        <v/>
      </c>
      <c r="D36" s="5">
        <f>EXP(-$B$13*B36)</f>
        <v/>
      </c>
      <c r="E36">
        <f>C36</f>
        <v/>
      </c>
      <c r="F36">
        <f>D36-C36</f>
        <v/>
      </c>
      <c r="G36">
        <f>1-D36</f>
        <v/>
      </c>
      <c r="H36">
        <f>SUM(E36:G36)</f>
        <v/>
      </c>
      <c r="I36">
        <f>IF(AND(MIN(C36:D36)&gt;=0,MAX(C36:D36)&lt;=1,MIN(E36:G36)&gt;=-1E-10,ABS(H36-1)&lt;1E-8,C36&lt;=C35+1E-10,D36&lt;=D35+1E-10),"OK","ERROR")</f>
        <v/>
      </c>
      <c r="J36">
        <f>1/(1+$B$4)^(B36+$B$6/2)</f>
        <v/>
      </c>
      <c r="K36">
        <f>1/(1+$B$5)^(B36+$B$6/2)</f>
        <v/>
      </c>
      <c r="L36" t="inlineStr">
        <is>
          <t>Average endpoints</t>
        </is>
      </c>
      <c r="M36" s="4">
        <f>SUMPRODUCT((E36:G36+E37:G37)/2,$B$17:$D$17)*$B$6</f>
        <v/>
      </c>
      <c r="N36" s="4">
        <f>M36*J36</f>
        <v/>
      </c>
      <c r="O36" s="4">
        <f>SUMPRODUCT((E36:G36+E37:G37)/2,$B$18:$D$18)*$B$6</f>
        <v/>
      </c>
      <c r="P36" s="4">
        <f>O36*J36</f>
        <v/>
      </c>
      <c r="Q36" s="4">
        <f>SUMPRODUCT((E36:G36+E37:G37)/2,$B$19:$D$19)*$B$6</f>
        <v/>
      </c>
      <c r="R36" s="4">
        <f>Q36*J36</f>
        <v/>
      </c>
      <c r="S36" s="4">
        <f>IF(A36=0,SUMPRODUCT((E36:G36+E37:G37)/2,$B$20:$D$20)*$B$6,0)</f>
        <v/>
      </c>
      <c r="T36" s="4">
        <f>S36*J36</f>
        <v/>
      </c>
      <c r="U36" s="4">
        <f>N36+P36+R36+T36</f>
        <v/>
      </c>
      <c r="V36">
        <f>SUMPRODUCT((E36:G36+E37:G37)/2,$B$24:$D$24)*$B$6</f>
        <v/>
      </c>
      <c r="W36" s="5">
        <f>V36*K36</f>
        <v/>
      </c>
      <c r="X36">
        <f>SUMPRODUCT((E36:G36+E37:G37)/2,$B$25:$D$25)*$B$6</f>
        <v/>
      </c>
      <c r="Y36">
        <f>X36*K36</f>
        <v/>
      </c>
    </row>
    <row r="37">
      <c r="A37" t="n">
        <v>8</v>
      </c>
      <c r="B37">
        <f>A37*$B$6</f>
        <v/>
      </c>
      <c r="C37" s="5">
        <f>EXP(-$B$12*B37)</f>
        <v/>
      </c>
      <c r="D37" s="5">
        <f>EXP(-$B$13*B37)</f>
        <v/>
      </c>
      <c r="E37">
        <f>C37</f>
        <v/>
      </c>
      <c r="F37">
        <f>D37-C37</f>
        <v/>
      </c>
      <c r="G37">
        <f>1-D37</f>
        <v/>
      </c>
      <c r="H37">
        <f>SUM(E37:G37)</f>
        <v/>
      </c>
      <c r="I37">
        <f>IF(AND(MIN(C37:D37)&gt;=0,MAX(C37:D37)&lt;=1,MIN(E37:G37)&gt;=-1E-10,ABS(H37-1)&lt;1E-8,C37&lt;=C36+1E-10,D37&lt;=D36+1E-10),"OK","ERROR")</f>
        <v/>
      </c>
      <c r="J37">
        <f>1/(1+$B$4)^(B37+$B$6/2)</f>
        <v/>
      </c>
      <c r="K37">
        <f>1/(1+$B$5)^(B37+$B$6/2)</f>
        <v/>
      </c>
      <c r="L37" t="inlineStr">
        <is>
          <t>Average endpoints</t>
        </is>
      </c>
      <c r="M37" s="4">
        <f>SUMPRODUCT((E37:G37+E38:G38)/2,$B$17:$D$17)*$B$6</f>
        <v/>
      </c>
      <c r="N37" s="4">
        <f>M37*J37</f>
        <v/>
      </c>
      <c r="O37" s="4">
        <f>SUMPRODUCT((E37:G37+E38:G38)/2,$B$18:$D$18)*$B$6</f>
        <v/>
      </c>
      <c r="P37" s="4">
        <f>O37*J37</f>
        <v/>
      </c>
      <c r="Q37" s="4">
        <f>SUMPRODUCT((E37:G37+E38:G38)/2,$B$19:$D$19)*$B$6</f>
        <v/>
      </c>
      <c r="R37" s="4">
        <f>Q37*J37</f>
        <v/>
      </c>
      <c r="S37" s="4">
        <f>IF(A37=0,SUMPRODUCT((E37:G37+E38:G38)/2,$B$20:$D$20)*$B$6,0)</f>
        <v/>
      </c>
      <c r="T37" s="4">
        <f>S37*J37</f>
        <v/>
      </c>
      <c r="U37" s="4">
        <f>N37+P37+R37+T37</f>
        <v/>
      </c>
      <c r="V37">
        <f>SUMPRODUCT((E37:G37+E38:G38)/2,$B$24:$D$24)*$B$6</f>
        <v/>
      </c>
      <c r="W37" s="5">
        <f>V37*K37</f>
        <v/>
      </c>
      <c r="X37">
        <f>SUMPRODUCT((E37:G37+E38:G38)/2,$B$25:$D$25)*$B$6</f>
        <v/>
      </c>
      <c r="Y37">
        <f>X37*K37</f>
        <v/>
      </c>
    </row>
    <row r="38">
      <c r="A38" t="n">
        <v>9</v>
      </c>
      <c r="B38">
        <f>A38*$B$6</f>
        <v/>
      </c>
      <c r="C38" s="5">
        <f>EXP(-$B$12*B38)</f>
        <v/>
      </c>
      <c r="D38" s="5">
        <f>EXP(-$B$13*B38)</f>
        <v/>
      </c>
      <c r="E38">
        <f>C38</f>
        <v/>
      </c>
      <c r="F38">
        <f>D38-C38</f>
        <v/>
      </c>
      <c r="G38">
        <f>1-D38</f>
        <v/>
      </c>
      <c r="H38">
        <f>SUM(E38:G38)</f>
        <v/>
      </c>
      <c r="I38">
        <f>IF(AND(MIN(C38:D38)&gt;=0,MAX(C38:D38)&lt;=1,MIN(E38:G38)&gt;=-1E-10,ABS(H38-1)&lt;1E-8,C38&lt;=C37+1E-10,D38&lt;=D37+1E-10),"OK","ERROR")</f>
        <v/>
      </c>
      <c r="J38">
        <f>1/(1+$B$4)^(B38+$B$6/2)</f>
        <v/>
      </c>
      <c r="K38">
        <f>1/(1+$B$5)^(B38+$B$6/2)</f>
        <v/>
      </c>
      <c r="L38" t="inlineStr">
        <is>
          <t>Average endpoints</t>
        </is>
      </c>
      <c r="M38" s="4">
        <f>SUMPRODUCT((E38:G38+E39:G39)/2,$B$17:$D$17)*$B$6</f>
        <v/>
      </c>
      <c r="N38" s="4">
        <f>M38*J38</f>
        <v/>
      </c>
      <c r="O38" s="4">
        <f>SUMPRODUCT((E38:G38+E39:G39)/2,$B$18:$D$18)*$B$6</f>
        <v/>
      </c>
      <c r="P38" s="4">
        <f>O38*J38</f>
        <v/>
      </c>
      <c r="Q38" s="4">
        <f>SUMPRODUCT((E38:G38+E39:G39)/2,$B$19:$D$19)*$B$6</f>
        <v/>
      </c>
      <c r="R38" s="4">
        <f>Q38*J38</f>
        <v/>
      </c>
      <c r="S38" s="4">
        <f>IF(A38=0,SUMPRODUCT((E38:G38+E39:G39)/2,$B$20:$D$20)*$B$6,0)</f>
        <v/>
      </c>
      <c r="T38" s="4">
        <f>S38*J38</f>
        <v/>
      </c>
      <c r="U38" s="4">
        <f>N38+P38+R38+T38</f>
        <v/>
      </c>
      <c r="V38">
        <f>SUMPRODUCT((E38:G38+E39:G39)/2,$B$24:$D$24)*$B$6</f>
        <v/>
      </c>
      <c r="W38" s="5">
        <f>V38*K38</f>
        <v/>
      </c>
      <c r="X38">
        <f>SUMPRODUCT((E38:G38+E39:G39)/2,$B$25:$D$25)*$B$6</f>
        <v/>
      </c>
      <c r="Y38">
        <f>X38*K38</f>
        <v/>
      </c>
    </row>
    <row r="39">
      <c r="A39" t="n">
        <v>10</v>
      </c>
      <c r="B39">
        <f>A39*$B$6</f>
        <v/>
      </c>
      <c r="C39" s="5">
        <f>EXP(-$B$12*B39)</f>
        <v/>
      </c>
      <c r="D39" s="5">
        <f>EXP(-$B$13*B39)</f>
        <v/>
      </c>
      <c r="E39">
        <f>C39</f>
        <v/>
      </c>
      <c r="F39">
        <f>D39-C39</f>
        <v/>
      </c>
      <c r="G39">
        <f>1-D39</f>
        <v/>
      </c>
      <c r="H39">
        <f>SUM(E39:G39)</f>
        <v/>
      </c>
      <c r="I39">
        <f>IF(AND(MIN(C39:D39)&gt;=0,MAX(C39:D39)&lt;=1,MIN(E39:G39)&gt;=-1E-10,ABS(H39-1)&lt;1E-8,C39&lt;=C38+1E-10,D39&lt;=D38+1E-10),"OK","ERROR")</f>
        <v/>
      </c>
      <c r="J39">
        <f>1/(1+$B$4)^(B39+$B$6/2)</f>
        <v/>
      </c>
      <c r="K39">
        <f>1/(1+$B$5)^(B39+$B$6/2)</f>
        <v/>
      </c>
      <c r="L39" t="inlineStr">
        <is>
          <t>Average endpoints</t>
        </is>
      </c>
      <c r="M39" s="4">
        <f>SUMPRODUCT((E39:G39+E40:G40)/2,$B$17:$D$17)*$B$6</f>
        <v/>
      </c>
      <c r="N39" s="4">
        <f>M39*J39</f>
        <v/>
      </c>
      <c r="O39" s="4">
        <f>SUMPRODUCT((E39:G39+E40:G40)/2,$B$18:$D$18)*$B$6</f>
        <v/>
      </c>
      <c r="P39" s="4">
        <f>O39*J39</f>
        <v/>
      </c>
      <c r="Q39" s="4">
        <f>SUMPRODUCT((E39:G39+E40:G40)/2,$B$19:$D$19)*$B$6</f>
        <v/>
      </c>
      <c r="R39" s="4">
        <f>Q39*J39</f>
        <v/>
      </c>
      <c r="S39" s="4">
        <f>IF(A39=0,SUMPRODUCT((E39:G39+E40:G40)/2,$B$20:$D$20)*$B$6,0)</f>
        <v/>
      </c>
      <c r="T39" s="4">
        <f>S39*J39</f>
        <v/>
      </c>
      <c r="U39" s="4">
        <f>N39+P39+R39+T39</f>
        <v/>
      </c>
      <c r="V39">
        <f>SUMPRODUCT((E39:G39+E40:G40)/2,$B$24:$D$24)*$B$6</f>
        <v/>
      </c>
      <c r="W39" s="5">
        <f>V39*K39</f>
        <v/>
      </c>
      <c r="X39">
        <f>SUMPRODUCT((E39:G39+E40:G40)/2,$B$25:$D$25)*$B$6</f>
        <v/>
      </c>
      <c r="Y39">
        <f>X39*K39</f>
        <v/>
      </c>
    </row>
    <row r="40">
      <c r="A40" t="n">
        <v>11</v>
      </c>
      <c r="B40">
        <f>A40*$B$6</f>
        <v/>
      </c>
      <c r="C40" s="5">
        <f>EXP(-$B$12*B40)</f>
        <v/>
      </c>
      <c r="D40" s="5">
        <f>EXP(-$B$13*B40)</f>
        <v/>
      </c>
      <c r="E40">
        <f>C40</f>
        <v/>
      </c>
      <c r="F40">
        <f>D40-C40</f>
        <v/>
      </c>
      <c r="G40">
        <f>1-D40</f>
        <v/>
      </c>
      <c r="H40">
        <f>SUM(E40:G40)</f>
        <v/>
      </c>
      <c r="I40">
        <f>IF(AND(MIN(C40:D40)&gt;=0,MAX(C40:D40)&lt;=1,MIN(E40:G40)&gt;=-1E-10,ABS(H40-1)&lt;1E-8,C40&lt;=C39+1E-10,D40&lt;=D39+1E-10),"OK","ERROR")</f>
        <v/>
      </c>
      <c r="J40">
        <f>1/(1+$B$4)^(B40+$B$6/2)</f>
        <v/>
      </c>
      <c r="K40">
        <f>1/(1+$B$5)^(B40+$B$6/2)</f>
        <v/>
      </c>
      <c r="L40" t="inlineStr">
        <is>
          <t>Average endpoints</t>
        </is>
      </c>
      <c r="M40" s="4">
        <f>SUMPRODUCT((E40:G40+E41:G41)/2,$B$17:$D$17)*$B$6</f>
        <v/>
      </c>
      <c r="N40" s="4">
        <f>M40*J40</f>
        <v/>
      </c>
      <c r="O40" s="4">
        <f>SUMPRODUCT((E40:G40+E41:G41)/2,$B$18:$D$18)*$B$6</f>
        <v/>
      </c>
      <c r="P40" s="4">
        <f>O40*J40</f>
        <v/>
      </c>
      <c r="Q40" s="4">
        <f>SUMPRODUCT((E40:G40+E41:G41)/2,$B$19:$D$19)*$B$6</f>
        <v/>
      </c>
      <c r="R40" s="4">
        <f>Q40*J40</f>
        <v/>
      </c>
      <c r="S40" s="4">
        <f>IF(A40=0,SUMPRODUCT((E40:G40+E41:G41)/2,$B$20:$D$20)*$B$6,0)</f>
        <v/>
      </c>
      <c r="T40" s="4">
        <f>S40*J40</f>
        <v/>
      </c>
      <c r="U40" s="4">
        <f>N40+P40+R40+T40</f>
        <v/>
      </c>
      <c r="V40">
        <f>SUMPRODUCT((E40:G40+E41:G41)/2,$B$24:$D$24)*$B$6</f>
        <v/>
      </c>
      <c r="W40" s="5">
        <f>V40*K40</f>
        <v/>
      </c>
      <c r="X40">
        <f>SUMPRODUCT((E40:G40+E41:G41)/2,$B$25:$D$25)*$B$6</f>
        <v/>
      </c>
      <c r="Y40">
        <f>X40*K40</f>
        <v/>
      </c>
    </row>
    <row r="41">
      <c r="A41" t="n">
        <v>12</v>
      </c>
      <c r="B41">
        <f>A41*$B$6</f>
        <v/>
      </c>
      <c r="C41" s="5">
        <f>EXP(-$B$12*B41)</f>
        <v/>
      </c>
      <c r="D41" s="5">
        <f>EXP(-$B$13*B41)</f>
        <v/>
      </c>
      <c r="E41">
        <f>C41</f>
        <v/>
      </c>
      <c r="F41">
        <f>D41-C41</f>
        <v/>
      </c>
      <c r="G41">
        <f>1-D41</f>
        <v/>
      </c>
      <c r="H41">
        <f>SUM(E41:G41)</f>
        <v/>
      </c>
      <c r="I41">
        <f>IF(AND(MIN(C41:D41)&gt;=0,MAX(C41:D41)&lt;=1,MIN(E41:G41)&gt;=-1E-10,ABS(H41-1)&lt;1E-8,C41&lt;=C40+1E-10,D41&lt;=D40+1E-10),"OK","ERROR")</f>
        <v/>
      </c>
      <c r="J41">
        <f>1/(1+$B$4)^(B41+$B$6/2)</f>
        <v/>
      </c>
      <c r="K41">
        <f>1/(1+$B$5)^(B41+$B$6/2)</f>
        <v/>
      </c>
      <c r="L41" t="inlineStr">
        <is>
          <t>Average endpoints</t>
        </is>
      </c>
      <c r="M41" s="4">
        <f>SUMPRODUCT((E41:G41+E42:G42)/2,$B$17:$D$17)*$B$6</f>
        <v/>
      </c>
      <c r="N41" s="4">
        <f>M41*J41</f>
        <v/>
      </c>
      <c r="O41" s="4">
        <f>SUMPRODUCT((E41:G41+E42:G42)/2,$B$18:$D$18)*$B$6</f>
        <v/>
      </c>
      <c r="P41" s="4">
        <f>O41*J41</f>
        <v/>
      </c>
      <c r="Q41" s="4">
        <f>SUMPRODUCT((E41:G41+E42:G42)/2,$B$19:$D$19)*$B$6</f>
        <v/>
      </c>
      <c r="R41" s="4">
        <f>Q41*J41</f>
        <v/>
      </c>
      <c r="S41" s="4">
        <f>IF(A41=0,SUMPRODUCT((E41:G41+E42:G42)/2,$B$20:$D$20)*$B$6,0)</f>
        <v/>
      </c>
      <c r="T41" s="4">
        <f>S41*J41</f>
        <v/>
      </c>
      <c r="U41" s="4">
        <f>N41+P41+R41+T41</f>
        <v/>
      </c>
      <c r="V41">
        <f>SUMPRODUCT((E41:G41+E42:G42)/2,$B$24:$D$24)*$B$6</f>
        <v/>
      </c>
      <c r="W41" s="5">
        <f>V41*K41</f>
        <v/>
      </c>
      <c r="X41">
        <f>SUMPRODUCT((E41:G41+E42:G42)/2,$B$25:$D$25)*$B$6</f>
        <v/>
      </c>
      <c r="Y41">
        <f>X41*K41</f>
        <v/>
      </c>
    </row>
    <row r="42">
      <c r="A42" t="n">
        <v>13</v>
      </c>
      <c r="B42">
        <f>A42*$B$6</f>
        <v/>
      </c>
      <c r="C42" s="5">
        <f>EXP(-$B$12*B42)</f>
        <v/>
      </c>
      <c r="D42" s="5">
        <f>EXP(-$B$13*B42)</f>
        <v/>
      </c>
      <c r="E42">
        <f>C42</f>
        <v/>
      </c>
      <c r="F42">
        <f>D42-C42</f>
        <v/>
      </c>
      <c r="G42">
        <f>1-D42</f>
        <v/>
      </c>
      <c r="H42">
        <f>SUM(E42:G42)</f>
        <v/>
      </c>
      <c r="I42">
        <f>IF(AND(MIN(C42:D42)&gt;=0,MAX(C42:D42)&lt;=1,MIN(E42:G42)&gt;=-1E-10,ABS(H42-1)&lt;1E-8,C42&lt;=C41+1E-10,D42&lt;=D41+1E-10),"OK","ERROR")</f>
        <v/>
      </c>
      <c r="J42">
        <f>1/(1+$B$4)^(B42+$B$6/2)</f>
        <v/>
      </c>
      <c r="K42">
        <f>1/(1+$B$5)^(B42+$B$6/2)</f>
        <v/>
      </c>
      <c r="L42" t="inlineStr">
        <is>
          <t>Average endpoints</t>
        </is>
      </c>
      <c r="M42" s="4">
        <f>SUMPRODUCT((E42:G42+E43:G43)/2,$B$17:$D$17)*$B$6</f>
        <v/>
      </c>
      <c r="N42" s="4">
        <f>M42*J42</f>
        <v/>
      </c>
      <c r="O42" s="4">
        <f>SUMPRODUCT((E42:G42+E43:G43)/2,$B$18:$D$18)*$B$6</f>
        <v/>
      </c>
      <c r="P42" s="4">
        <f>O42*J42</f>
        <v/>
      </c>
      <c r="Q42" s="4">
        <f>SUMPRODUCT((E42:G42+E43:G43)/2,$B$19:$D$19)*$B$6</f>
        <v/>
      </c>
      <c r="R42" s="4">
        <f>Q42*J42</f>
        <v/>
      </c>
      <c r="S42" s="4">
        <f>IF(A42=0,SUMPRODUCT((E42:G42+E43:G43)/2,$B$20:$D$20)*$B$6,0)</f>
        <v/>
      </c>
      <c r="T42" s="4">
        <f>S42*J42</f>
        <v/>
      </c>
      <c r="U42" s="4">
        <f>N42+P42+R42+T42</f>
        <v/>
      </c>
      <c r="V42">
        <f>SUMPRODUCT((E42:G42+E43:G43)/2,$B$24:$D$24)*$B$6</f>
        <v/>
      </c>
      <c r="W42" s="5">
        <f>V42*K42</f>
        <v/>
      </c>
      <c r="X42">
        <f>SUMPRODUCT((E42:G42+E43:G43)/2,$B$25:$D$25)*$B$6</f>
        <v/>
      </c>
      <c r="Y42">
        <f>X42*K42</f>
        <v/>
      </c>
    </row>
    <row r="43">
      <c r="A43" t="n">
        <v>14</v>
      </c>
      <c r="B43">
        <f>A43*$B$6</f>
        <v/>
      </c>
      <c r="C43" s="5">
        <f>EXP(-$B$12*B43)</f>
        <v/>
      </c>
      <c r="D43" s="5">
        <f>EXP(-$B$13*B43)</f>
        <v/>
      </c>
      <c r="E43">
        <f>C43</f>
        <v/>
      </c>
      <c r="F43">
        <f>D43-C43</f>
        <v/>
      </c>
      <c r="G43">
        <f>1-D43</f>
        <v/>
      </c>
      <c r="H43">
        <f>SUM(E43:G43)</f>
        <v/>
      </c>
      <c r="I43">
        <f>IF(AND(MIN(C43:D43)&gt;=0,MAX(C43:D43)&lt;=1,MIN(E43:G43)&gt;=-1E-10,ABS(H43-1)&lt;1E-8,C43&lt;=C42+1E-10,D43&lt;=D42+1E-10),"OK","ERROR")</f>
        <v/>
      </c>
      <c r="J43">
        <f>1/(1+$B$4)^(B43+$B$6/2)</f>
        <v/>
      </c>
      <c r="K43">
        <f>1/(1+$B$5)^(B43+$B$6/2)</f>
        <v/>
      </c>
      <c r="L43" t="inlineStr">
        <is>
          <t>Average endpoints</t>
        </is>
      </c>
      <c r="M43" s="4">
        <f>SUMPRODUCT((E43:G43+E44:G44)/2,$B$17:$D$17)*$B$6</f>
        <v/>
      </c>
      <c r="N43" s="4">
        <f>M43*J43</f>
        <v/>
      </c>
      <c r="O43" s="4">
        <f>SUMPRODUCT((E43:G43+E44:G44)/2,$B$18:$D$18)*$B$6</f>
        <v/>
      </c>
      <c r="P43" s="4">
        <f>O43*J43</f>
        <v/>
      </c>
      <c r="Q43" s="4">
        <f>SUMPRODUCT((E43:G43+E44:G44)/2,$B$19:$D$19)*$B$6</f>
        <v/>
      </c>
      <c r="R43" s="4">
        <f>Q43*J43</f>
        <v/>
      </c>
      <c r="S43" s="4">
        <f>IF(A43=0,SUMPRODUCT((E43:G43+E44:G44)/2,$B$20:$D$20)*$B$6,0)</f>
        <v/>
      </c>
      <c r="T43" s="4">
        <f>S43*J43</f>
        <v/>
      </c>
      <c r="U43" s="4">
        <f>N43+P43+R43+T43</f>
        <v/>
      </c>
      <c r="V43">
        <f>SUMPRODUCT((E43:G43+E44:G44)/2,$B$24:$D$24)*$B$6</f>
        <v/>
      </c>
      <c r="W43" s="5">
        <f>V43*K43</f>
        <v/>
      </c>
      <c r="X43">
        <f>SUMPRODUCT((E43:G43+E44:G44)/2,$B$25:$D$25)*$B$6</f>
        <v/>
      </c>
      <c r="Y43">
        <f>X43*K43</f>
        <v/>
      </c>
    </row>
    <row r="44">
      <c r="A44" t="n">
        <v>15</v>
      </c>
      <c r="B44">
        <f>A44*$B$6</f>
        <v/>
      </c>
      <c r="C44" s="5">
        <f>EXP(-$B$12*B44)</f>
        <v/>
      </c>
      <c r="D44" s="5">
        <f>EXP(-$B$13*B44)</f>
        <v/>
      </c>
      <c r="E44">
        <f>C44</f>
        <v/>
      </c>
      <c r="F44">
        <f>D44-C44</f>
        <v/>
      </c>
      <c r="G44">
        <f>1-D44</f>
        <v/>
      </c>
      <c r="H44">
        <f>SUM(E44:G44)</f>
        <v/>
      </c>
      <c r="I44">
        <f>IF(AND(MIN(C44:D44)&gt;=0,MAX(C44:D44)&lt;=1,MIN(E44:G44)&gt;=-1E-10,ABS(H44-1)&lt;1E-8,C44&lt;=C43+1E-10,D44&lt;=D43+1E-10),"OK","ERROR")</f>
        <v/>
      </c>
      <c r="J44">
        <f>1/(1+$B$4)^(B44+$B$6/2)</f>
        <v/>
      </c>
      <c r="K44">
        <f>1/(1+$B$5)^(B44+$B$6/2)</f>
        <v/>
      </c>
      <c r="L44" t="inlineStr">
        <is>
          <t>Average endpoints</t>
        </is>
      </c>
      <c r="M44" s="4">
        <f>SUMPRODUCT((E44:G44+E45:G45)/2,$B$17:$D$17)*$B$6</f>
        <v/>
      </c>
      <c r="N44" s="4">
        <f>M44*J44</f>
        <v/>
      </c>
      <c r="O44" s="4">
        <f>SUMPRODUCT((E44:G44+E45:G45)/2,$B$18:$D$18)*$B$6</f>
        <v/>
      </c>
      <c r="P44" s="4">
        <f>O44*J44</f>
        <v/>
      </c>
      <c r="Q44" s="4">
        <f>SUMPRODUCT((E44:G44+E45:G45)/2,$B$19:$D$19)*$B$6</f>
        <v/>
      </c>
      <c r="R44" s="4">
        <f>Q44*J44</f>
        <v/>
      </c>
      <c r="S44" s="4">
        <f>IF(A44=0,SUMPRODUCT((E44:G44+E45:G45)/2,$B$20:$D$20)*$B$6,0)</f>
        <v/>
      </c>
      <c r="T44" s="4">
        <f>S44*J44</f>
        <v/>
      </c>
      <c r="U44" s="4">
        <f>N44+P44+R44+T44</f>
        <v/>
      </c>
      <c r="V44">
        <f>SUMPRODUCT((E44:G44+E45:G45)/2,$B$24:$D$24)*$B$6</f>
        <v/>
      </c>
      <c r="W44" s="5">
        <f>V44*K44</f>
        <v/>
      </c>
      <c r="X44">
        <f>SUMPRODUCT((E44:G44+E45:G45)/2,$B$25:$D$25)*$B$6</f>
        <v/>
      </c>
      <c r="Y44">
        <f>X44*K44</f>
        <v/>
      </c>
    </row>
    <row r="45">
      <c r="A45" t="n">
        <v>16</v>
      </c>
      <c r="B45">
        <f>A45*$B$6</f>
        <v/>
      </c>
      <c r="C45" s="5">
        <f>EXP(-$B$12*B45)</f>
        <v/>
      </c>
      <c r="D45" s="5">
        <f>EXP(-$B$13*B45)</f>
        <v/>
      </c>
      <c r="E45">
        <f>C45</f>
        <v/>
      </c>
      <c r="F45">
        <f>D45-C45</f>
        <v/>
      </c>
      <c r="G45">
        <f>1-D45</f>
        <v/>
      </c>
      <c r="H45">
        <f>SUM(E45:G45)</f>
        <v/>
      </c>
      <c r="I45">
        <f>IF(AND(MIN(C45:D45)&gt;=0,MAX(C45:D45)&lt;=1,MIN(E45:G45)&gt;=-1E-10,ABS(H45-1)&lt;1E-8,C45&lt;=C44+1E-10,D45&lt;=D44+1E-10),"OK","ERROR")</f>
        <v/>
      </c>
      <c r="J45">
        <f>1/(1+$B$4)^(B45+$B$6/2)</f>
        <v/>
      </c>
      <c r="K45">
        <f>1/(1+$B$5)^(B45+$B$6/2)</f>
        <v/>
      </c>
      <c r="L45" t="inlineStr">
        <is>
          <t>Average endpoints</t>
        </is>
      </c>
      <c r="M45" s="4">
        <f>SUMPRODUCT((E45:G45+E46:G46)/2,$B$17:$D$17)*$B$6</f>
        <v/>
      </c>
      <c r="N45" s="4">
        <f>M45*J45</f>
        <v/>
      </c>
      <c r="O45" s="4">
        <f>SUMPRODUCT((E45:G45+E46:G46)/2,$B$18:$D$18)*$B$6</f>
        <v/>
      </c>
      <c r="P45" s="4">
        <f>O45*J45</f>
        <v/>
      </c>
      <c r="Q45" s="4">
        <f>SUMPRODUCT((E45:G45+E46:G46)/2,$B$19:$D$19)*$B$6</f>
        <v/>
      </c>
      <c r="R45" s="4">
        <f>Q45*J45</f>
        <v/>
      </c>
      <c r="S45" s="4">
        <f>IF(A45=0,SUMPRODUCT((E45:G45+E46:G46)/2,$B$20:$D$20)*$B$6,0)</f>
        <v/>
      </c>
      <c r="T45" s="4">
        <f>S45*J45</f>
        <v/>
      </c>
      <c r="U45" s="4">
        <f>N45+P45+R45+T45</f>
        <v/>
      </c>
      <c r="V45">
        <f>SUMPRODUCT((E45:G45+E46:G46)/2,$B$24:$D$24)*$B$6</f>
        <v/>
      </c>
      <c r="W45" s="5">
        <f>V45*K45</f>
        <v/>
      </c>
      <c r="X45">
        <f>SUMPRODUCT((E45:G45+E46:G46)/2,$B$25:$D$25)*$B$6</f>
        <v/>
      </c>
      <c r="Y45">
        <f>X45*K45</f>
        <v/>
      </c>
    </row>
    <row r="46">
      <c r="A46" t="n">
        <v>17</v>
      </c>
      <c r="B46">
        <f>A46*$B$6</f>
        <v/>
      </c>
      <c r="C46" s="5">
        <f>EXP(-$B$12*B46)</f>
        <v/>
      </c>
      <c r="D46" s="5">
        <f>EXP(-$B$13*B46)</f>
        <v/>
      </c>
      <c r="E46">
        <f>C46</f>
        <v/>
      </c>
      <c r="F46">
        <f>D46-C46</f>
        <v/>
      </c>
      <c r="G46">
        <f>1-D46</f>
        <v/>
      </c>
      <c r="H46">
        <f>SUM(E46:G46)</f>
        <v/>
      </c>
      <c r="I46">
        <f>IF(AND(MIN(C46:D46)&gt;=0,MAX(C46:D46)&lt;=1,MIN(E46:G46)&gt;=-1E-10,ABS(H46-1)&lt;1E-8,C46&lt;=C45+1E-10,D46&lt;=D45+1E-10),"OK","ERROR")</f>
        <v/>
      </c>
      <c r="J46">
        <f>1/(1+$B$4)^(B46+$B$6/2)</f>
        <v/>
      </c>
      <c r="K46">
        <f>1/(1+$B$5)^(B46+$B$6/2)</f>
        <v/>
      </c>
      <c r="L46" t="inlineStr">
        <is>
          <t>Average endpoints</t>
        </is>
      </c>
      <c r="M46" s="4">
        <f>SUMPRODUCT((E46:G46+E47:G47)/2,$B$17:$D$17)*$B$6</f>
        <v/>
      </c>
      <c r="N46" s="4">
        <f>M46*J46</f>
        <v/>
      </c>
      <c r="O46" s="4">
        <f>SUMPRODUCT((E46:G46+E47:G47)/2,$B$18:$D$18)*$B$6</f>
        <v/>
      </c>
      <c r="P46" s="4">
        <f>O46*J46</f>
        <v/>
      </c>
      <c r="Q46" s="4">
        <f>SUMPRODUCT((E46:G46+E47:G47)/2,$B$19:$D$19)*$B$6</f>
        <v/>
      </c>
      <c r="R46" s="4">
        <f>Q46*J46</f>
        <v/>
      </c>
      <c r="S46" s="4">
        <f>IF(A46=0,SUMPRODUCT((E46:G46+E47:G47)/2,$B$20:$D$20)*$B$6,0)</f>
        <v/>
      </c>
      <c r="T46" s="4">
        <f>S46*J46</f>
        <v/>
      </c>
      <c r="U46" s="4">
        <f>N46+P46+R46+T46</f>
        <v/>
      </c>
      <c r="V46">
        <f>SUMPRODUCT((E46:G46+E47:G47)/2,$B$24:$D$24)*$B$6</f>
        <v/>
      </c>
      <c r="W46" s="5">
        <f>V46*K46</f>
        <v/>
      </c>
      <c r="X46">
        <f>SUMPRODUCT((E46:G46+E47:G47)/2,$B$25:$D$25)*$B$6</f>
        <v/>
      </c>
      <c r="Y46">
        <f>X46*K46</f>
        <v/>
      </c>
    </row>
    <row r="47">
      <c r="A47" t="n">
        <v>18</v>
      </c>
      <c r="B47">
        <f>A47*$B$6</f>
        <v/>
      </c>
      <c r="C47" s="5">
        <f>EXP(-$B$12*B47)</f>
        <v/>
      </c>
      <c r="D47" s="5">
        <f>EXP(-$B$13*B47)</f>
        <v/>
      </c>
      <c r="E47">
        <f>C47</f>
        <v/>
      </c>
      <c r="F47">
        <f>D47-C47</f>
        <v/>
      </c>
      <c r="G47">
        <f>1-D47</f>
        <v/>
      </c>
      <c r="H47">
        <f>SUM(E47:G47)</f>
        <v/>
      </c>
      <c r="I47">
        <f>IF(AND(MIN(C47:D47)&gt;=0,MAX(C47:D47)&lt;=1,MIN(E47:G47)&gt;=-1E-10,ABS(H47-1)&lt;1E-8,C47&lt;=C46+1E-10,D47&lt;=D46+1E-10),"OK","ERROR")</f>
        <v/>
      </c>
      <c r="J47">
        <f>1/(1+$B$4)^(B47+$B$6/2)</f>
        <v/>
      </c>
      <c r="K47">
        <f>1/(1+$B$5)^(B47+$B$6/2)</f>
        <v/>
      </c>
      <c r="L47" t="inlineStr">
        <is>
          <t>Average endpoints</t>
        </is>
      </c>
      <c r="M47" s="4">
        <f>SUMPRODUCT((E47:G47+E48:G48)/2,$B$17:$D$17)*$B$6</f>
        <v/>
      </c>
      <c r="N47" s="4">
        <f>M47*J47</f>
        <v/>
      </c>
      <c r="O47" s="4">
        <f>SUMPRODUCT((E47:G47+E48:G48)/2,$B$18:$D$18)*$B$6</f>
        <v/>
      </c>
      <c r="P47" s="4">
        <f>O47*J47</f>
        <v/>
      </c>
      <c r="Q47" s="4">
        <f>SUMPRODUCT((E47:G47+E48:G48)/2,$B$19:$D$19)*$B$6</f>
        <v/>
      </c>
      <c r="R47" s="4">
        <f>Q47*J47</f>
        <v/>
      </c>
      <c r="S47" s="4">
        <f>IF(A47=0,SUMPRODUCT((E47:G47+E48:G48)/2,$B$20:$D$20)*$B$6,0)</f>
        <v/>
      </c>
      <c r="T47" s="4">
        <f>S47*J47</f>
        <v/>
      </c>
      <c r="U47" s="4">
        <f>N47+P47+R47+T47</f>
        <v/>
      </c>
      <c r="V47">
        <f>SUMPRODUCT((E47:G47+E48:G48)/2,$B$24:$D$24)*$B$6</f>
        <v/>
      </c>
      <c r="W47" s="5">
        <f>V47*K47</f>
        <v/>
      </c>
      <c r="X47">
        <f>SUMPRODUCT((E47:G47+E48:G48)/2,$B$25:$D$25)*$B$6</f>
        <v/>
      </c>
      <c r="Y47">
        <f>X47*K47</f>
        <v/>
      </c>
    </row>
    <row r="48">
      <c r="A48" t="n">
        <v>19</v>
      </c>
      <c r="B48">
        <f>A48*$B$6</f>
        <v/>
      </c>
      <c r="C48" s="5">
        <f>EXP(-$B$12*B48)</f>
        <v/>
      </c>
      <c r="D48" s="5">
        <f>EXP(-$B$13*B48)</f>
        <v/>
      </c>
      <c r="E48">
        <f>C48</f>
        <v/>
      </c>
      <c r="F48">
        <f>D48-C48</f>
        <v/>
      </c>
      <c r="G48">
        <f>1-D48</f>
        <v/>
      </c>
      <c r="H48">
        <f>SUM(E48:G48)</f>
        <v/>
      </c>
      <c r="I48">
        <f>IF(AND(MIN(C48:D48)&gt;=0,MAX(C48:D48)&lt;=1,MIN(E48:G48)&gt;=-1E-10,ABS(H48-1)&lt;1E-8,C48&lt;=C47+1E-10,D48&lt;=D47+1E-10),"OK","ERROR")</f>
        <v/>
      </c>
      <c r="J48">
        <f>1/(1+$B$4)^(B48+$B$6/2)</f>
        <v/>
      </c>
      <c r="K48">
        <f>1/(1+$B$5)^(B48+$B$6/2)</f>
        <v/>
      </c>
      <c r="L48" t="inlineStr">
        <is>
          <t>Average endpoints</t>
        </is>
      </c>
      <c r="M48" s="4">
        <f>SUMPRODUCT((E48:G48+E49:G49)/2,$B$17:$D$17)*$B$6</f>
        <v/>
      </c>
      <c r="N48" s="4">
        <f>M48*J48</f>
        <v/>
      </c>
      <c r="O48" s="4">
        <f>SUMPRODUCT((E48:G48+E49:G49)/2,$B$18:$D$18)*$B$6</f>
        <v/>
      </c>
      <c r="P48" s="4">
        <f>O48*J48</f>
        <v/>
      </c>
      <c r="Q48" s="4">
        <f>SUMPRODUCT((E48:G48+E49:G49)/2,$B$19:$D$19)*$B$6</f>
        <v/>
      </c>
      <c r="R48" s="4">
        <f>Q48*J48</f>
        <v/>
      </c>
      <c r="S48" s="4">
        <f>IF(A48=0,SUMPRODUCT((E48:G48+E49:G49)/2,$B$20:$D$20)*$B$6,0)</f>
        <v/>
      </c>
      <c r="T48" s="4">
        <f>S48*J48</f>
        <v/>
      </c>
      <c r="U48" s="4">
        <f>N48+P48+R48+T48</f>
        <v/>
      </c>
      <c r="V48">
        <f>SUMPRODUCT((E48:G48+E49:G49)/2,$B$24:$D$24)*$B$6</f>
        <v/>
      </c>
      <c r="W48" s="5">
        <f>V48*K48</f>
        <v/>
      </c>
      <c r="X48">
        <f>SUMPRODUCT((E48:G48+E49:G49)/2,$B$25:$D$25)*$B$6</f>
        <v/>
      </c>
      <c r="Y48">
        <f>X48*K48</f>
        <v/>
      </c>
    </row>
    <row r="49">
      <c r="A49" t="n">
        <v>20</v>
      </c>
      <c r="B49">
        <f>A49*$B$6</f>
        <v/>
      </c>
      <c r="C49" s="5">
        <f>EXP(-$B$12*B49)</f>
        <v/>
      </c>
      <c r="D49" s="5">
        <f>EXP(-$B$13*B49)</f>
        <v/>
      </c>
      <c r="E49">
        <f>C49</f>
        <v/>
      </c>
      <c r="F49">
        <f>D49-C49</f>
        <v/>
      </c>
      <c r="G49">
        <f>1-D49</f>
        <v/>
      </c>
      <c r="H49">
        <f>SUM(E49:G49)</f>
        <v/>
      </c>
      <c r="I49">
        <f>IF(AND(MIN(C49:D49)&gt;=0,MAX(C49:D49)&lt;=1,MIN(E49:G49)&gt;=-1E-10,ABS(H49-1)&lt;1E-8,C49&lt;=C48+1E-10,D49&lt;=D48+1E-10),"OK","ERROR")</f>
        <v/>
      </c>
      <c r="J49">
        <f>1/(1+$B$4)^(B49+$B$6/2)</f>
        <v/>
      </c>
      <c r="K49">
        <f>1/(1+$B$5)^(B49+$B$6/2)</f>
        <v/>
      </c>
      <c r="L49" t="inlineStr">
        <is>
          <t>Average endpoints</t>
        </is>
      </c>
      <c r="M49" s="4">
        <f>SUMPRODUCT((E49:G49+E50:G50)/2,$B$17:$D$17)*$B$6</f>
        <v/>
      </c>
      <c r="N49" s="4">
        <f>M49*J49</f>
        <v/>
      </c>
      <c r="O49" s="4">
        <f>SUMPRODUCT((E49:G49+E50:G50)/2,$B$18:$D$18)*$B$6</f>
        <v/>
      </c>
      <c r="P49" s="4">
        <f>O49*J49</f>
        <v/>
      </c>
      <c r="Q49" s="4">
        <f>SUMPRODUCT((E49:G49+E50:G50)/2,$B$19:$D$19)*$B$6</f>
        <v/>
      </c>
      <c r="R49" s="4">
        <f>Q49*J49</f>
        <v/>
      </c>
      <c r="S49" s="4">
        <f>IF(A49=0,SUMPRODUCT((E49:G49+E50:G50)/2,$B$20:$D$20)*$B$6,0)</f>
        <v/>
      </c>
      <c r="T49" s="4">
        <f>S49*J49</f>
        <v/>
      </c>
      <c r="U49" s="4">
        <f>N49+P49+R49+T49</f>
        <v/>
      </c>
      <c r="V49">
        <f>SUMPRODUCT((E49:G49+E50:G50)/2,$B$24:$D$24)*$B$6</f>
        <v/>
      </c>
      <c r="W49" s="5">
        <f>V49*K49</f>
        <v/>
      </c>
      <c r="X49">
        <f>SUMPRODUCT((E49:G49+E50:G50)/2,$B$25:$D$25)*$B$6</f>
        <v/>
      </c>
      <c r="Y49">
        <f>X49*K49</f>
        <v/>
      </c>
    </row>
    <row r="50">
      <c r="A50" t="n">
        <v>21</v>
      </c>
      <c r="B50">
        <f>A50*$B$6</f>
        <v/>
      </c>
      <c r="C50" s="5">
        <f>EXP(-$B$12*B50)</f>
        <v/>
      </c>
      <c r="D50" s="5">
        <f>EXP(-$B$13*B50)</f>
        <v/>
      </c>
      <c r="E50">
        <f>C50</f>
        <v/>
      </c>
      <c r="F50">
        <f>D50-C50</f>
        <v/>
      </c>
      <c r="G50">
        <f>1-D50</f>
        <v/>
      </c>
      <c r="H50">
        <f>SUM(E50:G50)</f>
        <v/>
      </c>
      <c r="I50">
        <f>IF(AND(MIN(C50:D50)&gt;=0,MAX(C50:D50)&lt;=1,MIN(E50:G50)&gt;=-1E-10,ABS(H50-1)&lt;1E-8,C50&lt;=C49+1E-10,D50&lt;=D49+1E-10),"OK","ERROR")</f>
        <v/>
      </c>
      <c r="J50">
        <f>1/(1+$B$4)^(B50+$B$6/2)</f>
        <v/>
      </c>
      <c r="K50">
        <f>1/(1+$B$5)^(B50+$B$6/2)</f>
        <v/>
      </c>
      <c r="L50" t="inlineStr">
        <is>
          <t>Average endpoints</t>
        </is>
      </c>
      <c r="M50" s="4">
        <f>SUMPRODUCT((E50:G50+E51:G51)/2,$B$17:$D$17)*$B$6</f>
        <v/>
      </c>
      <c r="N50" s="4">
        <f>M50*J50</f>
        <v/>
      </c>
      <c r="O50" s="4">
        <f>SUMPRODUCT((E50:G50+E51:G51)/2,$B$18:$D$18)*$B$6</f>
        <v/>
      </c>
      <c r="P50" s="4">
        <f>O50*J50</f>
        <v/>
      </c>
      <c r="Q50" s="4">
        <f>SUMPRODUCT((E50:G50+E51:G51)/2,$B$19:$D$19)*$B$6</f>
        <v/>
      </c>
      <c r="R50" s="4">
        <f>Q50*J50</f>
        <v/>
      </c>
      <c r="S50" s="4">
        <f>IF(A50=0,SUMPRODUCT((E50:G50+E51:G51)/2,$B$20:$D$20)*$B$6,0)</f>
        <v/>
      </c>
      <c r="T50" s="4">
        <f>S50*J50</f>
        <v/>
      </c>
      <c r="U50" s="4">
        <f>N50+P50+R50+T50</f>
        <v/>
      </c>
      <c r="V50">
        <f>SUMPRODUCT((E50:G50+E51:G51)/2,$B$24:$D$24)*$B$6</f>
        <v/>
      </c>
      <c r="W50" s="5">
        <f>V50*K50</f>
        <v/>
      </c>
      <c r="X50">
        <f>SUMPRODUCT((E50:G50+E51:G51)/2,$B$25:$D$25)*$B$6</f>
        <v/>
      </c>
      <c r="Y50">
        <f>X50*K50</f>
        <v/>
      </c>
    </row>
    <row r="51">
      <c r="A51" t="n">
        <v>22</v>
      </c>
      <c r="B51">
        <f>A51*$B$6</f>
        <v/>
      </c>
      <c r="C51" s="5">
        <f>EXP(-$B$12*B51)</f>
        <v/>
      </c>
      <c r="D51" s="5">
        <f>EXP(-$B$13*B51)</f>
        <v/>
      </c>
      <c r="E51">
        <f>C51</f>
        <v/>
      </c>
      <c r="F51">
        <f>D51-C51</f>
        <v/>
      </c>
      <c r="G51">
        <f>1-D51</f>
        <v/>
      </c>
      <c r="H51">
        <f>SUM(E51:G51)</f>
        <v/>
      </c>
      <c r="I51">
        <f>IF(AND(MIN(C51:D51)&gt;=0,MAX(C51:D51)&lt;=1,MIN(E51:G51)&gt;=-1E-10,ABS(H51-1)&lt;1E-8,C51&lt;=C50+1E-10,D51&lt;=D50+1E-10),"OK","ERROR")</f>
        <v/>
      </c>
      <c r="J51">
        <f>1/(1+$B$4)^(B51+$B$6/2)</f>
        <v/>
      </c>
      <c r="K51">
        <f>1/(1+$B$5)^(B51+$B$6/2)</f>
        <v/>
      </c>
      <c r="L51" t="inlineStr">
        <is>
          <t>Average endpoints</t>
        </is>
      </c>
      <c r="M51" s="4">
        <f>SUMPRODUCT((E51:G51+E52:G52)/2,$B$17:$D$17)*$B$6</f>
        <v/>
      </c>
      <c r="N51" s="4">
        <f>M51*J51</f>
        <v/>
      </c>
      <c r="O51" s="4">
        <f>SUMPRODUCT((E51:G51+E52:G52)/2,$B$18:$D$18)*$B$6</f>
        <v/>
      </c>
      <c r="P51" s="4">
        <f>O51*J51</f>
        <v/>
      </c>
      <c r="Q51" s="4">
        <f>SUMPRODUCT((E51:G51+E52:G52)/2,$B$19:$D$19)*$B$6</f>
        <v/>
      </c>
      <c r="R51" s="4">
        <f>Q51*J51</f>
        <v/>
      </c>
      <c r="S51" s="4">
        <f>IF(A51=0,SUMPRODUCT((E51:G51+E52:G52)/2,$B$20:$D$20)*$B$6,0)</f>
        <v/>
      </c>
      <c r="T51" s="4">
        <f>S51*J51</f>
        <v/>
      </c>
      <c r="U51" s="4">
        <f>N51+P51+R51+T51</f>
        <v/>
      </c>
      <c r="V51">
        <f>SUMPRODUCT((E51:G51+E52:G52)/2,$B$24:$D$24)*$B$6</f>
        <v/>
      </c>
      <c r="W51" s="5">
        <f>V51*K51</f>
        <v/>
      </c>
      <c r="X51">
        <f>SUMPRODUCT((E51:G51+E52:G52)/2,$B$25:$D$25)*$B$6</f>
        <v/>
      </c>
      <c r="Y51">
        <f>X51*K51</f>
        <v/>
      </c>
    </row>
    <row r="52">
      <c r="A52" t="n">
        <v>23</v>
      </c>
      <c r="B52">
        <f>A52*$B$6</f>
        <v/>
      </c>
      <c r="C52" s="5">
        <f>EXP(-$B$12*B52)</f>
        <v/>
      </c>
      <c r="D52" s="5">
        <f>EXP(-$B$13*B52)</f>
        <v/>
      </c>
      <c r="E52">
        <f>C52</f>
        <v/>
      </c>
      <c r="F52">
        <f>D52-C52</f>
        <v/>
      </c>
      <c r="G52">
        <f>1-D52</f>
        <v/>
      </c>
      <c r="H52">
        <f>SUM(E52:G52)</f>
        <v/>
      </c>
      <c r="I52">
        <f>IF(AND(MIN(C52:D52)&gt;=0,MAX(C52:D52)&lt;=1,MIN(E52:G52)&gt;=-1E-10,ABS(H52-1)&lt;1E-8,C52&lt;=C51+1E-10,D52&lt;=D51+1E-10),"OK","ERROR")</f>
        <v/>
      </c>
      <c r="J52">
        <f>1/(1+$B$4)^(B52+$B$6/2)</f>
        <v/>
      </c>
      <c r="K52">
        <f>1/(1+$B$5)^(B52+$B$6/2)</f>
        <v/>
      </c>
      <c r="L52" t="inlineStr">
        <is>
          <t>Average endpoints</t>
        </is>
      </c>
      <c r="M52" s="4">
        <f>SUMPRODUCT((E52:G52+E53:G53)/2,$B$17:$D$17)*$B$6</f>
        <v/>
      </c>
      <c r="N52" s="4">
        <f>M52*J52</f>
        <v/>
      </c>
      <c r="O52" s="4">
        <f>SUMPRODUCT((E52:G52+E53:G53)/2,$B$18:$D$18)*$B$6</f>
        <v/>
      </c>
      <c r="P52" s="4">
        <f>O52*J52</f>
        <v/>
      </c>
      <c r="Q52" s="4">
        <f>SUMPRODUCT((E52:G52+E53:G53)/2,$B$19:$D$19)*$B$6</f>
        <v/>
      </c>
      <c r="R52" s="4">
        <f>Q52*J52</f>
        <v/>
      </c>
      <c r="S52" s="4">
        <f>IF(A52=0,SUMPRODUCT((E52:G52+E53:G53)/2,$B$20:$D$20)*$B$6,0)</f>
        <v/>
      </c>
      <c r="T52" s="4">
        <f>S52*J52</f>
        <v/>
      </c>
      <c r="U52" s="4">
        <f>N52+P52+R52+T52</f>
        <v/>
      </c>
      <c r="V52">
        <f>SUMPRODUCT((E52:G52+E53:G53)/2,$B$24:$D$24)*$B$6</f>
        <v/>
      </c>
      <c r="W52" s="5">
        <f>V52*K52</f>
        <v/>
      </c>
      <c r="X52">
        <f>SUMPRODUCT((E52:G52+E53:G53)/2,$B$25:$D$25)*$B$6</f>
        <v/>
      </c>
      <c r="Y52">
        <f>X52*K52</f>
        <v/>
      </c>
    </row>
    <row r="53">
      <c r="A53" t="n">
        <v>24</v>
      </c>
      <c r="B53">
        <f>A53*$B$6</f>
        <v/>
      </c>
      <c r="C53" s="5">
        <f>EXP(-$B$12*B53)</f>
        <v/>
      </c>
      <c r="D53" s="5">
        <f>EXP(-$B$13*B53)</f>
        <v/>
      </c>
      <c r="E53">
        <f>C53</f>
        <v/>
      </c>
      <c r="F53">
        <f>D53-C53</f>
        <v/>
      </c>
      <c r="G53">
        <f>1-D53</f>
        <v/>
      </c>
      <c r="H53">
        <f>SUM(E53:G53)</f>
        <v/>
      </c>
      <c r="I53">
        <f>IF(AND(MIN(C53:D53)&gt;=0,MAX(C53:D53)&lt;=1,MIN(E53:G53)&gt;=-1E-10,ABS(H53-1)&lt;1E-8,C53&lt;=C52+1E-10,D53&lt;=D52+1E-10),"OK","ERROR")</f>
        <v/>
      </c>
      <c r="J53">
        <f>1/(1+$B$4)^(B53+$B$6/2)</f>
        <v/>
      </c>
      <c r="K53">
        <f>1/(1+$B$5)^(B53+$B$6/2)</f>
        <v/>
      </c>
      <c r="L53" t="inlineStr">
        <is>
          <t>Average endpoints</t>
        </is>
      </c>
      <c r="M53" s="4">
        <f>SUMPRODUCT((E53:G53+E54:G54)/2,$B$17:$D$17)*$B$6</f>
        <v/>
      </c>
      <c r="N53" s="4">
        <f>M53*J53</f>
        <v/>
      </c>
      <c r="O53" s="4">
        <f>SUMPRODUCT((E53:G53+E54:G54)/2,$B$18:$D$18)*$B$6</f>
        <v/>
      </c>
      <c r="P53" s="4">
        <f>O53*J53</f>
        <v/>
      </c>
      <c r="Q53" s="4">
        <f>SUMPRODUCT((E53:G53+E54:G54)/2,$B$19:$D$19)*$B$6</f>
        <v/>
      </c>
      <c r="R53" s="4">
        <f>Q53*J53</f>
        <v/>
      </c>
      <c r="S53" s="4">
        <f>IF(A53=0,SUMPRODUCT((E53:G53+E54:G54)/2,$B$20:$D$20)*$B$6,0)</f>
        <v/>
      </c>
      <c r="T53" s="4">
        <f>S53*J53</f>
        <v/>
      </c>
      <c r="U53" s="4">
        <f>N53+P53+R53+T53</f>
        <v/>
      </c>
      <c r="V53">
        <f>SUMPRODUCT((E53:G53+E54:G54)/2,$B$24:$D$24)*$B$6</f>
        <v/>
      </c>
      <c r="W53" s="5">
        <f>V53*K53</f>
        <v/>
      </c>
      <c r="X53">
        <f>SUMPRODUCT((E53:G53+E54:G54)/2,$B$25:$D$25)*$B$6</f>
        <v/>
      </c>
      <c r="Y53">
        <f>X53*K53</f>
        <v/>
      </c>
    </row>
    <row r="54">
      <c r="A54" t="n">
        <v>25</v>
      </c>
      <c r="B54">
        <f>A54*$B$6</f>
        <v/>
      </c>
      <c r="C54" s="5">
        <f>EXP(-$B$12*B54)</f>
        <v/>
      </c>
      <c r="D54" s="5">
        <f>EXP(-$B$13*B54)</f>
        <v/>
      </c>
      <c r="E54">
        <f>C54</f>
        <v/>
      </c>
      <c r="F54">
        <f>D54-C54</f>
        <v/>
      </c>
      <c r="G54">
        <f>1-D54</f>
        <v/>
      </c>
      <c r="H54">
        <f>SUM(E54:G54)</f>
        <v/>
      </c>
      <c r="I54">
        <f>IF(AND(MIN(C54:D54)&gt;=0,MAX(C54:D54)&lt;=1,MIN(E54:G54)&gt;=-1E-10,ABS(H54-1)&lt;1E-8,C54&lt;=C53+1E-10,D54&lt;=D53+1E-10),"OK","ERROR")</f>
        <v/>
      </c>
      <c r="J54">
        <f>1/(1+$B$4)^(B54+$B$6/2)</f>
        <v/>
      </c>
      <c r="K54">
        <f>1/(1+$B$5)^(B54+$B$6/2)</f>
        <v/>
      </c>
      <c r="L54" t="inlineStr">
        <is>
          <t>Average endpoints</t>
        </is>
      </c>
      <c r="M54" s="4">
        <f>SUMPRODUCT((E54:G54+E55:G55)/2,$B$17:$D$17)*$B$6</f>
        <v/>
      </c>
      <c r="N54" s="4">
        <f>M54*J54</f>
        <v/>
      </c>
      <c r="O54" s="4">
        <f>SUMPRODUCT((E54:G54+E55:G55)/2,$B$18:$D$18)*$B$6</f>
        <v/>
      </c>
      <c r="P54" s="4">
        <f>O54*J54</f>
        <v/>
      </c>
      <c r="Q54" s="4">
        <f>SUMPRODUCT((E54:G54+E55:G55)/2,$B$19:$D$19)*$B$6</f>
        <v/>
      </c>
      <c r="R54" s="4">
        <f>Q54*J54</f>
        <v/>
      </c>
      <c r="S54" s="4">
        <f>IF(A54=0,SUMPRODUCT((E54:G54+E55:G55)/2,$B$20:$D$20)*$B$6,0)</f>
        <v/>
      </c>
      <c r="T54" s="4">
        <f>S54*J54</f>
        <v/>
      </c>
      <c r="U54" s="4">
        <f>N54+P54+R54+T54</f>
        <v/>
      </c>
      <c r="V54">
        <f>SUMPRODUCT((E54:G54+E55:G55)/2,$B$24:$D$24)*$B$6</f>
        <v/>
      </c>
      <c r="W54" s="5">
        <f>V54*K54</f>
        <v/>
      </c>
      <c r="X54">
        <f>SUMPRODUCT((E54:G54+E55:G55)/2,$B$25:$D$25)*$B$6</f>
        <v/>
      </c>
      <c r="Y54">
        <f>X54*K54</f>
        <v/>
      </c>
    </row>
    <row r="55">
      <c r="A55" t="n">
        <v>26</v>
      </c>
      <c r="B55">
        <f>A55*$B$6</f>
        <v/>
      </c>
      <c r="C55" s="5">
        <f>EXP(-$B$12*B55)</f>
        <v/>
      </c>
      <c r="D55" s="5">
        <f>EXP(-$B$13*B55)</f>
        <v/>
      </c>
      <c r="E55">
        <f>C55</f>
        <v/>
      </c>
      <c r="F55">
        <f>D55-C55</f>
        <v/>
      </c>
      <c r="G55">
        <f>1-D55</f>
        <v/>
      </c>
      <c r="H55">
        <f>SUM(E55:G55)</f>
        <v/>
      </c>
      <c r="I55">
        <f>IF(AND(MIN(C55:D55)&gt;=0,MAX(C55:D55)&lt;=1,MIN(E55:G55)&gt;=-1E-10,ABS(H55-1)&lt;1E-8,C55&lt;=C54+1E-10,D55&lt;=D54+1E-10),"OK","ERROR")</f>
        <v/>
      </c>
      <c r="J55">
        <f>1/(1+$B$4)^(B55+$B$6/2)</f>
        <v/>
      </c>
      <c r="K55">
        <f>1/(1+$B$5)^(B55+$B$6/2)</f>
        <v/>
      </c>
      <c r="L55" t="inlineStr">
        <is>
          <t>Average endpoints</t>
        </is>
      </c>
      <c r="M55" s="4">
        <f>SUMPRODUCT((E55:G55+E56:G56)/2,$B$17:$D$17)*$B$6</f>
        <v/>
      </c>
      <c r="N55" s="4">
        <f>M55*J55</f>
        <v/>
      </c>
      <c r="O55" s="4">
        <f>SUMPRODUCT((E55:G55+E56:G56)/2,$B$18:$D$18)*$B$6</f>
        <v/>
      </c>
      <c r="P55" s="4">
        <f>O55*J55</f>
        <v/>
      </c>
      <c r="Q55" s="4">
        <f>SUMPRODUCT((E55:G55+E56:G56)/2,$B$19:$D$19)*$B$6</f>
        <v/>
      </c>
      <c r="R55" s="4">
        <f>Q55*J55</f>
        <v/>
      </c>
      <c r="S55" s="4">
        <f>IF(A55=0,SUMPRODUCT((E55:G55+E56:G56)/2,$B$20:$D$20)*$B$6,0)</f>
        <v/>
      </c>
      <c r="T55" s="4">
        <f>S55*J55</f>
        <v/>
      </c>
      <c r="U55" s="4">
        <f>N55+P55+R55+T55</f>
        <v/>
      </c>
      <c r="V55">
        <f>SUMPRODUCT((E55:G55+E56:G56)/2,$B$24:$D$24)*$B$6</f>
        <v/>
      </c>
      <c r="W55" s="5">
        <f>V55*K55</f>
        <v/>
      </c>
      <c r="X55">
        <f>SUMPRODUCT((E55:G55+E56:G56)/2,$B$25:$D$25)*$B$6</f>
        <v/>
      </c>
      <c r="Y55">
        <f>X55*K55</f>
        <v/>
      </c>
    </row>
    <row r="56">
      <c r="A56" t="n">
        <v>27</v>
      </c>
      <c r="B56">
        <f>A56*$B$6</f>
        <v/>
      </c>
      <c r="C56" s="5">
        <f>EXP(-$B$12*B56)</f>
        <v/>
      </c>
      <c r="D56" s="5">
        <f>EXP(-$B$13*B56)</f>
        <v/>
      </c>
      <c r="E56">
        <f>C56</f>
        <v/>
      </c>
      <c r="F56">
        <f>D56-C56</f>
        <v/>
      </c>
      <c r="G56">
        <f>1-D56</f>
        <v/>
      </c>
      <c r="H56">
        <f>SUM(E56:G56)</f>
        <v/>
      </c>
      <c r="I56">
        <f>IF(AND(MIN(C56:D56)&gt;=0,MAX(C56:D56)&lt;=1,MIN(E56:G56)&gt;=-1E-10,ABS(H56-1)&lt;1E-8,C56&lt;=C55+1E-10,D56&lt;=D55+1E-10),"OK","ERROR")</f>
        <v/>
      </c>
      <c r="J56">
        <f>1/(1+$B$4)^(B56+$B$6/2)</f>
        <v/>
      </c>
      <c r="K56">
        <f>1/(1+$B$5)^(B56+$B$6/2)</f>
        <v/>
      </c>
      <c r="L56" t="inlineStr">
        <is>
          <t>Average endpoints</t>
        </is>
      </c>
      <c r="M56" s="4">
        <f>SUMPRODUCT((E56:G56+E57:G57)/2,$B$17:$D$17)*$B$6</f>
        <v/>
      </c>
      <c r="N56" s="4">
        <f>M56*J56</f>
        <v/>
      </c>
      <c r="O56" s="4">
        <f>SUMPRODUCT((E56:G56+E57:G57)/2,$B$18:$D$18)*$B$6</f>
        <v/>
      </c>
      <c r="P56" s="4">
        <f>O56*J56</f>
        <v/>
      </c>
      <c r="Q56" s="4">
        <f>SUMPRODUCT((E56:G56+E57:G57)/2,$B$19:$D$19)*$B$6</f>
        <v/>
      </c>
      <c r="R56" s="4">
        <f>Q56*J56</f>
        <v/>
      </c>
      <c r="S56" s="4">
        <f>IF(A56=0,SUMPRODUCT((E56:G56+E57:G57)/2,$B$20:$D$20)*$B$6,0)</f>
        <v/>
      </c>
      <c r="T56" s="4">
        <f>S56*J56</f>
        <v/>
      </c>
      <c r="U56" s="4">
        <f>N56+P56+R56+T56</f>
        <v/>
      </c>
      <c r="V56">
        <f>SUMPRODUCT((E56:G56+E57:G57)/2,$B$24:$D$24)*$B$6</f>
        <v/>
      </c>
      <c r="W56" s="5">
        <f>V56*K56</f>
        <v/>
      </c>
      <c r="X56">
        <f>SUMPRODUCT((E56:G56+E57:G57)/2,$B$25:$D$25)*$B$6</f>
        <v/>
      </c>
      <c r="Y56">
        <f>X56*K56</f>
        <v/>
      </c>
    </row>
    <row r="57">
      <c r="A57" t="n">
        <v>28</v>
      </c>
      <c r="B57">
        <f>A57*$B$6</f>
        <v/>
      </c>
      <c r="C57" s="5">
        <f>EXP(-$B$12*B57)</f>
        <v/>
      </c>
      <c r="D57" s="5">
        <f>EXP(-$B$13*B57)</f>
        <v/>
      </c>
      <c r="E57">
        <f>C57</f>
        <v/>
      </c>
      <c r="F57">
        <f>D57-C57</f>
        <v/>
      </c>
      <c r="G57">
        <f>1-D57</f>
        <v/>
      </c>
      <c r="H57">
        <f>SUM(E57:G57)</f>
        <v/>
      </c>
      <c r="I57">
        <f>IF(AND(MIN(C57:D57)&gt;=0,MAX(C57:D57)&lt;=1,MIN(E57:G57)&gt;=-1E-10,ABS(H57-1)&lt;1E-8,C57&lt;=C56+1E-10,D57&lt;=D56+1E-10),"OK","ERROR")</f>
        <v/>
      </c>
      <c r="J57">
        <f>1/(1+$B$4)^(B57+$B$6/2)</f>
        <v/>
      </c>
      <c r="K57">
        <f>1/(1+$B$5)^(B57+$B$6/2)</f>
        <v/>
      </c>
      <c r="L57" t="inlineStr">
        <is>
          <t>Average endpoints</t>
        </is>
      </c>
      <c r="M57" s="4">
        <f>SUMPRODUCT((E57:G57+E58:G58)/2,$B$17:$D$17)*$B$6</f>
        <v/>
      </c>
      <c r="N57" s="4">
        <f>M57*J57</f>
        <v/>
      </c>
      <c r="O57" s="4">
        <f>SUMPRODUCT((E57:G57+E58:G58)/2,$B$18:$D$18)*$B$6</f>
        <v/>
      </c>
      <c r="P57" s="4">
        <f>O57*J57</f>
        <v/>
      </c>
      <c r="Q57" s="4">
        <f>SUMPRODUCT((E57:G57+E58:G58)/2,$B$19:$D$19)*$B$6</f>
        <v/>
      </c>
      <c r="R57" s="4">
        <f>Q57*J57</f>
        <v/>
      </c>
      <c r="S57" s="4">
        <f>IF(A57=0,SUMPRODUCT((E57:G57+E58:G58)/2,$B$20:$D$20)*$B$6,0)</f>
        <v/>
      </c>
      <c r="T57" s="4">
        <f>S57*J57</f>
        <v/>
      </c>
      <c r="U57" s="4">
        <f>N57+P57+R57+T57</f>
        <v/>
      </c>
      <c r="V57">
        <f>SUMPRODUCT((E57:G57+E58:G58)/2,$B$24:$D$24)*$B$6</f>
        <v/>
      </c>
      <c r="W57" s="5">
        <f>V57*K57</f>
        <v/>
      </c>
      <c r="X57">
        <f>SUMPRODUCT((E57:G57+E58:G58)/2,$B$25:$D$25)*$B$6</f>
        <v/>
      </c>
      <c r="Y57">
        <f>X57*K57</f>
        <v/>
      </c>
    </row>
    <row r="58">
      <c r="A58" t="n">
        <v>29</v>
      </c>
      <c r="B58">
        <f>A58*$B$6</f>
        <v/>
      </c>
      <c r="C58" s="5">
        <f>EXP(-$B$12*B58)</f>
        <v/>
      </c>
      <c r="D58" s="5">
        <f>EXP(-$B$13*B58)</f>
        <v/>
      </c>
      <c r="E58">
        <f>C58</f>
        <v/>
      </c>
      <c r="F58">
        <f>D58-C58</f>
        <v/>
      </c>
      <c r="G58">
        <f>1-D58</f>
        <v/>
      </c>
      <c r="H58">
        <f>SUM(E58:G58)</f>
        <v/>
      </c>
      <c r="I58">
        <f>IF(AND(MIN(C58:D58)&gt;=0,MAX(C58:D58)&lt;=1,MIN(E58:G58)&gt;=-1E-10,ABS(H58-1)&lt;1E-8,C58&lt;=C57+1E-10,D58&lt;=D57+1E-10),"OK","ERROR")</f>
        <v/>
      </c>
      <c r="J58">
        <f>1/(1+$B$4)^(B58+$B$6/2)</f>
        <v/>
      </c>
      <c r="K58">
        <f>1/(1+$B$5)^(B58+$B$6/2)</f>
        <v/>
      </c>
      <c r="L58" t="inlineStr">
        <is>
          <t>Average endpoints</t>
        </is>
      </c>
      <c r="M58" s="4">
        <f>SUMPRODUCT((E58:G58+E59:G59)/2,$B$17:$D$17)*$B$6</f>
        <v/>
      </c>
      <c r="N58" s="4">
        <f>M58*J58</f>
        <v/>
      </c>
      <c r="O58" s="4">
        <f>SUMPRODUCT((E58:G58+E59:G59)/2,$B$18:$D$18)*$B$6</f>
        <v/>
      </c>
      <c r="P58" s="4">
        <f>O58*J58</f>
        <v/>
      </c>
      <c r="Q58" s="4">
        <f>SUMPRODUCT((E58:G58+E59:G59)/2,$B$19:$D$19)*$B$6</f>
        <v/>
      </c>
      <c r="R58" s="4">
        <f>Q58*J58</f>
        <v/>
      </c>
      <c r="S58" s="4">
        <f>IF(A58=0,SUMPRODUCT((E58:G58+E59:G59)/2,$B$20:$D$20)*$B$6,0)</f>
        <v/>
      </c>
      <c r="T58" s="4">
        <f>S58*J58</f>
        <v/>
      </c>
      <c r="U58" s="4">
        <f>N58+P58+R58+T58</f>
        <v/>
      </c>
      <c r="V58">
        <f>SUMPRODUCT((E58:G58+E59:G59)/2,$B$24:$D$24)*$B$6</f>
        <v/>
      </c>
      <c r="W58" s="5">
        <f>V58*K58</f>
        <v/>
      </c>
      <c r="X58">
        <f>SUMPRODUCT((E58:G58+E59:G59)/2,$B$25:$D$25)*$B$6</f>
        <v/>
      </c>
      <c r="Y58">
        <f>X58*K58</f>
        <v/>
      </c>
    </row>
    <row r="59">
      <c r="A59" t="n">
        <v>30</v>
      </c>
      <c r="B59">
        <f>A59*$B$6</f>
        <v/>
      </c>
      <c r="C59" s="5">
        <f>EXP(-$B$12*B59)</f>
        <v/>
      </c>
      <c r="D59" s="5">
        <f>EXP(-$B$13*B59)</f>
        <v/>
      </c>
      <c r="E59">
        <f>C59</f>
        <v/>
      </c>
      <c r="F59">
        <f>D59-C59</f>
        <v/>
      </c>
      <c r="G59">
        <f>1-D59</f>
        <v/>
      </c>
      <c r="H59">
        <f>SUM(E59:G59)</f>
        <v/>
      </c>
      <c r="I59">
        <f>IF(AND(MIN(C59:D59)&gt;=0,MAX(C59:D59)&lt;=1,MIN(E59:G59)&gt;=-1E-10,ABS(H59-1)&lt;1E-8,C59&lt;=C58+1E-10,D59&lt;=D58+1E-10),"OK","ERROR")</f>
        <v/>
      </c>
      <c r="J59">
        <f>1/(1+$B$4)^(B59+$B$6/2)</f>
        <v/>
      </c>
      <c r="K59">
        <f>1/(1+$B$5)^(B59+$B$6/2)</f>
        <v/>
      </c>
      <c r="L59" t="inlineStr">
        <is>
          <t>Average endpoints</t>
        </is>
      </c>
      <c r="M59" s="4">
        <f>SUMPRODUCT((E59:G59+E60:G60)/2,$B$17:$D$17)*$B$6</f>
        <v/>
      </c>
      <c r="N59" s="4">
        <f>M59*J59</f>
        <v/>
      </c>
      <c r="O59" s="4">
        <f>SUMPRODUCT((E59:G59+E60:G60)/2,$B$18:$D$18)*$B$6</f>
        <v/>
      </c>
      <c r="P59" s="4">
        <f>O59*J59</f>
        <v/>
      </c>
      <c r="Q59" s="4">
        <f>SUMPRODUCT((E59:G59+E60:G60)/2,$B$19:$D$19)*$B$6</f>
        <v/>
      </c>
      <c r="R59" s="4">
        <f>Q59*J59</f>
        <v/>
      </c>
      <c r="S59" s="4">
        <f>IF(A59=0,SUMPRODUCT((E59:G59+E60:G60)/2,$B$20:$D$20)*$B$6,0)</f>
        <v/>
      </c>
      <c r="T59" s="4">
        <f>S59*J59</f>
        <v/>
      </c>
      <c r="U59" s="4">
        <f>N59+P59+R59+T59</f>
        <v/>
      </c>
      <c r="V59">
        <f>SUMPRODUCT((E59:G59+E60:G60)/2,$B$24:$D$24)*$B$6</f>
        <v/>
      </c>
      <c r="W59" s="5">
        <f>V59*K59</f>
        <v/>
      </c>
      <c r="X59">
        <f>SUMPRODUCT((E59:G59+E60:G60)/2,$B$25:$D$25)*$B$6</f>
        <v/>
      </c>
      <c r="Y59">
        <f>X59*K59</f>
        <v/>
      </c>
    </row>
    <row r="60">
      <c r="A60" t="n">
        <v>31</v>
      </c>
      <c r="B60">
        <f>A60*$B$6</f>
        <v/>
      </c>
      <c r="C60" s="5">
        <f>EXP(-$B$12*B60)</f>
        <v/>
      </c>
      <c r="D60" s="5">
        <f>EXP(-$B$13*B60)</f>
        <v/>
      </c>
      <c r="E60">
        <f>C60</f>
        <v/>
      </c>
      <c r="F60">
        <f>D60-C60</f>
        <v/>
      </c>
      <c r="G60">
        <f>1-D60</f>
        <v/>
      </c>
      <c r="H60">
        <f>SUM(E60:G60)</f>
        <v/>
      </c>
      <c r="I60">
        <f>IF(AND(MIN(C60:D60)&gt;=0,MAX(C60:D60)&lt;=1,MIN(E60:G60)&gt;=-1E-10,ABS(H60-1)&lt;1E-8,C60&lt;=C59+1E-10,D60&lt;=D59+1E-10),"OK","ERROR")</f>
        <v/>
      </c>
      <c r="J60">
        <f>1/(1+$B$4)^(B60+$B$6/2)</f>
        <v/>
      </c>
      <c r="K60">
        <f>1/(1+$B$5)^(B60+$B$6/2)</f>
        <v/>
      </c>
      <c r="L60" t="inlineStr">
        <is>
          <t>Average endpoints</t>
        </is>
      </c>
      <c r="M60" s="4">
        <f>SUMPRODUCT((E60:G60+E61:G61)/2,$B$17:$D$17)*$B$6</f>
        <v/>
      </c>
      <c r="N60" s="4">
        <f>M60*J60</f>
        <v/>
      </c>
      <c r="O60" s="4">
        <f>SUMPRODUCT((E60:G60+E61:G61)/2,$B$18:$D$18)*$B$6</f>
        <v/>
      </c>
      <c r="P60" s="4">
        <f>O60*J60</f>
        <v/>
      </c>
      <c r="Q60" s="4">
        <f>SUMPRODUCT((E60:G60+E61:G61)/2,$B$19:$D$19)*$B$6</f>
        <v/>
      </c>
      <c r="R60" s="4">
        <f>Q60*J60</f>
        <v/>
      </c>
      <c r="S60" s="4">
        <f>IF(A60=0,SUMPRODUCT((E60:G60+E61:G61)/2,$B$20:$D$20)*$B$6,0)</f>
        <v/>
      </c>
      <c r="T60" s="4">
        <f>S60*J60</f>
        <v/>
      </c>
      <c r="U60" s="4">
        <f>N60+P60+R60+T60</f>
        <v/>
      </c>
      <c r="V60">
        <f>SUMPRODUCT((E60:G60+E61:G61)/2,$B$24:$D$24)*$B$6</f>
        <v/>
      </c>
      <c r="W60" s="5">
        <f>V60*K60</f>
        <v/>
      </c>
      <c r="X60">
        <f>SUMPRODUCT((E60:G60+E61:G61)/2,$B$25:$D$25)*$B$6</f>
        <v/>
      </c>
      <c r="Y60">
        <f>X60*K60</f>
        <v/>
      </c>
    </row>
    <row r="61">
      <c r="A61" t="n">
        <v>32</v>
      </c>
      <c r="B61">
        <f>A61*$B$6</f>
        <v/>
      </c>
      <c r="C61" s="5">
        <f>EXP(-$B$12*B61)</f>
        <v/>
      </c>
      <c r="D61" s="5">
        <f>EXP(-$B$13*B61)</f>
        <v/>
      </c>
      <c r="E61">
        <f>C61</f>
        <v/>
      </c>
      <c r="F61">
        <f>D61-C61</f>
        <v/>
      </c>
      <c r="G61">
        <f>1-D61</f>
        <v/>
      </c>
      <c r="H61">
        <f>SUM(E61:G61)</f>
        <v/>
      </c>
      <c r="I61">
        <f>IF(AND(MIN(C61:D61)&gt;=0,MAX(C61:D61)&lt;=1,MIN(E61:G61)&gt;=-1E-10,ABS(H61-1)&lt;1E-8,C61&lt;=C60+1E-10,D61&lt;=D60+1E-10),"OK","ERROR")</f>
        <v/>
      </c>
      <c r="J61">
        <f>1/(1+$B$4)^(B61+$B$6/2)</f>
        <v/>
      </c>
      <c r="K61">
        <f>1/(1+$B$5)^(B61+$B$6/2)</f>
        <v/>
      </c>
      <c r="L61" t="inlineStr">
        <is>
          <t>Average endpoints</t>
        </is>
      </c>
      <c r="M61" s="4">
        <f>SUMPRODUCT((E61:G61+E62:G62)/2,$B$17:$D$17)*$B$6</f>
        <v/>
      </c>
      <c r="N61" s="4">
        <f>M61*J61</f>
        <v/>
      </c>
      <c r="O61" s="4">
        <f>SUMPRODUCT((E61:G61+E62:G62)/2,$B$18:$D$18)*$B$6</f>
        <v/>
      </c>
      <c r="P61" s="4">
        <f>O61*J61</f>
        <v/>
      </c>
      <c r="Q61" s="4">
        <f>SUMPRODUCT((E61:G61+E62:G62)/2,$B$19:$D$19)*$B$6</f>
        <v/>
      </c>
      <c r="R61" s="4">
        <f>Q61*J61</f>
        <v/>
      </c>
      <c r="S61" s="4">
        <f>IF(A61=0,SUMPRODUCT((E61:G61+E62:G62)/2,$B$20:$D$20)*$B$6,0)</f>
        <v/>
      </c>
      <c r="T61" s="4">
        <f>S61*J61</f>
        <v/>
      </c>
      <c r="U61" s="4">
        <f>N61+P61+R61+T61</f>
        <v/>
      </c>
      <c r="V61">
        <f>SUMPRODUCT((E61:G61+E62:G62)/2,$B$24:$D$24)*$B$6</f>
        <v/>
      </c>
      <c r="W61" s="5">
        <f>V61*K61</f>
        <v/>
      </c>
      <c r="X61">
        <f>SUMPRODUCT((E61:G61+E62:G62)/2,$B$25:$D$25)*$B$6</f>
        <v/>
      </c>
      <c r="Y61">
        <f>X61*K61</f>
        <v/>
      </c>
    </row>
    <row r="62">
      <c r="A62" t="n">
        <v>33</v>
      </c>
      <c r="B62">
        <f>A62*$B$6</f>
        <v/>
      </c>
      <c r="C62" s="5">
        <f>EXP(-$B$12*B62)</f>
        <v/>
      </c>
      <c r="D62" s="5">
        <f>EXP(-$B$13*B62)</f>
        <v/>
      </c>
      <c r="E62">
        <f>C62</f>
        <v/>
      </c>
      <c r="F62">
        <f>D62-C62</f>
        <v/>
      </c>
      <c r="G62">
        <f>1-D62</f>
        <v/>
      </c>
      <c r="H62">
        <f>SUM(E62:G62)</f>
        <v/>
      </c>
      <c r="I62">
        <f>IF(AND(MIN(C62:D62)&gt;=0,MAX(C62:D62)&lt;=1,MIN(E62:G62)&gt;=-1E-10,ABS(H62-1)&lt;1E-8,C62&lt;=C61+1E-10,D62&lt;=D61+1E-10),"OK","ERROR")</f>
        <v/>
      </c>
      <c r="J62">
        <f>1/(1+$B$4)^(B62+$B$6/2)</f>
        <v/>
      </c>
      <c r="K62">
        <f>1/(1+$B$5)^(B62+$B$6/2)</f>
        <v/>
      </c>
      <c r="L62" t="inlineStr">
        <is>
          <t>Average endpoints</t>
        </is>
      </c>
      <c r="M62" s="4">
        <f>SUMPRODUCT((E62:G62+E63:G63)/2,$B$17:$D$17)*$B$6</f>
        <v/>
      </c>
      <c r="N62" s="4">
        <f>M62*J62</f>
        <v/>
      </c>
      <c r="O62" s="4">
        <f>SUMPRODUCT((E62:G62+E63:G63)/2,$B$18:$D$18)*$B$6</f>
        <v/>
      </c>
      <c r="P62" s="4">
        <f>O62*J62</f>
        <v/>
      </c>
      <c r="Q62" s="4">
        <f>SUMPRODUCT((E62:G62+E63:G63)/2,$B$19:$D$19)*$B$6</f>
        <v/>
      </c>
      <c r="R62" s="4">
        <f>Q62*J62</f>
        <v/>
      </c>
      <c r="S62" s="4">
        <f>IF(A62=0,SUMPRODUCT((E62:G62+E63:G63)/2,$B$20:$D$20)*$B$6,0)</f>
        <v/>
      </c>
      <c r="T62" s="4">
        <f>S62*J62</f>
        <v/>
      </c>
      <c r="U62" s="4">
        <f>N62+P62+R62+T62</f>
        <v/>
      </c>
      <c r="V62">
        <f>SUMPRODUCT((E62:G62+E63:G63)/2,$B$24:$D$24)*$B$6</f>
        <v/>
      </c>
      <c r="W62" s="5">
        <f>V62*K62</f>
        <v/>
      </c>
      <c r="X62">
        <f>SUMPRODUCT((E62:G62+E63:G63)/2,$B$25:$D$25)*$B$6</f>
        <v/>
      </c>
      <c r="Y62">
        <f>X62*K62</f>
        <v/>
      </c>
    </row>
    <row r="63">
      <c r="A63" t="n">
        <v>34</v>
      </c>
      <c r="B63">
        <f>A63*$B$6</f>
        <v/>
      </c>
      <c r="C63" s="5">
        <f>EXP(-$B$12*B63)</f>
        <v/>
      </c>
      <c r="D63" s="5">
        <f>EXP(-$B$13*B63)</f>
        <v/>
      </c>
      <c r="E63">
        <f>C63</f>
        <v/>
      </c>
      <c r="F63">
        <f>D63-C63</f>
        <v/>
      </c>
      <c r="G63">
        <f>1-D63</f>
        <v/>
      </c>
      <c r="H63">
        <f>SUM(E63:G63)</f>
        <v/>
      </c>
      <c r="I63">
        <f>IF(AND(MIN(C63:D63)&gt;=0,MAX(C63:D63)&lt;=1,MIN(E63:G63)&gt;=-1E-10,ABS(H63-1)&lt;1E-8,C63&lt;=C62+1E-10,D63&lt;=D62+1E-10),"OK","ERROR")</f>
        <v/>
      </c>
      <c r="J63">
        <f>1/(1+$B$4)^(B63+$B$6/2)</f>
        <v/>
      </c>
      <c r="K63">
        <f>1/(1+$B$5)^(B63+$B$6/2)</f>
        <v/>
      </c>
      <c r="L63" t="inlineStr">
        <is>
          <t>Average endpoints</t>
        </is>
      </c>
      <c r="M63" s="4">
        <f>SUMPRODUCT((E63:G63+E64:G64)/2,$B$17:$D$17)*$B$6</f>
        <v/>
      </c>
      <c r="N63" s="4">
        <f>M63*J63</f>
        <v/>
      </c>
      <c r="O63" s="4">
        <f>SUMPRODUCT((E63:G63+E64:G64)/2,$B$18:$D$18)*$B$6</f>
        <v/>
      </c>
      <c r="P63" s="4">
        <f>O63*J63</f>
        <v/>
      </c>
      <c r="Q63" s="4">
        <f>SUMPRODUCT((E63:G63+E64:G64)/2,$B$19:$D$19)*$B$6</f>
        <v/>
      </c>
      <c r="R63" s="4">
        <f>Q63*J63</f>
        <v/>
      </c>
      <c r="S63" s="4">
        <f>IF(A63=0,SUMPRODUCT((E63:G63+E64:G64)/2,$B$20:$D$20)*$B$6,0)</f>
        <v/>
      </c>
      <c r="T63" s="4">
        <f>S63*J63</f>
        <v/>
      </c>
      <c r="U63" s="4">
        <f>N63+P63+R63+T63</f>
        <v/>
      </c>
      <c r="V63">
        <f>SUMPRODUCT((E63:G63+E64:G64)/2,$B$24:$D$24)*$B$6</f>
        <v/>
      </c>
      <c r="W63" s="5">
        <f>V63*K63</f>
        <v/>
      </c>
      <c r="X63">
        <f>SUMPRODUCT((E63:G63+E64:G64)/2,$B$25:$D$25)*$B$6</f>
        <v/>
      </c>
      <c r="Y63">
        <f>X63*K63</f>
        <v/>
      </c>
    </row>
    <row r="64">
      <c r="A64" t="n">
        <v>35</v>
      </c>
      <c r="B64">
        <f>A64*$B$6</f>
        <v/>
      </c>
      <c r="C64" s="5">
        <f>EXP(-$B$12*B64)</f>
        <v/>
      </c>
      <c r="D64" s="5">
        <f>EXP(-$B$13*B64)</f>
        <v/>
      </c>
      <c r="E64">
        <f>C64</f>
        <v/>
      </c>
      <c r="F64">
        <f>D64-C64</f>
        <v/>
      </c>
      <c r="G64">
        <f>1-D64</f>
        <v/>
      </c>
      <c r="H64">
        <f>SUM(E64:G64)</f>
        <v/>
      </c>
      <c r="I64">
        <f>IF(AND(MIN(C64:D64)&gt;=0,MAX(C64:D64)&lt;=1,MIN(E64:G64)&gt;=-1E-10,ABS(H64-1)&lt;1E-8,C64&lt;=C63+1E-10,D64&lt;=D63+1E-10),"OK","ERROR")</f>
        <v/>
      </c>
      <c r="J64">
        <f>1/(1+$B$4)^(B64+$B$6/2)</f>
        <v/>
      </c>
      <c r="K64">
        <f>1/(1+$B$5)^(B64+$B$6/2)</f>
        <v/>
      </c>
      <c r="L64" t="inlineStr">
        <is>
          <t>Average endpoints</t>
        </is>
      </c>
      <c r="M64" s="4">
        <f>SUMPRODUCT((E64:G64+E65:G65)/2,$B$17:$D$17)*$B$6</f>
        <v/>
      </c>
      <c r="N64" s="4">
        <f>M64*J64</f>
        <v/>
      </c>
      <c r="O64" s="4">
        <f>SUMPRODUCT((E64:G64+E65:G65)/2,$B$18:$D$18)*$B$6</f>
        <v/>
      </c>
      <c r="P64" s="4">
        <f>O64*J64</f>
        <v/>
      </c>
      <c r="Q64" s="4">
        <f>SUMPRODUCT((E64:G64+E65:G65)/2,$B$19:$D$19)*$B$6</f>
        <v/>
      </c>
      <c r="R64" s="4">
        <f>Q64*J64</f>
        <v/>
      </c>
      <c r="S64" s="4">
        <f>IF(A64=0,SUMPRODUCT((E64:G64+E65:G65)/2,$B$20:$D$20)*$B$6,0)</f>
        <v/>
      </c>
      <c r="T64" s="4">
        <f>S64*J64</f>
        <v/>
      </c>
      <c r="U64" s="4">
        <f>N64+P64+R64+T64</f>
        <v/>
      </c>
      <c r="V64">
        <f>SUMPRODUCT((E64:G64+E65:G65)/2,$B$24:$D$24)*$B$6</f>
        <v/>
      </c>
      <c r="W64" s="5">
        <f>V64*K64</f>
        <v/>
      </c>
      <c r="X64">
        <f>SUMPRODUCT((E64:G64+E65:G65)/2,$B$25:$D$25)*$B$6</f>
        <v/>
      </c>
      <c r="Y64">
        <f>X64*K64</f>
        <v/>
      </c>
    </row>
    <row r="65">
      <c r="A65" t="n">
        <v>36</v>
      </c>
      <c r="B65">
        <f>A65*$B$6</f>
        <v/>
      </c>
      <c r="C65" s="5">
        <f>EXP(-$B$12*B65)</f>
        <v/>
      </c>
      <c r="D65" s="5">
        <f>EXP(-$B$13*B65)</f>
        <v/>
      </c>
      <c r="E65">
        <f>C65</f>
        <v/>
      </c>
      <c r="F65">
        <f>D65-C65</f>
        <v/>
      </c>
      <c r="G65">
        <f>1-D65</f>
        <v/>
      </c>
      <c r="H65">
        <f>SUM(E65:G65)</f>
        <v/>
      </c>
      <c r="I65">
        <f>IF(AND(MIN(C65:D65)&gt;=0,MAX(C65:D65)&lt;=1,MIN(E65:G65)&gt;=-1E-10,ABS(H65-1)&lt;1E-8,C65&lt;=C64+1E-10,D65&lt;=D64+1E-10),"OK","ERROR")</f>
        <v/>
      </c>
      <c r="J65">
        <f>1/(1+$B$4)^(B65+$B$6/2)</f>
        <v/>
      </c>
      <c r="K65">
        <f>1/(1+$B$5)^(B65+$B$6/2)</f>
        <v/>
      </c>
      <c r="L65" t="inlineStr">
        <is>
          <t>Average endpoints</t>
        </is>
      </c>
      <c r="M65" s="4">
        <f>SUMPRODUCT((E65:G65+E66:G66)/2,$B$17:$D$17)*$B$6</f>
        <v/>
      </c>
      <c r="N65" s="4">
        <f>M65*J65</f>
        <v/>
      </c>
      <c r="O65" s="4">
        <f>SUMPRODUCT((E65:G65+E66:G66)/2,$B$18:$D$18)*$B$6</f>
        <v/>
      </c>
      <c r="P65" s="4">
        <f>O65*J65</f>
        <v/>
      </c>
      <c r="Q65" s="4">
        <f>SUMPRODUCT((E65:G65+E66:G66)/2,$B$19:$D$19)*$B$6</f>
        <v/>
      </c>
      <c r="R65" s="4">
        <f>Q65*J65</f>
        <v/>
      </c>
      <c r="S65" s="4">
        <f>IF(A65=0,SUMPRODUCT((E65:G65+E66:G66)/2,$B$20:$D$20)*$B$6,0)</f>
        <v/>
      </c>
      <c r="T65" s="4">
        <f>S65*J65</f>
        <v/>
      </c>
      <c r="U65" s="4">
        <f>N65+P65+R65+T65</f>
        <v/>
      </c>
      <c r="V65">
        <f>SUMPRODUCT((E65:G65+E66:G66)/2,$B$24:$D$24)*$B$6</f>
        <v/>
      </c>
      <c r="W65" s="5">
        <f>V65*K65</f>
        <v/>
      </c>
      <c r="X65">
        <f>SUMPRODUCT((E65:G65+E66:G66)/2,$B$25:$D$25)*$B$6</f>
        <v/>
      </c>
      <c r="Y65">
        <f>X65*K65</f>
        <v/>
      </c>
    </row>
    <row r="66">
      <c r="A66" t="n">
        <v>37</v>
      </c>
      <c r="B66">
        <f>A66*$B$6</f>
        <v/>
      </c>
      <c r="C66" s="5">
        <f>EXP(-$B$12*B66)</f>
        <v/>
      </c>
      <c r="D66" s="5">
        <f>EXP(-$B$13*B66)</f>
        <v/>
      </c>
      <c r="E66">
        <f>C66</f>
        <v/>
      </c>
      <c r="F66">
        <f>D66-C66</f>
        <v/>
      </c>
      <c r="G66">
        <f>1-D66</f>
        <v/>
      </c>
      <c r="H66">
        <f>SUM(E66:G66)</f>
        <v/>
      </c>
      <c r="I66">
        <f>IF(AND(MIN(C66:D66)&gt;=0,MAX(C66:D66)&lt;=1,MIN(E66:G66)&gt;=-1E-10,ABS(H66-1)&lt;1E-8,C66&lt;=C65+1E-10,D66&lt;=D65+1E-10),"OK","ERROR")</f>
        <v/>
      </c>
      <c r="J66">
        <f>1/(1+$B$4)^(B66+$B$6/2)</f>
        <v/>
      </c>
      <c r="K66">
        <f>1/(1+$B$5)^(B66+$B$6/2)</f>
        <v/>
      </c>
      <c r="L66" t="inlineStr">
        <is>
          <t>Average endpoints</t>
        </is>
      </c>
      <c r="M66" s="4">
        <f>SUMPRODUCT((E66:G66+E67:G67)/2,$B$17:$D$17)*$B$6</f>
        <v/>
      </c>
      <c r="N66" s="4">
        <f>M66*J66</f>
        <v/>
      </c>
      <c r="O66" s="4">
        <f>SUMPRODUCT((E66:G66+E67:G67)/2,$B$18:$D$18)*$B$6</f>
        <v/>
      </c>
      <c r="P66" s="4">
        <f>O66*J66</f>
        <v/>
      </c>
      <c r="Q66" s="4">
        <f>SUMPRODUCT((E66:G66+E67:G67)/2,$B$19:$D$19)*$B$6</f>
        <v/>
      </c>
      <c r="R66" s="4">
        <f>Q66*J66</f>
        <v/>
      </c>
      <c r="S66" s="4">
        <f>IF(A66=0,SUMPRODUCT((E66:G66+E67:G67)/2,$B$20:$D$20)*$B$6,0)</f>
        <v/>
      </c>
      <c r="T66" s="4">
        <f>S66*J66</f>
        <v/>
      </c>
      <c r="U66" s="4">
        <f>N66+P66+R66+T66</f>
        <v/>
      </c>
      <c r="V66">
        <f>SUMPRODUCT((E66:G66+E67:G67)/2,$B$24:$D$24)*$B$6</f>
        <v/>
      </c>
      <c r="W66" s="5">
        <f>V66*K66</f>
        <v/>
      </c>
      <c r="X66">
        <f>SUMPRODUCT((E66:G66+E67:G67)/2,$B$25:$D$25)*$B$6</f>
        <v/>
      </c>
      <c r="Y66">
        <f>X66*K66</f>
        <v/>
      </c>
    </row>
    <row r="67">
      <c r="A67" t="n">
        <v>38</v>
      </c>
      <c r="B67">
        <f>A67*$B$6</f>
        <v/>
      </c>
      <c r="C67" s="5">
        <f>EXP(-$B$12*B67)</f>
        <v/>
      </c>
      <c r="D67" s="5">
        <f>EXP(-$B$13*B67)</f>
        <v/>
      </c>
      <c r="E67">
        <f>C67</f>
        <v/>
      </c>
      <c r="F67">
        <f>D67-C67</f>
        <v/>
      </c>
      <c r="G67">
        <f>1-D67</f>
        <v/>
      </c>
      <c r="H67">
        <f>SUM(E67:G67)</f>
        <v/>
      </c>
      <c r="I67">
        <f>IF(AND(MIN(C67:D67)&gt;=0,MAX(C67:D67)&lt;=1,MIN(E67:G67)&gt;=-1E-10,ABS(H67-1)&lt;1E-8,C67&lt;=C66+1E-10,D67&lt;=D66+1E-10),"OK","ERROR")</f>
        <v/>
      </c>
      <c r="J67">
        <f>1/(1+$B$4)^(B67+$B$6/2)</f>
        <v/>
      </c>
      <c r="K67">
        <f>1/(1+$B$5)^(B67+$B$6/2)</f>
        <v/>
      </c>
      <c r="L67" t="inlineStr">
        <is>
          <t>Average endpoints</t>
        </is>
      </c>
      <c r="M67" s="4">
        <f>SUMPRODUCT((E67:G67+E68:G68)/2,$B$17:$D$17)*$B$6</f>
        <v/>
      </c>
      <c r="N67" s="4">
        <f>M67*J67</f>
        <v/>
      </c>
      <c r="O67" s="4">
        <f>SUMPRODUCT((E67:G67+E68:G68)/2,$B$18:$D$18)*$B$6</f>
        <v/>
      </c>
      <c r="P67" s="4">
        <f>O67*J67</f>
        <v/>
      </c>
      <c r="Q67" s="4">
        <f>SUMPRODUCT((E67:G67+E68:G68)/2,$B$19:$D$19)*$B$6</f>
        <v/>
      </c>
      <c r="R67" s="4">
        <f>Q67*J67</f>
        <v/>
      </c>
      <c r="S67" s="4">
        <f>IF(A67=0,SUMPRODUCT((E67:G67+E68:G68)/2,$B$20:$D$20)*$B$6,0)</f>
        <v/>
      </c>
      <c r="T67" s="4">
        <f>S67*J67</f>
        <v/>
      </c>
      <c r="U67" s="4">
        <f>N67+P67+R67+T67</f>
        <v/>
      </c>
      <c r="V67">
        <f>SUMPRODUCT((E67:G67+E68:G68)/2,$B$24:$D$24)*$B$6</f>
        <v/>
      </c>
      <c r="W67" s="5">
        <f>V67*K67</f>
        <v/>
      </c>
      <c r="X67">
        <f>SUMPRODUCT((E67:G67+E68:G68)/2,$B$25:$D$25)*$B$6</f>
        <v/>
      </c>
      <c r="Y67">
        <f>X67*K67</f>
        <v/>
      </c>
    </row>
    <row r="68">
      <c r="A68" t="n">
        <v>39</v>
      </c>
      <c r="B68">
        <f>A68*$B$6</f>
        <v/>
      </c>
      <c r="C68" s="5">
        <f>EXP(-$B$12*B68)</f>
        <v/>
      </c>
      <c r="D68" s="5">
        <f>EXP(-$B$13*B68)</f>
        <v/>
      </c>
      <c r="E68">
        <f>C68</f>
        <v/>
      </c>
      <c r="F68">
        <f>D68-C68</f>
        <v/>
      </c>
      <c r="G68">
        <f>1-D68</f>
        <v/>
      </c>
      <c r="H68">
        <f>SUM(E68:G68)</f>
        <v/>
      </c>
      <c r="I68">
        <f>IF(AND(MIN(C68:D68)&gt;=0,MAX(C68:D68)&lt;=1,MIN(E68:G68)&gt;=-1E-10,ABS(H68-1)&lt;1E-8,C68&lt;=C67+1E-10,D68&lt;=D67+1E-10),"OK","ERROR")</f>
        <v/>
      </c>
      <c r="J68">
        <f>1/(1+$B$4)^(B68+$B$6/2)</f>
        <v/>
      </c>
      <c r="K68">
        <f>1/(1+$B$5)^(B68+$B$6/2)</f>
        <v/>
      </c>
      <c r="L68" t="inlineStr">
        <is>
          <t>Average endpoints</t>
        </is>
      </c>
      <c r="M68" s="4">
        <f>SUMPRODUCT((E68:G68+E69:G69)/2,$B$17:$D$17)*$B$6</f>
        <v/>
      </c>
      <c r="N68" s="4">
        <f>M68*J68</f>
        <v/>
      </c>
      <c r="O68" s="4">
        <f>SUMPRODUCT((E68:G68+E69:G69)/2,$B$18:$D$18)*$B$6</f>
        <v/>
      </c>
      <c r="P68" s="4">
        <f>O68*J68</f>
        <v/>
      </c>
      <c r="Q68" s="4">
        <f>SUMPRODUCT((E68:G68+E69:G69)/2,$B$19:$D$19)*$B$6</f>
        <v/>
      </c>
      <c r="R68" s="4">
        <f>Q68*J68</f>
        <v/>
      </c>
      <c r="S68" s="4">
        <f>IF(A68=0,SUMPRODUCT((E68:G68+E69:G69)/2,$B$20:$D$20)*$B$6,0)</f>
        <v/>
      </c>
      <c r="T68" s="4">
        <f>S68*J68</f>
        <v/>
      </c>
      <c r="U68" s="4">
        <f>N68+P68+R68+T68</f>
        <v/>
      </c>
      <c r="V68">
        <f>SUMPRODUCT((E68:G68+E69:G69)/2,$B$24:$D$24)*$B$6</f>
        <v/>
      </c>
      <c r="W68" s="5">
        <f>V68*K68</f>
        <v/>
      </c>
      <c r="X68">
        <f>SUMPRODUCT((E68:G68+E69:G69)/2,$B$25:$D$25)*$B$6</f>
        <v/>
      </c>
      <c r="Y68">
        <f>X68*K68</f>
        <v/>
      </c>
    </row>
    <row r="69">
      <c r="A69" t="n">
        <v>40</v>
      </c>
      <c r="B69">
        <f>A69*$B$6</f>
        <v/>
      </c>
      <c r="C69" s="5">
        <f>EXP(-$B$12*B69)</f>
        <v/>
      </c>
      <c r="D69" s="5">
        <f>EXP(-$B$13*B69)</f>
        <v/>
      </c>
      <c r="E69">
        <f>C69</f>
        <v/>
      </c>
      <c r="F69">
        <f>D69-C69</f>
        <v/>
      </c>
      <c r="G69">
        <f>1-D69</f>
        <v/>
      </c>
      <c r="H69">
        <f>SUM(E69:G69)</f>
        <v/>
      </c>
      <c r="I69">
        <f>IF(AND(MIN(C69:D69)&gt;=0,MAX(C69:D69)&lt;=1,MIN(E69:G69)&gt;=-1E-10,ABS(H69-1)&lt;1E-8,C69&lt;=C68+1E-10,D69&lt;=D68+1E-10),"OK","ERROR")</f>
        <v/>
      </c>
      <c r="J69">
        <f>1/(1+$B$4)^(B69+$B$6/2)</f>
        <v/>
      </c>
      <c r="K69">
        <f>1/(1+$B$5)^(B69+$B$6/2)</f>
        <v/>
      </c>
      <c r="L69" t="inlineStr">
        <is>
          <t>Average endpoints</t>
        </is>
      </c>
      <c r="M69" s="4">
        <f>SUMPRODUCT((E69:G69+E70:G70)/2,$B$17:$D$17)*$B$6</f>
        <v/>
      </c>
      <c r="N69" s="4">
        <f>M69*J69</f>
        <v/>
      </c>
      <c r="O69" s="4">
        <f>SUMPRODUCT((E69:G69+E70:G70)/2,$B$18:$D$18)*$B$6</f>
        <v/>
      </c>
      <c r="P69" s="4">
        <f>O69*J69</f>
        <v/>
      </c>
      <c r="Q69" s="4">
        <f>SUMPRODUCT((E69:G69+E70:G70)/2,$B$19:$D$19)*$B$6</f>
        <v/>
      </c>
      <c r="R69" s="4">
        <f>Q69*J69</f>
        <v/>
      </c>
      <c r="S69" s="4">
        <f>IF(A69=0,SUMPRODUCT((E69:G69+E70:G70)/2,$B$20:$D$20)*$B$6,0)</f>
        <v/>
      </c>
      <c r="T69" s="4">
        <f>S69*J69</f>
        <v/>
      </c>
      <c r="U69" s="4">
        <f>N69+P69+R69+T69</f>
        <v/>
      </c>
      <c r="V69">
        <f>SUMPRODUCT((E69:G69+E70:G70)/2,$B$24:$D$24)*$B$6</f>
        <v/>
      </c>
      <c r="W69" s="5">
        <f>V69*K69</f>
        <v/>
      </c>
      <c r="X69">
        <f>SUMPRODUCT((E69:G69+E70:G70)/2,$B$25:$D$25)*$B$6</f>
        <v/>
      </c>
      <c r="Y69">
        <f>X69*K69</f>
        <v/>
      </c>
    </row>
    <row r="70">
      <c r="A70" t="n">
        <v>41</v>
      </c>
      <c r="B70">
        <f>A70*$B$6</f>
        <v/>
      </c>
      <c r="C70" s="5">
        <f>EXP(-$B$12*B70)</f>
        <v/>
      </c>
      <c r="D70" s="5">
        <f>EXP(-$B$13*B70)</f>
        <v/>
      </c>
      <c r="E70">
        <f>C70</f>
        <v/>
      </c>
      <c r="F70">
        <f>D70-C70</f>
        <v/>
      </c>
      <c r="G70">
        <f>1-D70</f>
        <v/>
      </c>
      <c r="H70">
        <f>SUM(E70:G70)</f>
        <v/>
      </c>
      <c r="I70">
        <f>IF(AND(MIN(C70:D70)&gt;=0,MAX(C70:D70)&lt;=1,MIN(E70:G70)&gt;=-1E-10,ABS(H70-1)&lt;1E-8,C70&lt;=C69+1E-10,D70&lt;=D69+1E-10),"OK","ERROR")</f>
        <v/>
      </c>
      <c r="J70">
        <f>1/(1+$B$4)^(B70+$B$6/2)</f>
        <v/>
      </c>
      <c r="K70">
        <f>1/(1+$B$5)^(B70+$B$6/2)</f>
        <v/>
      </c>
      <c r="L70" t="inlineStr">
        <is>
          <t>Average endpoints</t>
        </is>
      </c>
      <c r="M70" s="4">
        <f>SUMPRODUCT((E70:G70+E71:G71)/2,$B$17:$D$17)*$B$6</f>
        <v/>
      </c>
      <c r="N70" s="4">
        <f>M70*J70</f>
        <v/>
      </c>
      <c r="O70" s="4">
        <f>SUMPRODUCT((E70:G70+E71:G71)/2,$B$18:$D$18)*$B$6</f>
        <v/>
      </c>
      <c r="P70" s="4">
        <f>O70*J70</f>
        <v/>
      </c>
      <c r="Q70" s="4">
        <f>SUMPRODUCT((E70:G70+E71:G71)/2,$B$19:$D$19)*$B$6</f>
        <v/>
      </c>
      <c r="R70" s="4">
        <f>Q70*J70</f>
        <v/>
      </c>
      <c r="S70" s="4">
        <f>IF(A70=0,SUMPRODUCT((E70:G70+E71:G71)/2,$B$20:$D$20)*$B$6,0)</f>
        <v/>
      </c>
      <c r="T70" s="4">
        <f>S70*J70</f>
        <v/>
      </c>
      <c r="U70" s="4">
        <f>N70+P70+R70+T70</f>
        <v/>
      </c>
      <c r="V70">
        <f>SUMPRODUCT((E70:G70+E71:G71)/2,$B$24:$D$24)*$B$6</f>
        <v/>
      </c>
      <c r="W70" s="5">
        <f>V70*K70</f>
        <v/>
      </c>
      <c r="X70">
        <f>SUMPRODUCT((E70:G70+E71:G71)/2,$B$25:$D$25)*$B$6</f>
        <v/>
      </c>
      <c r="Y70">
        <f>X70*K70</f>
        <v/>
      </c>
    </row>
    <row r="71">
      <c r="A71" t="n">
        <v>42</v>
      </c>
      <c r="B71">
        <f>A71*$B$6</f>
        <v/>
      </c>
      <c r="C71" s="5">
        <f>EXP(-$B$12*B71)</f>
        <v/>
      </c>
      <c r="D71" s="5">
        <f>EXP(-$B$13*B71)</f>
        <v/>
      </c>
      <c r="E71">
        <f>C71</f>
        <v/>
      </c>
      <c r="F71">
        <f>D71-C71</f>
        <v/>
      </c>
      <c r="G71">
        <f>1-D71</f>
        <v/>
      </c>
      <c r="H71">
        <f>SUM(E71:G71)</f>
        <v/>
      </c>
      <c r="I71">
        <f>IF(AND(MIN(C71:D71)&gt;=0,MAX(C71:D71)&lt;=1,MIN(E71:G71)&gt;=-1E-10,ABS(H71-1)&lt;1E-8,C71&lt;=C70+1E-10,D71&lt;=D70+1E-10),"OK","ERROR")</f>
        <v/>
      </c>
      <c r="J71">
        <f>1/(1+$B$4)^(B71+$B$6/2)</f>
        <v/>
      </c>
      <c r="K71">
        <f>1/(1+$B$5)^(B71+$B$6/2)</f>
        <v/>
      </c>
      <c r="L71" t="inlineStr">
        <is>
          <t>Average endpoints</t>
        </is>
      </c>
      <c r="M71" s="4">
        <f>SUMPRODUCT((E71:G71+E72:G72)/2,$B$17:$D$17)*$B$6</f>
        <v/>
      </c>
      <c r="N71" s="4">
        <f>M71*J71</f>
        <v/>
      </c>
      <c r="O71" s="4">
        <f>SUMPRODUCT((E71:G71+E72:G72)/2,$B$18:$D$18)*$B$6</f>
        <v/>
      </c>
      <c r="P71" s="4">
        <f>O71*J71</f>
        <v/>
      </c>
      <c r="Q71" s="4">
        <f>SUMPRODUCT((E71:G71+E72:G72)/2,$B$19:$D$19)*$B$6</f>
        <v/>
      </c>
      <c r="R71" s="4">
        <f>Q71*J71</f>
        <v/>
      </c>
      <c r="S71" s="4">
        <f>IF(A71=0,SUMPRODUCT((E71:G71+E72:G72)/2,$B$20:$D$20)*$B$6,0)</f>
        <v/>
      </c>
      <c r="T71" s="4">
        <f>S71*J71</f>
        <v/>
      </c>
      <c r="U71" s="4">
        <f>N71+P71+R71+T71</f>
        <v/>
      </c>
      <c r="V71">
        <f>SUMPRODUCT((E71:G71+E72:G72)/2,$B$24:$D$24)*$B$6</f>
        <v/>
      </c>
      <c r="W71" s="5">
        <f>V71*K71</f>
        <v/>
      </c>
      <c r="X71">
        <f>SUMPRODUCT((E71:G71+E72:G72)/2,$B$25:$D$25)*$B$6</f>
        <v/>
      </c>
      <c r="Y71">
        <f>X71*K71</f>
        <v/>
      </c>
    </row>
    <row r="72">
      <c r="A72" t="n">
        <v>43</v>
      </c>
      <c r="B72">
        <f>A72*$B$6</f>
        <v/>
      </c>
      <c r="C72" s="5">
        <f>EXP(-$B$12*B72)</f>
        <v/>
      </c>
      <c r="D72" s="5">
        <f>EXP(-$B$13*B72)</f>
        <v/>
      </c>
      <c r="E72">
        <f>C72</f>
        <v/>
      </c>
      <c r="F72">
        <f>D72-C72</f>
        <v/>
      </c>
      <c r="G72">
        <f>1-D72</f>
        <v/>
      </c>
      <c r="H72">
        <f>SUM(E72:G72)</f>
        <v/>
      </c>
      <c r="I72">
        <f>IF(AND(MIN(C72:D72)&gt;=0,MAX(C72:D72)&lt;=1,MIN(E72:G72)&gt;=-1E-10,ABS(H72-1)&lt;1E-8,C72&lt;=C71+1E-10,D72&lt;=D71+1E-10),"OK","ERROR")</f>
        <v/>
      </c>
      <c r="J72">
        <f>1/(1+$B$4)^(B72+$B$6/2)</f>
        <v/>
      </c>
      <c r="K72">
        <f>1/(1+$B$5)^(B72+$B$6/2)</f>
        <v/>
      </c>
      <c r="L72" t="inlineStr">
        <is>
          <t>Average endpoints</t>
        </is>
      </c>
      <c r="M72" s="4">
        <f>SUMPRODUCT((E72:G72+E73:G73)/2,$B$17:$D$17)*$B$6</f>
        <v/>
      </c>
      <c r="N72" s="4">
        <f>M72*J72</f>
        <v/>
      </c>
      <c r="O72" s="4">
        <f>SUMPRODUCT((E72:G72+E73:G73)/2,$B$18:$D$18)*$B$6</f>
        <v/>
      </c>
      <c r="P72" s="4">
        <f>O72*J72</f>
        <v/>
      </c>
      <c r="Q72" s="4">
        <f>SUMPRODUCT((E72:G72+E73:G73)/2,$B$19:$D$19)*$B$6</f>
        <v/>
      </c>
      <c r="R72" s="4">
        <f>Q72*J72</f>
        <v/>
      </c>
      <c r="S72" s="4">
        <f>IF(A72=0,SUMPRODUCT((E72:G72+E73:G73)/2,$B$20:$D$20)*$B$6,0)</f>
        <v/>
      </c>
      <c r="T72" s="4">
        <f>S72*J72</f>
        <v/>
      </c>
      <c r="U72" s="4">
        <f>N72+P72+R72+T72</f>
        <v/>
      </c>
      <c r="V72">
        <f>SUMPRODUCT((E72:G72+E73:G73)/2,$B$24:$D$24)*$B$6</f>
        <v/>
      </c>
      <c r="W72" s="5">
        <f>V72*K72</f>
        <v/>
      </c>
      <c r="X72">
        <f>SUMPRODUCT((E72:G72+E73:G73)/2,$B$25:$D$25)*$B$6</f>
        <v/>
      </c>
      <c r="Y72">
        <f>X72*K72</f>
        <v/>
      </c>
    </row>
    <row r="73">
      <c r="A73" t="n">
        <v>44</v>
      </c>
      <c r="B73">
        <f>A73*$B$6</f>
        <v/>
      </c>
      <c r="C73" s="5">
        <f>EXP(-$B$12*B73)</f>
        <v/>
      </c>
      <c r="D73" s="5">
        <f>EXP(-$B$13*B73)</f>
        <v/>
      </c>
      <c r="E73">
        <f>C73</f>
        <v/>
      </c>
      <c r="F73">
        <f>D73-C73</f>
        <v/>
      </c>
      <c r="G73">
        <f>1-D73</f>
        <v/>
      </c>
      <c r="H73">
        <f>SUM(E73:G73)</f>
        <v/>
      </c>
      <c r="I73">
        <f>IF(AND(MIN(C73:D73)&gt;=0,MAX(C73:D73)&lt;=1,MIN(E73:G73)&gt;=-1E-10,ABS(H73-1)&lt;1E-8,C73&lt;=C72+1E-10,D73&lt;=D72+1E-10),"OK","ERROR")</f>
        <v/>
      </c>
      <c r="J73">
        <f>1/(1+$B$4)^(B73+$B$6/2)</f>
        <v/>
      </c>
      <c r="K73">
        <f>1/(1+$B$5)^(B73+$B$6/2)</f>
        <v/>
      </c>
      <c r="L73" t="inlineStr">
        <is>
          <t>Average endpoints</t>
        </is>
      </c>
      <c r="M73" s="4">
        <f>SUMPRODUCT((E73:G73+E74:G74)/2,$B$17:$D$17)*$B$6</f>
        <v/>
      </c>
      <c r="N73" s="4">
        <f>M73*J73</f>
        <v/>
      </c>
      <c r="O73" s="4">
        <f>SUMPRODUCT((E73:G73+E74:G74)/2,$B$18:$D$18)*$B$6</f>
        <v/>
      </c>
      <c r="P73" s="4">
        <f>O73*J73</f>
        <v/>
      </c>
      <c r="Q73" s="4">
        <f>SUMPRODUCT((E73:G73+E74:G74)/2,$B$19:$D$19)*$B$6</f>
        <v/>
      </c>
      <c r="R73" s="4">
        <f>Q73*J73</f>
        <v/>
      </c>
      <c r="S73" s="4">
        <f>IF(A73=0,SUMPRODUCT((E73:G73+E74:G74)/2,$B$20:$D$20)*$B$6,0)</f>
        <v/>
      </c>
      <c r="T73" s="4">
        <f>S73*J73</f>
        <v/>
      </c>
      <c r="U73" s="4">
        <f>N73+P73+R73+T73</f>
        <v/>
      </c>
      <c r="V73">
        <f>SUMPRODUCT((E73:G73+E74:G74)/2,$B$24:$D$24)*$B$6</f>
        <v/>
      </c>
      <c r="W73" s="5">
        <f>V73*K73</f>
        <v/>
      </c>
      <c r="X73">
        <f>SUMPRODUCT((E73:G73+E74:G74)/2,$B$25:$D$25)*$B$6</f>
        <v/>
      </c>
      <c r="Y73">
        <f>X73*K73</f>
        <v/>
      </c>
    </row>
    <row r="74">
      <c r="A74" t="n">
        <v>45</v>
      </c>
      <c r="B74">
        <f>A74*$B$6</f>
        <v/>
      </c>
      <c r="C74" s="5">
        <f>EXP(-$B$12*B74)</f>
        <v/>
      </c>
      <c r="D74" s="5">
        <f>EXP(-$B$13*B74)</f>
        <v/>
      </c>
      <c r="E74">
        <f>C74</f>
        <v/>
      </c>
      <c r="F74">
        <f>D74-C74</f>
        <v/>
      </c>
      <c r="G74">
        <f>1-D74</f>
        <v/>
      </c>
      <c r="H74">
        <f>SUM(E74:G74)</f>
        <v/>
      </c>
      <c r="I74">
        <f>IF(AND(MIN(C74:D74)&gt;=0,MAX(C74:D74)&lt;=1,MIN(E74:G74)&gt;=-1E-10,ABS(H74-1)&lt;1E-8,C74&lt;=C73+1E-10,D74&lt;=D73+1E-10),"OK","ERROR")</f>
        <v/>
      </c>
      <c r="J74">
        <f>1/(1+$B$4)^(B74+$B$6/2)</f>
        <v/>
      </c>
      <c r="K74">
        <f>1/(1+$B$5)^(B74+$B$6/2)</f>
        <v/>
      </c>
      <c r="L74" t="inlineStr">
        <is>
          <t>Average endpoints</t>
        </is>
      </c>
      <c r="M74" s="4">
        <f>SUMPRODUCT((E74:G74+E75:G75)/2,$B$17:$D$17)*$B$6</f>
        <v/>
      </c>
      <c r="N74" s="4">
        <f>M74*J74</f>
        <v/>
      </c>
      <c r="O74" s="4">
        <f>SUMPRODUCT((E74:G74+E75:G75)/2,$B$18:$D$18)*$B$6</f>
        <v/>
      </c>
      <c r="P74" s="4">
        <f>O74*J74</f>
        <v/>
      </c>
      <c r="Q74" s="4">
        <f>SUMPRODUCT((E74:G74+E75:G75)/2,$B$19:$D$19)*$B$6</f>
        <v/>
      </c>
      <c r="R74" s="4">
        <f>Q74*J74</f>
        <v/>
      </c>
      <c r="S74" s="4">
        <f>IF(A74=0,SUMPRODUCT((E74:G74+E75:G75)/2,$B$20:$D$20)*$B$6,0)</f>
        <v/>
      </c>
      <c r="T74" s="4">
        <f>S74*J74</f>
        <v/>
      </c>
      <c r="U74" s="4">
        <f>N74+P74+R74+T74</f>
        <v/>
      </c>
      <c r="V74">
        <f>SUMPRODUCT((E74:G74+E75:G75)/2,$B$24:$D$24)*$B$6</f>
        <v/>
      </c>
      <c r="W74" s="5">
        <f>V74*K74</f>
        <v/>
      </c>
      <c r="X74">
        <f>SUMPRODUCT((E74:G74+E75:G75)/2,$B$25:$D$25)*$B$6</f>
        <v/>
      </c>
      <c r="Y74">
        <f>X74*K74</f>
        <v/>
      </c>
    </row>
    <row r="75">
      <c r="A75" t="n">
        <v>46</v>
      </c>
      <c r="B75">
        <f>A75*$B$6</f>
        <v/>
      </c>
      <c r="C75" s="5">
        <f>EXP(-$B$12*B75)</f>
        <v/>
      </c>
      <c r="D75" s="5">
        <f>EXP(-$B$13*B75)</f>
        <v/>
      </c>
      <c r="E75">
        <f>C75</f>
        <v/>
      </c>
      <c r="F75">
        <f>D75-C75</f>
        <v/>
      </c>
      <c r="G75">
        <f>1-D75</f>
        <v/>
      </c>
      <c r="H75">
        <f>SUM(E75:G75)</f>
        <v/>
      </c>
      <c r="I75">
        <f>IF(AND(MIN(C75:D75)&gt;=0,MAX(C75:D75)&lt;=1,MIN(E75:G75)&gt;=-1E-10,ABS(H75-1)&lt;1E-8,C75&lt;=C74+1E-10,D75&lt;=D74+1E-10),"OK","ERROR")</f>
        <v/>
      </c>
      <c r="J75">
        <f>1/(1+$B$4)^(B75+$B$6/2)</f>
        <v/>
      </c>
      <c r="K75">
        <f>1/(1+$B$5)^(B75+$B$6/2)</f>
        <v/>
      </c>
      <c r="L75" t="inlineStr">
        <is>
          <t>Average endpoints</t>
        </is>
      </c>
      <c r="M75" s="4">
        <f>SUMPRODUCT((E75:G75+E76:G76)/2,$B$17:$D$17)*$B$6</f>
        <v/>
      </c>
      <c r="N75" s="4">
        <f>M75*J75</f>
        <v/>
      </c>
      <c r="O75" s="4">
        <f>SUMPRODUCT((E75:G75+E76:G76)/2,$B$18:$D$18)*$B$6</f>
        <v/>
      </c>
      <c r="P75" s="4">
        <f>O75*J75</f>
        <v/>
      </c>
      <c r="Q75" s="4">
        <f>SUMPRODUCT((E75:G75+E76:G76)/2,$B$19:$D$19)*$B$6</f>
        <v/>
      </c>
      <c r="R75" s="4">
        <f>Q75*J75</f>
        <v/>
      </c>
      <c r="S75" s="4">
        <f>IF(A75=0,SUMPRODUCT((E75:G75+E76:G76)/2,$B$20:$D$20)*$B$6,0)</f>
        <v/>
      </c>
      <c r="T75" s="4">
        <f>S75*J75</f>
        <v/>
      </c>
      <c r="U75" s="4">
        <f>N75+P75+R75+T75</f>
        <v/>
      </c>
      <c r="V75">
        <f>SUMPRODUCT((E75:G75+E76:G76)/2,$B$24:$D$24)*$B$6</f>
        <v/>
      </c>
      <c r="W75" s="5">
        <f>V75*K75</f>
        <v/>
      </c>
      <c r="X75">
        <f>SUMPRODUCT((E75:G75+E76:G76)/2,$B$25:$D$25)*$B$6</f>
        <v/>
      </c>
      <c r="Y75">
        <f>X75*K75</f>
        <v/>
      </c>
    </row>
    <row r="76">
      <c r="A76" t="n">
        <v>47</v>
      </c>
      <c r="B76">
        <f>A76*$B$6</f>
        <v/>
      </c>
      <c r="C76" s="5">
        <f>EXP(-$B$12*B76)</f>
        <v/>
      </c>
      <c r="D76" s="5">
        <f>EXP(-$B$13*B76)</f>
        <v/>
      </c>
      <c r="E76">
        <f>C76</f>
        <v/>
      </c>
      <c r="F76">
        <f>D76-C76</f>
        <v/>
      </c>
      <c r="G76">
        <f>1-D76</f>
        <v/>
      </c>
      <c r="H76">
        <f>SUM(E76:G76)</f>
        <v/>
      </c>
      <c r="I76">
        <f>IF(AND(MIN(C76:D76)&gt;=0,MAX(C76:D76)&lt;=1,MIN(E76:G76)&gt;=-1E-10,ABS(H76-1)&lt;1E-8,C76&lt;=C75+1E-10,D76&lt;=D75+1E-10),"OK","ERROR")</f>
        <v/>
      </c>
      <c r="J76">
        <f>1/(1+$B$4)^(B76+$B$6/2)</f>
        <v/>
      </c>
      <c r="K76">
        <f>1/(1+$B$5)^(B76+$B$6/2)</f>
        <v/>
      </c>
      <c r="L76" t="inlineStr">
        <is>
          <t>Average endpoints</t>
        </is>
      </c>
      <c r="M76" s="4">
        <f>SUMPRODUCT((E76:G76+E77:G77)/2,$B$17:$D$17)*$B$6</f>
        <v/>
      </c>
      <c r="N76" s="4">
        <f>M76*J76</f>
        <v/>
      </c>
      <c r="O76" s="4">
        <f>SUMPRODUCT((E76:G76+E77:G77)/2,$B$18:$D$18)*$B$6</f>
        <v/>
      </c>
      <c r="P76" s="4">
        <f>O76*J76</f>
        <v/>
      </c>
      <c r="Q76" s="4">
        <f>SUMPRODUCT((E76:G76+E77:G77)/2,$B$19:$D$19)*$B$6</f>
        <v/>
      </c>
      <c r="R76" s="4">
        <f>Q76*J76</f>
        <v/>
      </c>
      <c r="S76" s="4">
        <f>IF(A76=0,SUMPRODUCT((E76:G76+E77:G77)/2,$B$20:$D$20)*$B$6,0)</f>
        <v/>
      </c>
      <c r="T76" s="4">
        <f>S76*J76</f>
        <v/>
      </c>
      <c r="U76" s="4">
        <f>N76+P76+R76+T76</f>
        <v/>
      </c>
      <c r="V76">
        <f>SUMPRODUCT((E76:G76+E77:G77)/2,$B$24:$D$24)*$B$6</f>
        <v/>
      </c>
      <c r="W76" s="5">
        <f>V76*K76</f>
        <v/>
      </c>
      <c r="X76">
        <f>SUMPRODUCT((E76:G76+E77:G77)/2,$B$25:$D$25)*$B$6</f>
        <v/>
      </c>
      <c r="Y76">
        <f>X76*K76</f>
        <v/>
      </c>
    </row>
    <row r="77">
      <c r="A77" t="n">
        <v>48</v>
      </c>
      <c r="B77">
        <f>A77*$B$6</f>
        <v/>
      </c>
      <c r="C77" s="5">
        <f>EXP(-$B$12*B77)</f>
        <v/>
      </c>
      <c r="D77" s="5">
        <f>EXP(-$B$13*B77)</f>
        <v/>
      </c>
      <c r="E77">
        <f>C77</f>
        <v/>
      </c>
      <c r="F77">
        <f>D77-C77</f>
        <v/>
      </c>
      <c r="G77">
        <f>1-D77</f>
        <v/>
      </c>
      <c r="H77">
        <f>SUM(E77:G77)</f>
        <v/>
      </c>
      <c r="I77">
        <f>IF(AND(MIN(C77:D77)&gt;=0,MAX(C77:D77)&lt;=1,MIN(E77:G77)&gt;=-1E-10,ABS(H77-1)&lt;1E-8,C77&lt;=C76+1E-10,D77&lt;=D76+1E-10),"OK","ERROR")</f>
        <v/>
      </c>
      <c r="J77">
        <f>1/(1+$B$4)^(B77+$B$6/2)</f>
        <v/>
      </c>
      <c r="K77">
        <f>1/(1+$B$5)^(B77+$B$6/2)</f>
        <v/>
      </c>
      <c r="L77" t="inlineStr">
        <is>
          <t>Average endpoints</t>
        </is>
      </c>
      <c r="M77" s="4">
        <f>SUMPRODUCT((E77:G77+E78:G78)/2,$B$17:$D$17)*$B$6</f>
        <v/>
      </c>
      <c r="N77" s="4">
        <f>M77*J77</f>
        <v/>
      </c>
      <c r="O77" s="4">
        <f>SUMPRODUCT((E77:G77+E78:G78)/2,$B$18:$D$18)*$B$6</f>
        <v/>
      </c>
      <c r="P77" s="4">
        <f>O77*J77</f>
        <v/>
      </c>
      <c r="Q77" s="4">
        <f>SUMPRODUCT((E77:G77+E78:G78)/2,$B$19:$D$19)*$B$6</f>
        <v/>
      </c>
      <c r="R77" s="4">
        <f>Q77*J77</f>
        <v/>
      </c>
      <c r="S77" s="4">
        <f>IF(A77=0,SUMPRODUCT((E77:G77+E78:G78)/2,$B$20:$D$20)*$B$6,0)</f>
        <v/>
      </c>
      <c r="T77" s="4">
        <f>S77*J77</f>
        <v/>
      </c>
      <c r="U77" s="4">
        <f>N77+P77+R77+T77</f>
        <v/>
      </c>
      <c r="V77">
        <f>SUMPRODUCT((E77:G77+E78:G78)/2,$B$24:$D$24)*$B$6</f>
        <v/>
      </c>
      <c r="W77" s="5">
        <f>V77*K77</f>
        <v/>
      </c>
      <c r="X77">
        <f>SUMPRODUCT((E77:G77+E78:G78)/2,$B$25:$D$25)*$B$6</f>
        <v/>
      </c>
      <c r="Y77">
        <f>X77*K77</f>
        <v/>
      </c>
    </row>
    <row r="78">
      <c r="A78" t="n">
        <v>49</v>
      </c>
      <c r="B78">
        <f>A78*$B$6</f>
        <v/>
      </c>
      <c r="C78" s="5">
        <f>EXP(-$B$12*B78)</f>
        <v/>
      </c>
      <c r="D78" s="5">
        <f>EXP(-$B$13*B78)</f>
        <v/>
      </c>
      <c r="E78">
        <f>C78</f>
        <v/>
      </c>
      <c r="F78">
        <f>D78-C78</f>
        <v/>
      </c>
      <c r="G78">
        <f>1-D78</f>
        <v/>
      </c>
      <c r="H78">
        <f>SUM(E78:G78)</f>
        <v/>
      </c>
      <c r="I78">
        <f>IF(AND(MIN(C78:D78)&gt;=0,MAX(C78:D78)&lt;=1,MIN(E78:G78)&gt;=-1E-10,ABS(H78-1)&lt;1E-8,C78&lt;=C77+1E-10,D78&lt;=D77+1E-10),"OK","ERROR")</f>
        <v/>
      </c>
      <c r="J78">
        <f>1/(1+$B$4)^(B78+$B$6/2)</f>
        <v/>
      </c>
      <c r="K78">
        <f>1/(1+$B$5)^(B78+$B$6/2)</f>
        <v/>
      </c>
      <c r="L78" t="inlineStr">
        <is>
          <t>Average endpoints</t>
        </is>
      </c>
      <c r="M78" s="4">
        <f>SUMPRODUCT((E78:G78+E79:G79)/2,$B$17:$D$17)*$B$6</f>
        <v/>
      </c>
      <c r="N78" s="4">
        <f>M78*J78</f>
        <v/>
      </c>
      <c r="O78" s="4">
        <f>SUMPRODUCT((E78:G78+E79:G79)/2,$B$18:$D$18)*$B$6</f>
        <v/>
      </c>
      <c r="P78" s="4">
        <f>O78*J78</f>
        <v/>
      </c>
      <c r="Q78" s="4">
        <f>SUMPRODUCT((E78:G78+E79:G79)/2,$B$19:$D$19)*$B$6</f>
        <v/>
      </c>
      <c r="R78" s="4">
        <f>Q78*J78</f>
        <v/>
      </c>
      <c r="S78" s="4">
        <f>IF(A78=0,SUMPRODUCT((E78:G78+E79:G79)/2,$B$20:$D$20)*$B$6,0)</f>
        <v/>
      </c>
      <c r="T78" s="4">
        <f>S78*J78</f>
        <v/>
      </c>
      <c r="U78" s="4">
        <f>N78+P78+R78+T78</f>
        <v/>
      </c>
      <c r="V78">
        <f>SUMPRODUCT((E78:G78+E79:G79)/2,$B$24:$D$24)*$B$6</f>
        <v/>
      </c>
      <c r="W78" s="5">
        <f>V78*K78</f>
        <v/>
      </c>
      <c r="X78">
        <f>SUMPRODUCT((E78:G78+E79:G79)/2,$B$25:$D$25)*$B$6</f>
        <v/>
      </c>
      <c r="Y78">
        <f>X78*K78</f>
        <v/>
      </c>
    </row>
    <row r="79">
      <c r="A79" t="n">
        <v>50</v>
      </c>
      <c r="B79">
        <f>A79*$B$6</f>
        <v/>
      </c>
      <c r="C79" s="5">
        <f>EXP(-$B$12*B79)</f>
        <v/>
      </c>
      <c r="D79" s="5">
        <f>EXP(-$B$13*B79)</f>
        <v/>
      </c>
      <c r="E79">
        <f>C79</f>
        <v/>
      </c>
      <c r="F79">
        <f>D79-C79</f>
        <v/>
      </c>
      <c r="G79">
        <f>1-D79</f>
        <v/>
      </c>
      <c r="H79">
        <f>SUM(E79:G79)</f>
        <v/>
      </c>
      <c r="I79">
        <f>IF(AND(MIN(C79:D79)&gt;=0,MAX(C79:D79)&lt;=1,MIN(E79:G79)&gt;=-1E-10,ABS(H79-1)&lt;1E-8,C79&lt;=C78+1E-10,D79&lt;=D78+1E-10),"OK","ERROR")</f>
        <v/>
      </c>
      <c r="J79">
        <f>1/(1+$B$4)^(B79+$B$6/2)</f>
        <v/>
      </c>
      <c r="K79">
        <f>1/(1+$B$5)^(B79+$B$6/2)</f>
        <v/>
      </c>
      <c r="L79" t="inlineStr">
        <is>
          <t>Average endpoints</t>
        </is>
      </c>
      <c r="M79" s="4">
        <f>SUMPRODUCT((E79:G79+E80:G80)/2,$B$17:$D$17)*$B$6</f>
        <v/>
      </c>
      <c r="N79" s="4">
        <f>M79*J79</f>
        <v/>
      </c>
      <c r="O79" s="4">
        <f>SUMPRODUCT((E79:G79+E80:G80)/2,$B$18:$D$18)*$B$6</f>
        <v/>
      </c>
      <c r="P79" s="4">
        <f>O79*J79</f>
        <v/>
      </c>
      <c r="Q79" s="4">
        <f>SUMPRODUCT((E79:G79+E80:G80)/2,$B$19:$D$19)*$B$6</f>
        <v/>
      </c>
      <c r="R79" s="4">
        <f>Q79*J79</f>
        <v/>
      </c>
      <c r="S79" s="4">
        <f>IF(A79=0,SUMPRODUCT((E79:G79+E80:G80)/2,$B$20:$D$20)*$B$6,0)</f>
        <v/>
      </c>
      <c r="T79" s="4">
        <f>S79*J79</f>
        <v/>
      </c>
      <c r="U79" s="4">
        <f>N79+P79+R79+T79</f>
        <v/>
      </c>
      <c r="V79">
        <f>SUMPRODUCT((E79:G79+E80:G80)/2,$B$24:$D$24)*$B$6</f>
        <v/>
      </c>
      <c r="W79" s="5">
        <f>V79*K79</f>
        <v/>
      </c>
      <c r="X79">
        <f>SUMPRODUCT((E79:G79+E80:G80)/2,$B$25:$D$25)*$B$6</f>
        <v/>
      </c>
      <c r="Y79">
        <f>X79*K79</f>
        <v/>
      </c>
    </row>
    <row r="80">
      <c r="A80" t="n">
        <v>51</v>
      </c>
      <c r="B80">
        <f>A80*$B$6</f>
        <v/>
      </c>
      <c r="C80" s="5">
        <f>EXP(-$B$12*B80)</f>
        <v/>
      </c>
      <c r="D80" s="5">
        <f>EXP(-$B$13*B80)</f>
        <v/>
      </c>
      <c r="E80">
        <f>C80</f>
        <v/>
      </c>
      <c r="F80">
        <f>D80-C80</f>
        <v/>
      </c>
      <c r="G80">
        <f>1-D80</f>
        <v/>
      </c>
      <c r="H80">
        <f>SUM(E80:G80)</f>
        <v/>
      </c>
      <c r="I80">
        <f>IF(AND(MIN(C80:D80)&gt;=0,MAX(C80:D80)&lt;=1,MIN(E80:G80)&gt;=-1E-10,ABS(H80-1)&lt;1E-8,C80&lt;=C79+1E-10,D80&lt;=D79+1E-10),"OK","ERROR")</f>
        <v/>
      </c>
      <c r="J80">
        <f>1/(1+$B$4)^(B80+$B$6/2)</f>
        <v/>
      </c>
      <c r="K80">
        <f>1/(1+$B$5)^(B80+$B$6/2)</f>
        <v/>
      </c>
      <c r="L80" t="inlineStr">
        <is>
          <t>Average endpoints</t>
        </is>
      </c>
      <c r="M80" s="4">
        <f>SUMPRODUCT((E80:G80+E81:G81)/2,$B$17:$D$17)*$B$6</f>
        <v/>
      </c>
      <c r="N80" s="4">
        <f>M80*J80</f>
        <v/>
      </c>
      <c r="O80" s="4">
        <f>SUMPRODUCT((E80:G80+E81:G81)/2,$B$18:$D$18)*$B$6</f>
        <v/>
      </c>
      <c r="P80" s="4">
        <f>O80*J80</f>
        <v/>
      </c>
      <c r="Q80" s="4">
        <f>SUMPRODUCT((E80:G80+E81:G81)/2,$B$19:$D$19)*$B$6</f>
        <v/>
      </c>
      <c r="R80" s="4">
        <f>Q80*J80</f>
        <v/>
      </c>
      <c r="S80" s="4">
        <f>IF(A80=0,SUMPRODUCT((E80:G80+E81:G81)/2,$B$20:$D$20)*$B$6,0)</f>
        <v/>
      </c>
      <c r="T80" s="4">
        <f>S80*J80</f>
        <v/>
      </c>
      <c r="U80" s="4">
        <f>N80+P80+R80+T80</f>
        <v/>
      </c>
      <c r="V80">
        <f>SUMPRODUCT((E80:G80+E81:G81)/2,$B$24:$D$24)*$B$6</f>
        <v/>
      </c>
      <c r="W80" s="5">
        <f>V80*K80</f>
        <v/>
      </c>
      <c r="X80">
        <f>SUMPRODUCT((E80:G80+E81:G81)/2,$B$25:$D$25)*$B$6</f>
        <v/>
      </c>
      <c r="Y80">
        <f>X80*K80</f>
        <v/>
      </c>
    </row>
    <row r="81">
      <c r="A81" t="n">
        <v>52</v>
      </c>
      <c r="B81">
        <f>A81*$B$6</f>
        <v/>
      </c>
      <c r="C81" s="5">
        <f>EXP(-$B$12*B81)</f>
        <v/>
      </c>
      <c r="D81" s="5">
        <f>EXP(-$B$13*B81)</f>
        <v/>
      </c>
      <c r="E81">
        <f>C81</f>
        <v/>
      </c>
      <c r="F81">
        <f>D81-C81</f>
        <v/>
      </c>
      <c r="G81">
        <f>1-D81</f>
        <v/>
      </c>
      <c r="H81">
        <f>SUM(E81:G81)</f>
        <v/>
      </c>
      <c r="I81">
        <f>IF(AND(MIN(C81:D81)&gt;=0,MAX(C81:D81)&lt;=1,MIN(E81:G81)&gt;=-1E-10,ABS(H81-1)&lt;1E-8,C81&lt;=C80+1E-10,D81&lt;=D80+1E-10),"OK","ERROR")</f>
        <v/>
      </c>
      <c r="J81">
        <f>1/(1+$B$4)^(B81+$B$6/2)</f>
        <v/>
      </c>
      <c r="K81">
        <f>1/(1+$B$5)^(B81+$B$6/2)</f>
        <v/>
      </c>
      <c r="L81" t="inlineStr">
        <is>
          <t>Average endpoints</t>
        </is>
      </c>
      <c r="M81" s="4">
        <f>SUMPRODUCT((E81:G81+E82:G82)/2,$B$17:$D$17)*$B$6</f>
        <v/>
      </c>
      <c r="N81" s="4">
        <f>M81*J81</f>
        <v/>
      </c>
      <c r="O81" s="4">
        <f>SUMPRODUCT((E81:G81+E82:G82)/2,$B$18:$D$18)*$B$6</f>
        <v/>
      </c>
      <c r="P81" s="4">
        <f>O81*J81</f>
        <v/>
      </c>
      <c r="Q81" s="4">
        <f>SUMPRODUCT((E81:G81+E82:G82)/2,$B$19:$D$19)*$B$6</f>
        <v/>
      </c>
      <c r="R81" s="4">
        <f>Q81*J81</f>
        <v/>
      </c>
      <c r="S81" s="4">
        <f>IF(A81=0,SUMPRODUCT((E81:G81+E82:G82)/2,$B$20:$D$20)*$B$6,0)</f>
        <v/>
      </c>
      <c r="T81" s="4">
        <f>S81*J81</f>
        <v/>
      </c>
      <c r="U81" s="4">
        <f>N81+P81+R81+T81</f>
        <v/>
      </c>
      <c r="V81">
        <f>SUMPRODUCT((E81:G81+E82:G82)/2,$B$24:$D$24)*$B$6</f>
        <v/>
      </c>
      <c r="W81" s="5">
        <f>V81*K81</f>
        <v/>
      </c>
      <c r="X81">
        <f>SUMPRODUCT((E81:G81+E82:G82)/2,$B$25:$D$25)*$B$6</f>
        <v/>
      </c>
      <c r="Y81">
        <f>X81*K81</f>
        <v/>
      </c>
    </row>
    <row r="82">
      <c r="A82" t="n">
        <v>53</v>
      </c>
      <c r="B82">
        <f>A82*$B$6</f>
        <v/>
      </c>
      <c r="C82" s="5">
        <f>EXP(-$B$12*B82)</f>
        <v/>
      </c>
      <c r="D82" s="5">
        <f>EXP(-$B$13*B82)</f>
        <v/>
      </c>
      <c r="E82">
        <f>C82</f>
        <v/>
      </c>
      <c r="F82">
        <f>D82-C82</f>
        <v/>
      </c>
      <c r="G82">
        <f>1-D82</f>
        <v/>
      </c>
      <c r="H82">
        <f>SUM(E82:G82)</f>
        <v/>
      </c>
      <c r="I82">
        <f>IF(AND(MIN(C82:D82)&gt;=0,MAX(C82:D82)&lt;=1,MIN(E82:G82)&gt;=-1E-10,ABS(H82-1)&lt;1E-8,C82&lt;=C81+1E-10,D82&lt;=D81+1E-10),"OK","ERROR")</f>
        <v/>
      </c>
      <c r="J82">
        <f>1/(1+$B$4)^(B82+$B$6/2)</f>
        <v/>
      </c>
      <c r="K82">
        <f>1/(1+$B$5)^(B82+$B$6/2)</f>
        <v/>
      </c>
      <c r="L82" t="inlineStr">
        <is>
          <t>Average endpoints</t>
        </is>
      </c>
      <c r="M82" s="4">
        <f>SUMPRODUCT((E82:G82+E83:G83)/2,$B$17:$D$17)*$B$6</f>
        <v/>
      </c>
      <c r="N82" s="4">
        <f>M82*J82</f>
        <v/>
      </c>
      <c r="O82" s="4">
        <f>SUMPRODUCT((E82:G82+E83:G83)/2,$B$18:$D$18)*$B$6</f>
        <v/>
      </c>
      <c r="P82" s="4">
        <f>O82*J82</f>
        <v/>
      </c>
      <c r="Q82" s="4">
        <f>SUMPRODUCT((E82:G82+E83:G83)/2,$B$19:$D$19)*$B$6</f>
        <v/>
      </c>
      <c r="R82" s="4">
        <f>Q82*J82</f>
        <v/>
      </c>
      <c r="S82" s="4">
        <f>IF(A82=0,SUMPRODUCT((E82:G82+E83:G83)/2,$B$20:$D$20)*$B$6,0)</f>
        <v/>
      </c>
      <c r="T82" s="4">
        <f>S82*J82</f>
        <v/>
      </c>
      <c r="U82" s="4">
        <f>N82+P82+R82+T82</f>
        <v/>
      </c>
      <c r="V82">
        <f>SUMPRODUCT((E82:G82+E83:G83)/2,$B$24:$D$24)*$B$6</f>
        <v/>
      </c>
      <c r="W82" s="5">
        <f>V82*K82</f>
        <v/>
      </c>
      <c r="X82">
        <f>SUMPRODUCT((E82:G82+E83:G83)/2,$B$25:$D$25)*$B$6</f>
        <v/>
      </c>
      <c r="Y82">
        <f>X82*K82</f>
        <v/>
      </c>
    </row>
    <row r="83">
      <c r="A83" t="n">
        <v>54</v>
      </c>
      <c r="B83">
        <f>A83*$B$6</f>
        <v/>
      </c>
      <c r="C83" s="5">
        <f>EXP(-$B$12*B83)</f>
        <v/>
      </c>
      <c r="D83" s="5">
        <f>EXP(-$B$13*B83)</f>
        <v/>
      </c>
      <c r="E83">
        <f>C83</f>
        <v/>
      </c>
      <c r="F83">
        <f>D83-C83</f>
        <v/>
      </c>
      <c r="G83">
        <f>1-D83</f>
        <v/>
      </c>
      <c r="H83">
        <f>SUM(E83:G83)</f>
        <v/>
      </c>
      <c r="I83">
        <f>IF(AND(MIN(C83:D83)&gt;=0,MAX(C83:D83)&lt;=1,MIN(E83:G83)&gt;=-1E-10,ABS(H83-1)&lt;1E-8,C83&lt;=C82+1E-10,D83&lt;=D82+1E-10),"OK","ERROR")</f>
        <v/>
      </c>
      <c r="J83">
        <f>1/(1+$B$4)^(B83+$B$6/2)</f>
        <v/>
      </c>
      <c r="K83">
        <f>1/(1+$B$5)^(B83+$B$6/2)</f>
        <v/>
      </c>
      <c r="L83" t="inlineStr">
        <is>
          <t>Average endpoints</t>
        </is>
      </c>
      <c r="M83" s="4">
        <f>SUMPRODUCT((E83:G83+E84:G84)/2,$B$17:$D$17)*$B$6</f>
        <v/>
      </c>
      <c r="N83" s="4">
        <f>M83*J83</f>
        <v/>
      </c>
      <c r="O83" s="4">
        <f>SUMPRODUCT((E83:G83+E84:G84)/2,$B$18:$D$18)*$B$6</f>
        <v/>
      </c>
      <c r="P83" s="4">
        <f>O83*J83</f>
        <v/>
      </c>
      <c r="Q83" s="4">
        <f>SUMPRODUCT((E83:G83+E84:G84)/2,$B$19:$D$19)*$B$6</f>
        <v/>
      </c>
      <c r="R83" s="4">
        <f>Q83*J83</f>
        <v/>
      </c>
      <c r="S83" s="4">
        <f>IF(A83=0,SUMPRODUCT((E83:G83+E84:G84)/2,$B$20:$D$20)*$B$6,0)</f>
        <v/>
      </c>
      <c r="T83" s="4">
        <f>S83*J83</f>
        <v/>
      </c>
      <c r="U83" s="4">
        <f>N83+P83+R83+T83</f>
        <v/>
      </c>
      <c r="V83">
        <f>SUMPRODUCT((E83:G83+E84:G84)/2,$B$24:$D$24)*$B$6</f>
        <v/>
      </c>
      <c r="W83" s="5">
        <f>V83*K83</f>
        <v/>
      </c>
      <c r="X83">
        <f>SUMPRODUCT((E83:G83+E84:G84)/2,$B$25:$D$25)*$B$6</f>
        <v/>
      </c>
      <c r="Y83">
        <f>X83*K83</f>
        <v/>
      </c>
    </row>
    <row r="84">
      <c r="A84" t="n">
        <v>55</v>
      </c>
      <c r="B84">
        <f>A84*$B$6</f>
        <v/>
      </c>
      <c r="C84" s="5">
        <f>EXP(-$B$12*B84)</f>
        <v/>
      </c>
      <c r="D84" s="5">
        <f>EXP(-$B$13*B84)</f>
        <v/>
      </c>
      <c r="E84">
        <f>C84</f>
        <v/>
      </c>
      <c r="F84">
        <f>D84-C84</f>
        <v/>
      </c>
      <c r="G84">
        <f>1-D84</f>
        <v/>
      </c>
      <c r="H84">
        <f>SUM(E84:G84)</f>
        <v/>
      </c>
      <c r="I84">
        <f>IF(AND(MIN(C84:D84)&gt;=0,MAX(C84:D84)&lt;=1,MIN(E84:G84)&gt;=-1E-10,ABS(H84-1)&lt;1E-8,C84&lt;=C83+1E-10,D84&lt;=D83+1E-10),"OK","ERROR")</f>
        <v/>
      </c>
      <c r="J84">
        <f>1/(1+$B$4)^(B84+$B$6/2)</f>
        <v/>
      </c>
      <c r="K84">
        <f>1/(1+$B$5)^(B84+$B$6/2)</f>
        <v/>
      </c>
      <c r="L84" t="inlineStr">
        <is>
          <t>Average endpoints</t>
        </is>
      </c>
      <c r="M84" s="4">
        <f>SUMPRODUCT((E84:G84+E85:G85)/2,$B$17:$D$17)*$B$6</f>
        <v/>
      </c>
      <c r="N84" s="4">
        <f>M84*J84</f>
        <v/>
      </c>
      <c r="O84" s="4">
        <f>SUMPRODUCT((E84:G84+E85:G85)/2,$B$18:$D$18)*$B$6</f>
        <v/>
      </c>
      <c r="P84" s="4">
        <f>O84*J84</f>
        <v/>
      </c>
      <c r="Q84" s="4">
        <f>SUMPRODUCT((E84:G84+E85:G85)/2,$B$19:$D$19)*$B$6</f>
        <v/>
      </c>
      <c r="R84" s="4">
        <f>Q84*J84</f>
        <v/>
      </c>
      <c r="S84" s="4">
        <f>IF(A84=0,SUMPRODUCT((E84:G84+E85:G85)/2,$B$20:$D$20)*$B$6,0)</f>
        <v/>
      </c>
      <c r="T84" s="4">
        <f>S84*J84</f>
        <v/>
      </c>
      <c r="U84" s="4">
        <f>N84+P84+R84+T84</f>
        <v/>
      </c>
      <c r="V84">
        <f>SUMPRODUCT((E84:G84+E85:G85)/2,$B$24:$D$24)*$B$6</f>
        <v/>
      </c>
      <c r="W84" s="5">
        <f>V84*K84</f>
        <v/>
      </c>
      <c r="X84">
        <f>SUMPRODUCT((E84:G84+E85:G85)/2,$B$25:$D$25)*$B$6</f>
        <v/>
      </c>
      <c r="Y84">
        <f>X84*K84</f>
        <v/>
      </c>
    </row>
    <row r="85">
      <c r="A85" t="n">
        <v>56</v>
      </c>
      <c r="B85">
        <f>A85*$B$6</f>
        <v/>
      </c>
      <c r="C85" s="5">
        <f>EXP(-$B$12*B85)</f>
        <v/>
      </c>
      <c r="D85" s="5">
        <f>EXP(-$B$13*B85)</f>
        <v/>
      </c>
      <c r="E85">
        <f>C85</f>
        <v/>
      </c>
      <c r="F85">
        <f>D85-C85</f>
        <v/>
      </c>
      <c r="G85">
        <f>1-D85</f>
        <v/>
      </c>
      <c r="H85">
        <f>SUM(E85:G85)</f>
        <v/>
      </c>
      <c r="I85">
        <f>IF(AND(MIN(C85:D85)&gt;=0,MAX(C85:D85)&lt;=1,MIN(E85:G85)&gt;=-1E-10,ABS(H85-1)&lt;1E-8,C85&lt;=C84+1E-10,D85&lt;=D84+1E-10),"OK","ERROR")</f>
        <v/>
      </c>
      <c r="J85">
        <f>1/(1+$B$4)^(B85+$B$6/2)</f>
        <v/>
      </c>
      <c r="K85">
        <f>1/(1+$B$5)^(B85+$B$6/2)</f>
        <v/>
      </c>
      <c r="L85" t="inlineStr">
        <is>
          <t>Average endpoints</t>
        </is>
      </c>
      <c r="M85" s="4">
        <f>SUMPRODUCT((E85:G85+E86:G86)/2,$B$17:$D$17)*$B$6</f>
        <v/>
      </c>
      <c r="N85" s="4">
        <f>M85*J85</f>
        <v/>
      </c>
      <c r="O85" s="4">
        <f>SUMPRODUCT((E85:G85+E86:G86)/2,$B$18:$D$18)*$B$6</f>
        <v/>
      </c>
      <c r="P85" s="4">
        <f>O85*J85</f>
        <v/>
      </c>
      <c r="Q85" s="4">
        <f>SUMPRODUCT((E85:G85+E86:G86)/2,$B$19:$D$19)*$B$6</f>
        <v/>
      </c>
      <c r="R85" s="4">
        <f>Q85*J85</f>
        <v/>
      </c>
      <c r="S85" s="4">
        <f>IF(A85=0,SUMPRODUCT((E85:G85+E86:G86)/2,$B$20:$D$20)*$B$6,0)</f>
        <v/>
      </c>
      <c r="T85" s="4">
        <f>S85*J85</f>
        <v/>
      </c>
      <c r="U85" s="4">
        <f>N85+P85+R85+T85</f>
        <v/>
      </c>
      <c r="V85">
        <f>SUMPRODUCT((E85:G85+E86:G86)/2,$B$24:$D$24)*$B$6</f>
        <v/>
      </c>
      <c r="W85" s="5">
        <f>V85*K85</f>
        <v/>
      </c>
      <c r="X85">
        <f>SUMPRODUCT((E85:G85+E86:G86)/2,$B$25:$D$25)*$B$6</f>
        <v/>
      </c>
      <c r="Y85">
        <f>X85*K85</f>
        <v/>
      </c>
    </row>
    <row r="86">
      <c r="A86" t="n">
        <v>57</v>
      </c>
      <c r="B86">
        <f>A86*$B$6</f>
        <v/>
      </c>
      <c r="C86" s="5">
        <f>EXP(-$B$12*B86)</f>
        <v/>
      </c>
      <c r="D86" s="5">
        <f>EXP(-$B$13*B86)</f>
        <v/>
      </c>
      <c r="E86">
        <f>C86</f>
        <v/>
      </c>
      <c r="F86">
        <f>D86-C86</f>
        <v/>
      </c>
      <c r="G86">
        <f>1-D86</f>
        <v/>
      </c>
      <c r="H86">
        <f>SUM(E86:G86)</f>
        <v/>
      </c>
      <c r="I86">
        <f>IF(AND(MIN(C86:D86)&gt;=0,MAX(C86:D86)&lt;=1,MIN(E86:G86)&gt;=-1E-10,ABS(H86-1)&lt;1E-8,C86&lt;=C85+1E-10,D86&lt;=D85+1E-10),"OK","ERROR")</f>
        <v/>
      </c>
      <c r="J86">
        <f>1/(1+$B$4)^(B86+$B$6/2)</f>
        <v/>
      </c>
      <c r="K86">
        <f>1/(1+$B$5)^(B86+$B$6/2)</f>
        <v/>
      </c>
      <c r="L86" t="inlineStr">
        <is>
          <t>Average endpoints</t>
        </is>
      </c>
      <c r="M86" s="4">
        <f>SUMPRODUCT((E86:G86+E87:G87)/2,$B$17:$D$17)*$B$6</f>
        <v/>
      </c>
      <c r="N86" s="4">
        <f>M86*J86</f>
        <v/>
      </c>
      <c r="O86" s="4">
        <f>SUMPRODUCT((E86:G86+E87:G87)/2,$B$18:$D$18)*$B$6</f>
        <v/>
      </c>
      <c r="P86" s="4">
        <f>O86*J86</f>
        <v/>
      </c>
      <c r="Q86" s="4">
        <f>SUMPRODUCT((E86:G86+E87:G87)/2,$B$19:$D$19)*$B$6</f>
        <v/>
      </c>
      <c r="R86" s="4">
        <f>Q86*J86</f>
        <v/>
      </c>
      <c r="S86" s="4">
        <f>IF(A86=0,SUMPRODUCT((E86:G86+E87:G87)/2,$B$20:$D$20)*$B$6,0)</f>
        <v/>
      </c>
      <c r="T86" s="4">
        <f>S86*J86</f>
        <v/>
      </c>
      <c r="U86" s="4">
        <f>N86+P86+R86+T86</f>
        <v/>
      </c>
      <c r="V86">
        <f>SUMPRODUCT((E86:G86+E87:G87)/2,$B$24:$D$24)*$B$6</f>
        <v/>
      </c>
      <c r="W86" s="5">
        <f>V86*K86</f>
        <v/>
      </c>
      <c r="X86">
        <f>SUMPRODUCT((E86:G86+E87:G87)/2,$B$25:$D$25)*$B$6</f>
        <v/>
      </c>
      <c r="Y86">
        <f>X86*K86</f>
        <v/>
      </c>
    </row>
    <row r="87">
      <c r="A87" t="n">
        <v>58</v>
      </c>
      <c r="B87">
        <f>A87*$B$6</f>
        <v/>
      </c>
      <c r="C87" s="5">
        <f>EXP(-$B$12*B87)</f>
        <v/>
      </c>
      <c r="D87" s="5">
        <f>EXP(-$B$13*B87)</f>
        <v/>
      </c>
      <c r="E87">
        <f>C87</f>
        <v/>
      </c>
      <c r="F87">
        <f>D87-C87</f>
        <v/>
      </c>
      <c r="G87">
        <f>1-D87</f>
        <v/>
      </c>
      <c r="H87">
        <f>SUM(E87:G87)</f>
        <v/>
      </c>
      <c r="I87">
        <f>IF(AND(MIN(C87:D87)&gt;=0,MAX(C87:D87)&lt;=1,MIN(E87:G87)&gt;=-1E-10,ABS(H87-1)&lt;1E-8,C87&lt;=C86+1E-10,D87&lt;=D86+1E-10),"OK","ERROR")</f>
        <v/>
      </c>
      <c r="J87">
        <f>1/(1+$B$4)^(B87+$B$6/2)</f>
        <v/>
      </c>
      <c r="K87">
        <f>1/(1+$B$5)^(B87+$B$6/2)</f>
        <v/>
      </c>
      <c r="L87" t="inlineStr">
        <is>
          <t>Average endpoints</t>
        </is>
      </c>
      <c r="M87" s="4">
        <f>SUMPRODUCT((E87:G87+E88:G88)/2,$B$17:$D$17)*$B$6</f>
        <v/>
      </c>
      <c r="N87" s="4">
        <f>M87*J87</f>
        <v/>
      </c>
      <c r="O87" s="4">
        <f>SUMPRODUCT((E87:G87+E88:G88)/2,$B$18:$D$18)*$B$6</f>
        <v/>
      </c>
      <c r="P87" s="4">
        <f>O87*J87</f>
        <v/>
      </c>
      <c r="Q87" s="4">
        <f>SUMPRODUCT((E87:G87+E88:G88)/2,$B$19:$D$19)*$B$6</f>
        <v/>
      </c>
      <c r="R87" s="4">
        <f>Q87*J87</f>
        <v/>
      </c>
      <c r="S87" s="4">
        <f>IF(A87=0,SUMPRODUCT((E87:G87+E88:G88)/2,$B$20:$D$20)*$B$6,0)</f>
        <v/>
      </c>
      <c r="T87" s="4">
        <f>S87*J87</f>
        <v/>
      </c>
      <c r="U87" s="4">
        <f>N87+P87+R87+T87</f>
        <v/>
      </c>
      <c r="V87">
        <f>SUMPRODUCT((E87:G87+E88:G88)/2,$B$24:$D$24)*$B$6</f>
        <v/>
      </c>
      <c r="W87" s="5">
        <f>V87*K87</f>
        <v/>
      </c>
      <c r="X87">
        <f>SUMPRODUCT((E87:G87+E88:G88)/2,$B$25:$D$25)*$B$6</f>
        <v/>
      </c>
      <c r="Y87">
        <f>X87*K87</f>
        <v/>
      </c>
    </row>
    <row r="88">
      <c r="A88" t="n">
        <v>59</v>
      </c>
      <c r="B88">
        <f>A88*$B$6</f>
        <v/>
      </c>
      <c r="C88" s="5">
        <f>EXP(-$B$12*B88)</f>
        <v/>
      </c>
      <c r="D88" s="5">
        <f>EXP(-$B$13*B88)</f>
        <v/>
      </c>
      <c r="E88">
        <f>C88</f>
        <v/>
      </c>
      <c r="F88">
        <f>D88-C88</f>
        <v/>
      </c>
      <c r="G88">
        <f>1-D88</f>
        <v/>
      </c>
      <c r="H88">
        <f>SUM(E88:G88)</f>
        <v/>
      </c>
      <c r="I88">
        <f>IF(AND(MIN(C88:D88)&gt;=0,MAX(C88:D88)&lt;=1,MIN(E88:G88)&gt;=-1E-10,ABS(H88-1)&lt;1E-8,C88&lt;=C87+1E-10,D88&lt;=D87+1E-10),"OK","ERROR")</f>
        <v/>
      </c>
      <c r="J88">
        <f>1/(1+$B$4)^(B88+$B$6/2)</f>
        <v/>
      </c>
      <c r="K88">
        <f>1/(1+$B$5)^(B88+$B$6/2)</f>
        <v/>
      </c>
      <c r="L88" t="inlineStr">
        <is>
          <t>Average endpoints</t>
        </is>
      </c>
      <c r="M88" s="4">
        <f>SUMPRODUCT((E88:G88+E89:G89)/2,$B$17:$D$17)*$B$6</f>
        <v/>
      </c>
      <c r="N88" s="4">
        <f>M88*J88</f>
        <v/>
      </c>
      <c r="O88" s="4">
        <f>SUMPRODUCT((E88:G88+E89:G89)/2,$B$18:$D$18)*$B$6</f>
        <v/>
      </c>
      <c r="P88" s="4">
        <f>O88*J88</f>
        <v/>
      </c>
      <c r="Q88" s="4">
        <f>SUMPRODUCT((E88:G88+E89:G89)/2,$B$19:$D$19)*$B$6</f>
        <v/>
      </c>
      <c r="R88" s="4">
        <f>Q88*J88</f>
        <v/>
      </c>
      <c r="S88" s="4">
        <f>IF(A88=0,SUMPRODUCT((E88:G88+E89:G89)/2,$B$20:$D$20)*$B$6,0)</f>
        <v/>
      </c>
      <c r="T88" s="4">
        <f>S88*J88</f>
        <v/>
      </c>
      <c r="U88" s="4">
        <f>N88+P88+R88+T88</f>
        <v/>
      </c>
      <c r="V88">
        <f>SUMPRODUCT((E88:G88+E89:G89)/2,$B$24:$D$24)*$B$6</f>
        <v/>
      </c>
      <c r="W88" s="5">
        <f>V88*K88</f>
        <v/>
      </c>
      <c r="X88">
        <f>SUMPRODUCT((E88:G88+E89:G89)/2,$B$25:$D$25)*$B$6</f>
        <v/>
      </c>
      <c r="Y88">
        <f>X88*K88</f>
        <v/>
      </c>
    </row>
    <row r="89">
      <c r="A89" t="n">
        <v>60</v>
      </c>
      <c r="B89">
        <f>A89*$B$6</f>
        <v/>
      </c>
      <c r="C89" s="5">
        <f>EXP(-$B$12*B89)</f>
        <v/>
      </c>
      <c r="D89" s="5">
        <f>EXP(-$B$13*B89)</f>
        <v/>
      </c>
      <c r="E89">
        <f>C89</f>
        <v/>
      </c>
      <c r="F89">
        <f>D89-C89</f>
        <v/>
      </c>
      <c r="G89">
        <f>1-D89</f>
        <v/>
      </c>
      <c r="H89">
        <f>SUM(E89:G89)</f>
        <v/>
      </c>
      <c r="I89">
        <f>IF(AND(MIN(C89:D89)&gt;=0,MAX(C89:D89)&lt;=1,MIN(E89:G89)&gt;=-1E-10,ABS(H89-1)&lt;1E-8,C89&lt;=C88+1E-10,D89&lt;=D88+1E-10),"OK","ERROR")</f>
        <v/>
      </c>
      <c r="J89">
        <f>1/(1+$B$4)^(B89+$B$6/2)</f>
        <v/>
      </c>
      <c r="K89">
        <f>1/(1+$B$5)^(B89+$B$6/2)</f>
        <v/>
      </c>
      <c r="L89" t="inlineStr">
        <is>
          <t>Average endpoints</t>
        </is>
      </c>
      <c r="M89" s="4">
        <f>SUMPRODUCT((E89:G89+E90:G90)/2,$B$17:$D$17)*$B$6</f>
        <v/>
      </c>
      <c r="N89" s="4">
        <f>M89*J89</f>
        <v/>
      </c>
      <c r="O89" s="4">
        <f>SUMPRODUCT((E89:G89+E90:G90)/2,$B$18:$D$18)*$B$6</f>
        <v/>
      </c>
      <c r="P89" s="4">
        <f>O89*J89</f>
        <v/>
      </c>
      <c r="Q89" s="4">
        <f>SUMPRODUCT((E89:G89+E90:G90)/2,$B$19:$D$19)*$B$6</f>
        <v/>
      </c>
      <c r="R89" s="4">
        <f>Q89*J89</f>
        <v/>
      </c>
      <c r="S89" s="4">
        <f>IF(A89=0,SUMPRODUCT((E89:G89+E90:G90)/2,$B$20:$D$20)*$B$6,0)</f>
        <v/>
      </c>
      <c r="T89" s="4">
        <f>S89*J89</f>
        <v/>
      </c>
      <c r="U89" s="4">
        <f>N89+P89+R89+T89</f>
        <v/>
      </c>
      <c r="V89">
        <f>SUMPRODUCT((E89:G89+E90:G90)/2,$B$24:$D$24)*$B$6</f>
        <v/>
      </c>
      <c r="W89" s="5">
        <f>V89*K89</f>
        <v/>
      </c>
      <c r="X89">
        <f>SUMPRODUCT((E89:G89+E90:G90)/2,$B$25:$D$25)*$B$6</f>
        <v/>
      </c>
      <c r="Y89">
        <f>X89*K89</f>
        <v/>
      </c>
    </row>
    <row r="90">
      <c r="A90" t="n">
        <v>61</v>
      </c>
      <c r="B90">
        <f>A90*$B$6</f>
        <v/>
      </c>
      <c r="C90" s="5">
        <f>EXP(-$B$12*B90)</f>
        <v/>
      </c>
      <c r="D90" s="5">
        <f>EXP(-$B$13*B90)</f>
        <v/>
      </c>
      <c r="E90">
        <f>C90</f>
        <v/>
      </c>
      <c r="F90">
        <f>D90-C90</f>
        <v/>
      </c>
      <c r="G90">
        <f>1-D90</f>
        <v/>
      </c>
      <c r="H90">
        <f>SUM(E90:G90)</f>
        <v/>
      </c>
      <c r="I90">
        <f>IF(AND(MIN(C90:D90)&gt;=0,MAX(C90:D90)&lt;=1,MIN(E90:G90)&gt;=-1E-10,ABS(H90-1)&lt;1E-8,C90&lt;=C89+1E-10,D90&lt;=D89+1E-10),"OK","ERROR")</f>
        <v/>
      </c>
      <c r="J90">
        <f>1/(1+$B$4)^(B90+$B$6/2)</f>
        <v/>
      </c>
      <c r="K90">
        <f>1/(1+$B$5)^(B90+$B$6/2)</f>
        <v/>
      </c>
      <c r="L90" t="inlineStr">
        <is>
          <t>Average endpoints</t>
        </is>
      </c>
      <c r="M90" s="4">
        <f>SUMPRODUCT((E90:G90+E91:G91)/2,$B$17:$D$17)*$B$6</f>
        <v/>
      </c>
      <c r="N90" s="4">
        <f>M90*J90</f>
        <v/>
      </c>
      <c r="O90" s="4">
        <f>SUMPRODUCT((E90:G90+E91:G91)/2,$B$18:$D$18)*$B$6</f>
        <v/>
      </c>
      <c r="P90" s="4">
        <f>O90*J90</f>
        <v/>
      </c>
      <c r="Q90" s="4">
        <f>SUMPRODUCT((E90:G90+E91:G91)/2,$B$19:$D$19)*$B$6</f>
        <v/>
      </c>
      <c r="R90" s="4">
        <f>Q90*J90</f>
        <v/>
      </c>
      <c r="S90" s="4">
        <f>IF(A90=0,SUMPRODUCT((E90:G90+E91:G91)/2,$B$20:$D$20)*$B$6,0)</f>
        <v/>
      </c>
      <c r="T90" s="4">
        <f>S90*J90</f>
        <v/>
      </c>
      <c r="U90" s="4">
        <f>N90+P90+R90+T90</f>
        <v/>
      </c>
      <c r="V90">
        <f>SUMPRODUCT((E90:G90+E91:G91)/2,$B$24:$D$24)*$B$6</f>
        <v/>
      </c>
      <c r="W90" s="5">
        <f>V90*K90</f>
        <v/>
      </c>
      <c r="X90">
        <f>SUMPRODUCT((E90:G90+E91:G91)/2,$B$25:$D$25)*$B$6</f>
        <v/>
      </c>
      <c r="Y90">
        <f>X90*K90</f>
        <v/>
      </c>
    </row>
    <row r="91">
      <c r="A91" t="n">
        <v>62</v>
      </c>
      <c r="B91">
        <f>A91*$B$6</f>
        <v/>
      </c>
      <c r="C91" s="5">
        <f>EXP(-$B$12*B91)</f>
        <v/>
      </c>
      <c r="D91" s="5">
        <f>EXP(-$B$13*B91)</f>
        <v/>
      </c>
      <c r="E91">
        <f>C91</f>
        <v/>
      </c>
      <c r="F91">
        <f>D91-C91</f>
        <v/>
      </c>
      <c r="G91">
        <f>1-D91</f>
        <v/>
      </c>
      <c r="H91">
        <f>SUM(E91:G91)</f>
        <v/>
      </c>
      <c r="I91">
        <f>IF(AND(MIN(C91:D91)&gt;=0,MAX(C91:D91)&lt;=1,MIN(E91:G91)&gt;=-1E-10,ABS(H91-1)&lt;1E-8,C91&lt;=C90+1E-10,D91&lt;=D90+1E-10),"OK","ERROR")</f>
        <v/>
      </c>
      <c r="J91">
        <f>1/(1+$B$4)^(B91+$B$6/2)</f>
        <v/>
      </c>
      <c r="K91">
        <f>1/(1+$B$5)^(B91+$B$6/2)</f>
        <v/>
      </c>
      <c r="L91" t="inlineStr">
        <is>
          <t>Average endpoints</t>
        </is>
      </c>
      <c r="M91" s="4">
        <f>SUMPRODUCT((E91:G91+E92:G92)/2,$B$17:$D$17)*$B$6</f>
        <v/>
      </c>
      <c r="N91" s="4">
        <f>M91*J91</f>
        <v/>
      </c>
      <c r="O91" s="4">
        <f>SUMPRODUCT((E91:G91+E92:G92)/2,$B$18:$D$18)*$B$6</f>
        <v/>
      </c>
      <c r="P91" s="4">
        <f>O91*J91</f>
        <v/>
      </c>
      <c r="Q91" s="4">
        <f>SUMPRODUCT((E91:G91+E92:G92)/2,$B$19:$D$19)*$B$6</f>
        <v/>
      </c>
      <c r="R91" s="4">
        <f>Q91*J91</f>
        <v/>
      </c>
      <c r="S91" s="4">
        <f>IF(A91=0,SUMPRODUCT((E91:G91+E92:G92)/2,$B$20:$D$20)*$B$6,0)</f>
        <v/>
      </c>
      <c r="T91" s="4">
        <f>S91*J91</f>
        <v/>
      </c>
      <c r="U91" s="4">
        <f>N91+P91+R91+T91</f>
        <v/>
      </c>
      <c r="V91">
        <f>SUMPRODUCT((E91:G91+E92:G92)/2,$B$24:$D$24)*$B$6</f>
        <v/>
      </c>
      <c r="W91" s="5">
        <f>V91*K91</f>
        <v/>
      </c>
      <c r="X91">
        <f>SUMPRODUCT((E91:G91+E92:G92)/2,$B$25:$D$25)*$B$6</f>
        <v/>
      </c>
      <c r="Y91">
        <f>X91*K91</f>
        <v/>
      </c>
    </row>
    <row r="92">
      <c r="A92" t="n">
        <v>63</v>
      </c>
      <c r="B92">
        <f>A92*$B$6</f>
        <v/>
      </c>
      <c r="C92" s="5">
        <f>EXP(-$B$12*B92)</f>
        <v/>
      </c>
      <c r="D92" s="5">
        <f>EXP(-$B$13*B92)</f>
        <v/>
      </c>
      <c r="E92">
        <f>C92</f>
        <v/>
      </c>
      <c r="F92">
        <f>D92-C92</f>
        <v/>
      </c>
      <c r="G92">
        <f>1-D92</f>
        <v/>
      </c>
      <c r="H92">
        <f>SUM(E92:G92)</f>
        <v/>
      </c>
      <c r="I92">
        <f>IF(AND(MIN(C92:D92)&gt;=0,MAX(C92:D92)&lt;=1,MIN(E92:G92)&gt;=-1E-10,ABS(H92-1)&lt;1E-8,C92&lt;=C91+1E-10,D92&lt;=D91+1E-10),"OK","ERROR")</f>
        <v/>
      </c>
      <c r="J92">
        <f>1/(1+$B$4)^(B92+$B$6/2)</f>
        <v/>
      </c>
      <c r="K92">
        <f>1/(1+$B$5)^(B92+$B$6/2)</f>
        <v/>
      </c>
      <c r="L92" t="inlineStr">
        <is>
          <t>Average endpoints</t>
        </is>
      </c>
      <c r="M92" s="4">
        <f>SUMPRODUCT((E92:G92+E93:G93)/2,$B$17:$D$17)*$B$6</f>
        <v/>
      </c>
      <c r="N92" s="4">
        <f>M92*J92</f>
        <v/>
      </c>
      <c r="O92" s="4">
        <f>SUMPRODUCT((E92:G92+E93:G93)/2,$B$18:$D$18)*$B$6</f>
        <v/>
      </c>
      <c r="P92" s="4">
        <f>O92*J92</f>
        <v/>
      </c>
      <c r="Q92" s="4">
        <f>SUMPRODUCT((E92:G92+E93:G93)/2,$B$19:$D$19)*$B$6</f>
        <v/>
      </c>
      <c r="R92" s="4">
        <f>Q92*J92</f>
        <v/>
      </c>
      <c r="S92" s="4">
        <f>IF(A92=0,SUMPRODUCT((E92:G92+E93:G93)/2,$B$20:$D$20)*$B$6,0)</f>
        <v/>
      </c>
      <c r="T92" s="4">
        <f>S92*J92</f>
        <v/>
      </c>
      <c r="U92" s="4">
        <f>N92+P92+R92+T92</f>
        <v/>
      </c>
      <c r="V92">
        <f>SUMPRODUCT((E92:G92+E93:G93)/2,$B$24:$D$24)*$B$6</f>
        <v/>
      </c>
      <c r="W92" s="5">
        <f>V92*K92</f>
        <v/>
      </c>
      <c r="X92">
        <f>SUMPRODUCT((E92:G92+E93:G93)/2,$B$25:$D$25)*$B$6</f>
        <v/>
      </c>
      <c r="Y92">
        <f>X92*K92</f>
        <v/>
      </c>
    </row>
    <row r="93">
      <c r="A93" t="n">
        <v>64</v>
      </c>
      <c r="B93">
        <f>A93*$B$6</f>
        <v/>
      </c>
      <c r="C93" s="5">
        <f>EXP(-$B$12*B93)</f>
        <v/>
      </c>
      <c r="D93" s="5">
        <f>EXP(-$B$13*B93)</f>
        <v/>
      </c>
      <c r="E93">
        <f>C93</f>
        <v/>
      </c>
      <c r="F93">
        <f>D93-C93</f>
        <v/>
      </c>
      <c r="G93">
        <f>1-D93</f>
        <v/>
      </c>
      <c r="H93">
        <f>SUM(E93:G93)</f>
        <v/>
      </c>
      <c r="I93">
        <f>IF(AND(MIN(C93:D93)&gt;=0,MAX(C93:D93)&lt;=1,MIN(E93:G93)&gt;=-1E-10,ABS(H93-1)&lt;1E-8,C93&lt;=C92+1E-10,D93&lt;=D92+1E-10),"OK","ERROR")</f>
        <v/>
      </c>
      <c r="J93">
        <f>1/(1+$B$4)^(B93+$B$6/2)</f>
        <v/>
      </c>
      <c r="K93">
        <f>1/(1+$B$5)^(B93+$B$6/2)</f>
        <v/>
      </c>
      <c r="L93" t="inlineStr">
        <is>
          <t>Average endpoints</t>
        </is>
      </c>
      <c r="M93" s="4">
        <f>SUMPRODUCT((E93:G93+E94:G94)/2,$B$17:$D$17)*$B$6</f>
        <v/>
      </c>
      <c r="N93" s="4">
        <f>M93*J93</f>
        <v/>
      </c>
      <c r="O93" s="4">
        <f>SUMPRODUCT((E93:G93+E94:G94)/2,$B$18:$D$18)*$B$6</f>
        <v/>
      </c>
      <c r="P93" s="4">
        <f>O93*J93</f>
        <v/>
      </c>
      <c r="Q93" s="4">
        <f>SUMPRODUCT((E93:G93+E94:G94)/2,$B$19:$D$19)*$B$6</f>
        <v/>
      </c>
      <c r="R93" s="4">
        <f>Q93*J93</f>
        <v/>
      </c>
      <c r="S93" s="4">
        <f>IF(A93=0,SUMPRODUCT((E93:G93+E94:G94)/2,$B$20:$D$20)*$B$6,0)</f>
        <v/>
      </c>
      <c r="T93" s="4">
        <f>S93*J93</f>
        <v/>
      </c>
      <c r="U93" s="4">
        <f>N93+P93+R93+T93</f>
        <v/>
      </c>
      <c r="V93">
        <f>SUMPRODUCT((E93:G93+E94:G94)/2,$B$24:$D$24)*$B$6</f>
        <v/>
      </c>
      <c r="W93" s="5">
        <f>V93*K93</f>
        <v/>
      </c>
      <c r="X93">
        <f>SUMPRODUCT((E93:G93+E94:G94)/2,$B$25:$D$25)*$B$6</f>
        <v/>
      </c>
      <c r="Y93">
        <f>X93*K93</f>
        <v/>
      </c>
    </row>
    <row r="94">
      <c r="A94" t="n">
        <v>65</v>
      </c>
      <c r="B94">
        <f>A94*$B$6</f>
        <v/>
      </c>
      <c r="C94" s="5">
        <f>EXP(-$B$12*B94)</f>
        <v/>
      </c>
      <c r="D94" s="5">
        <f>EXP(-$B$13*B94)</f>
        <v/>
      </c>
      <c r="E94">
        <f>C94</f>
        <v/>
      </c>
      <c r="F94">
        <f>D94-C94</f>
        <v/>
      </c>
      <c r="G94">
        <f>1-D94</f>
        <v/>
      </c>
      <c r="H94">
        <f>SUM(E94:G94)</f>
        <v/>
      </c>
      <c r="I94">
        <f>IF(AND(MIN(C94:D94)&gt;=0,MAX(C94:D94)&lt;=1,MIN(E94:G94)&gt;=-1E-10,ABS(H94-1)&lt;1E-8,C94&lt;=C93+1E-10,D94&lt;=D93+1E-10),"OK","ERROR")</f>
        <v/>
      </c>
      <c r="J94">
        <f>1/(1+$B$4)^(B94+$B$6/2)</f>
        <v/>
      </c>
      <c r="K94">
        <f>1/(1+$B$5)^(B94+$B$6/2)</f>
        <v/>
      </c>
      <c r="L94" t="inlineStr">
        <is>
          <t>Average endpoints</t>
        </is>
      </c>
      <c r="M94" s="4">
        <f>SUMPRODUCT((E94:G94+E95:G95)/2,$B$17:$D$17)*$B$6</f>
        <v/>
      </c>
      <c r="N94" s="4">
        <f>M94*J94</f>
        <v/>
      </c>
      <c r="O94" s="4">
        <f>SUMPRODUCT((E94:G94+E95:G95)/2,$B$18:$D$18)*$B$6</f>
        <v/>
      </c>
      <c r="P94" s="4">
        <f>O94*J94</f>
        <v/>
      </c>
      <c r="Q94" s="4">
        <f>SUMPRODUCT((E94:G94+E95:G95)/2,$B$19:$D$19)*$B$6</f>
        <v/>
      </c>
      <c r="R94" s="4">
        <f>Q94*J94</f>
        <v/>
      </c>
      <c r="S94" s="4">
        <f>IF(A94=0,SUMPRODUCT((E94:G94+E95:G95)/2,$B$20:$D$20)*$B$6,0)</f>
        <v/>
      </c>
      <c r="T94" s="4">
        <f>S94*J94</f>
        <v/>
      </c>
      <c r="U94" s="4">
        <f>N94+P94+R94+T94</f>
        <v/>
      </c>
      <c r="V94">
        <f>SUMPRODUCT((E94:G94+E95:G95)/2,$B$24:$D$24)*$B$6</f>
        <v/>
      </c>
      <c r="W94" s="5">
        <f>V94*K94</f>
        <v/>
      </c>
      <c r="X94">
        <f>SUMPRODUCT((E94:G94+E95:G95)/2,$B$25:$D$25)*$B$6</f>
        <v/>
      </c>
      <c r="Y94">
        <f>X94*K94</f>
        <v/>
      </c>
    </row>
    <row r="95">
      <c r="A95" t="n">
        <v>66</v>
      </c>
      <c r="B95">
        <f>A95*$B$6</f>
        <v/>
      </c>
      <c r="C95" s="5">
        <f>EXP(-$B$12*B95)</f>
        <v/>
      </c>
      <c r="D95" s="5">
        <f>EXP(-$B$13*B95)</f>
        <v/>
      </c>
      <c r="E95">
        <f>C95</f>
        <v/>
      </c>
      <c r="F95">
        <f>D95-C95</f>
        <v/>
      </c>
      <c r="G95">
        <f>1-D95</f>
        <v/>
      </c>
      <c r="H95">
        <f>SUM(E95:G95)</f>
        <v/>
      </c>
      <c r="I95">
        <f>IF(AND(MIN(C95:D95)&gt;=0,MAX(C95:D95)&lt;=1,MIN(E95:G95)&gt;=-1E-10,ABS(H95-1)&lt;1E-8,C95&lt;=C94+1E-10,D95&lt;=D94+1E-10),"OK","ERROR")</f>
        <v/>
      </c>
      <c r="J95">
        <f>1/(1+$B$4)^(B95+$B$6/2)</f>
        <v/>
      </c>
      <c r="K95">
        <f>1/(1+$B$5)^(B95+$B$6/2)</f>
        <v/>
      </c>
      <c r="L95" t="inlineStr">
        <is>
          <t>Average endpoints</t>
        </is>
      </c>
      <c r="M95" s="4">
        <f>SUMPRODUCT((E95:G95+E96:G96)/2,$B$17:$D$17)*$B$6</f>
        <v/>
      </c>
      <c r="N95" s="4">
        <f>M95*J95</f>
        <v/>
      </c>
      <c r="O95" s="4">
        <f>SUMPRODUCT((E95:G95+E96:G96)/2,$B$18:$D$18)*$B$6</f>
        <v/>
      </c>
      <c r="P95" s="4">
        <f>O95*J95</f>
        <v/>
      </c>
      <c r="Q95" s="4">
        <f>SUMPRODUCT((E95:G95+E96:G96)/2,$B$19:$D$19)*$B$6</f>
        <v/>
      </c>
      <c r="R95" s="4">
        <f>Q95*J95</f>
        <v/>
      </c>
      <c r="S95" s="4">
        <f>IF(A95=0,SUMPRODUCT((E95:G95+E96:G96)/2,$B$20:$D$20)*$B$6,0)</f>
        <v/>
      </c>
      <c r="T95" s="4">
        <f>S95*J95</f>
        <v/>
      </c>
      <c r="U95" s="4">
        <f>N95+P95+R95+T95</f>
        <v/>
      </c>
      <c r="V95">
        <f>SUMPRODUCT((E95:G95+E96:G96)/2,$B$24:$D$24)*$B$6</f>
        <v/>
      </c>
      <c r="W95" s="5">
        <f>V95*K95</f>
        <v/>
      </c>
      <c r="X95">
        <f>SUMPRODUCT((E95:G95+E96:G96)/2,$B$25:$D$25)*$B$6</f>
        <v/>
      </c>
      <c r="Y95">
        <f>X95*K95</f>
        <v/>
      </c>
    </row>
    <row r="96">
      <c r="A96" t="n">
        <v>67</v>
      </c>
      <c r="B96">
        <f>A96*$B$6</f>
        <v/>
      </c>
      <c r="C96" s="5">
        <f>EXP(-$B$12*B96)</f>
        <v/>
      </c>
      <c r="D96" s="5">
        <f>EXP(-$B$13*B96)</f>
        <v/>
      </c>
      <c r="E96">
        <f>C96</f>
        <v/>
      </c>
      <c r="F96">
        <f>D96-C96</f>
        <v/>
      </c>
      <c r="G96">
        <f>1-D96</f>
        <v/>
      </c>
      <c r="H96">
        <f>SUM(E96:G96)</f>
        <v/>
      </c>
      <c r="I96">
        <f>IF(AND(MIN(C96:D96)&gt;=0,MAX(C96:D96)&lt;=1,MIN(E96:G96)&gt;=-1E-10,ABS(H96-1)&lt;1E-8,C96&lt;=C95+1E-10,D96&lt;=D95+1E-10),"OK","ERROR")</f>
        <v/>
      </c>
      <c r="J96">
        <f>1/(1+$B$4)^(B96+$B$6/2)</f>
        <v/>
      </c>
      <c r="K96">
        <f>1/(1+$B$5)^(B96+$B$6/2)</f>
        <v/>
      </c>
      <c r="L96" t="inlineStr">
        <is>
          <t>Average endpoints</t>
        </is>
      </c>
      <c r="M96" s="4">
        <f>SUMPRODUCT((E96:G96+E97:G97)/2,$B$17:$D$17)*$B$6</f>
        <v/>
      </c>
      <c r="N96" s="4">
        <f>M96*J96</f>
        <v/>
      </c>
      <c r="O96" s="4">
        <f>SUMPRODUCT((E96:G96+E97:G97)/2,$B$18:$D$18)*$B$6</f>
        <v/>
      </c>
      <c r="P96" s="4">
        <f>O96*J96</f>
        <v/>
      </c>
      <c r="Q96" s="4">
        <f>SUMPRODUCT((E96:G96+E97:G97)/2,$B$19:$D$19)*$B$6</f>
        <v/>
      </c>
      <c r="R96" s="4">
        <f>Q96*J96</f>
        <v/>
      </c>
      <c r="S96" s="4">
        <f>IF(A96=0,SUMPRODUCT((E96:G96+E97:G97)/2,$B$20:$D$20)*$B$6,0)</f>
        <v/>
      </c>
      <c r="T96" s="4">
        <f>S96*J96</f>
        <v/>
      </c>
      <c r="U96" s="4">
        <f>N96+P96+R96+T96</f>
        <v/>
      </c>
      <c r="V96">
        <f>SUMPRODUCT((E96:G96+E97:G97)/2,$B$24:$D$24)*$B$6</f>
        <v/>
      </c>
      <c r="W96" s="5">
        <f>V96*K96</f>
        <v/>
      </c>
      <c r="X96">
        <f>SUMPRODUCT((E96:G96+E97:G97)/2,$B$25:$D$25)*$B$6</f>
        <v/>
      </c>
      <c r="Y96">
        <f>X96*K96</f>
        <v/>
      </c>
    </row>
    <row r="97">
      <c r="A97" t="n">
        <v>68</v>
      </c>
      <c r="B97">
        <f>A97*$B$6</f>
        <v/>
      </c>
      <c r="C97" s="5">
        <f>EXP(-$B$12*B97)</f>
        <v/>
      </c>
      <c r="D97" s="5">
        <f>EXP(-$B$13*B97)</f>
        <v/>
      </c>
      <c r="E97">
        <f>C97</f>
        <v/>
      </c>
      <c r="F97">
        <f>D97-C97</f>
        <v/>
      </c>
      <c r="G97">
        <f>1-D97</f>
        <v/>
      </c>
      <c r="H97">
        <f>SUM(E97:G97)</f>
        <v/>
      </c>
      <c r="I97">
        <f>IF(AND(MIN(C97:D97)&gt;=0,MAX(C97:D97)&lt;=1,MIN(E97:G97)&gt;=-1E-10,ABS(H97-1)&lt;1E-8,C97&lt;=C96+1E-10,D97&lt;=D96+1E-10),"OK","ERROR")</f>
        <v/>
      </c>
      <c r="J97">
        <f>1/(1+$B$4)^(B97+$B$6/2)</f>
        <v/>
      </c>
      <c r="K97">
        <f>1/(1+$B$5)^(B97+$B$6/2)</f>
        <v/>
      </c>
      <c r="L97" t="inlineStr">
        <is>
          <t>Average endpoints</t>
        </is>
      </c>
      <c r="M97" s="4">
        <f>SUMPRODUCT((E97:G97+E98:G98)/2,$B$17:$D$17)*$B$6</f>
        <v/>
      </c>
      <c r="N97" s="4">
        <f>M97*J97</f>
        <v/>
      </c>
      <c r="O97" s="4">
        <f>SUMPRODUCT((E97:G97+E98:G98)/2,$B$18:$D$18)*$B$6</f>
        <v/>
      </c>
      <c r="P97" s="4">
        <f>O97*J97</f>
        <v/>
      </c>
      <c r="Q97" s="4">
        <f>SUMPRODUCT((E97:G97+E98:G98)/2,$B$19:$D$19)*$B$6</f>
        <v/>
      </c>
      <c r="R97" s="4">
        <f>Q97*J97</f>
        <v/>
      </c>
      <c r="S97" s="4">
        <f>IF(A97=0,SUMPRODUCT((E97:G97+E98:G98)/2,$B$20:$D$20)*$B$6,0)</f>
        <v/>
      </c>
      <c r="T97" s="4">
        <f>S97*J97</f>
        <v/>
      </c>
      <c r="U97" s="4">
        <f>N97+P97+R97+T97</f>
        <v/>
      </c>
      <c r="V97">
        <f>SUMPRODUCT((E97:G97+E98:G98)/2,$B$24:$D$24)*$B$6</f>
        <v/>
      </c>
      <c r="W97" s="5">
        <f>V97*K97</f>
        <v/>
      </c>
      <c r="X97">
        <f>SUMPRODUCT((E97:G97+E98:G98)/2,$B$25:$D$25)*$B$6</f>
        <v/>
      </c>
      <c r="Y97">
        <f>X97*K97</f>
        <v/>
      </c>
    </row>
    <row r="98">
      <c r="A98" t="n">
        <v>69</v>
      </c>
      <c r="B98">
        <f>A98*$B$6</f>
        <v/>
      </c>
      <c r="C98" s="5">
        <f>EXP(-$B$12*B98)</f>
        <v/>
      </c>
      <c r="D98" s="5">
        <f>EXP(-$B$13*B98)</f>
        <v/>
      </c>
      <c r="E98">
        <f>C98</f>
        <v/>
      </c>
      <c r="F98">
        <f>D98-C98</f>
        <v/>
      </c>
      <c r="G98">
        <f>1-D98</f>
        <v/>
      </c>
      <c r="H98">
        <f>SUM(E98:G98)</f>
        <v/>
      </c>
      <c r="I98">
        <f>IF(AND(MIN(C98:D98)&gt;=0,MAX(C98:D98)&lt;=1,MIN(E98:G98)&gt;=-1E-10,ABS(H98-1)&lt;1E-8,C98&lt;=C97+1E-10,D98&lt;=D97+1E-10),"OK","ERROR")</f>
        <v/>
      </c>
      <c r="J98">
        <f>1/(1+$B$4)^(B98+$B$6/2)</f>
        <v/>
      </c>
      <c r="K98">
        <f>1/(1+$B$5)^(B98+$B$6/2)</f>
        <v/>
      </c>
      <c r="L98" t="inlineStr">
        <is>
          <t>Average endpoints</t>
        </is>
      </c>
      <c r="M98" s="4">
        <f>SUMPRODUCT((E98:G98+E99:G99)/2,$B$17:$D$17)*$B$6</f>
        <v/>
      </c>
      <c r="N98" s="4">
        <f>M98*J98</f>
        <v/>
      </c>
      <c r="O98" s="4">
        <f>SUMPRODUCT((E98:G98+E99:G99)/2,$B$18:$D$18)*$B$6</f>
        <v/>
      </c>
      <c r="P98" s="4">
        <f>O98*J98</f>
        <v/>
      </c>
      <c r="Q98" s="4">
        <f>SUMPRODUCT((E98:G98+E99:G99)/2,$B$19:$D$19)*$B$6</f>
        <v/>
      </c>
      <c r="R98" s="4">
        <f>Q98*J98</f>
        <v/>
      </c>
      <c r="S98" s="4">
        <f>IF(A98=0,SUMPRODUCT((E98:G98+E99:G99)/2,$B$20:$D$20)*$B$6,0)</f>
        <v/>
      </c>
      <c r="T98" s="4">
        <f>S98*J98</f>
        <v/>
      </c>
      <c r="U98" s="4">
        <f>N98+P98+R98+T98</f>
        <v/>
      </c>
      <c r="V98">
        <f>SUMPRODUCT((E98:G98+E99:G99)/2,$B$24:$D$24)*$B$6</f>
        <v/>
      </c>
      <c r="W98" s="5">
        <f>V98*K98</f>
        <v/>
      </c>
      <c r="X98">
        <f>SUMPRODUCT((E98:G98+E99:G99)/2,$B$25:$D$25)*$B$6</f>
        <v/>
      </c>
      <c r="Y98">
        <f>X98*K98</f>
        <v/>
      </c>
    </row>
    <row r="99">
      <c r="A99" t="n">
        <v>70</v>
      </c>
      <c r="B99">
        <f>A99*$B$6</f>
        <v/>
      </c>
      <c r="C99" s="5">
        <f>EXP(-$B$12*B99)</f>
        <v/>
      </c>
      <c r="D99" s="5">
        <f>EXP(-$B$13*B99)</f>
        <v/>
      </c>
      <c r="E99">
        <f>C99</f>
        <v/>
      </c>
      <c r="F99">
        <f>D99-C99</f>
        <v/>
      </c>
      <c r="G99">
        <f>1-D99</f>
        <v/>
      </c>
      <c r="H99">
        <f>SUM(E99:G99)</f>
        <v/>
      </c>
      <c r="I99">
        <f>IF(AND(MIN(C99:D99)&gt;=0,MAX(C99:D99)&lt;=1,MIN(E99:G99)&gt;=-1E-10,ABS(H99-1)&lt;1E-8,C99&lt;=C98+1E-10,D99&lt;=D98+1E-10),"OK","ERROR")</f>
        <v/>
      </c>
      <c r="J99">
        <f>1/(1+$B$4)^(B99+$B$6/2)</f>
        <v/>
      </c>
      <c r="K99">
        <f>1/(1+$B$5)^(B99+$B$6/2)</f>
        <v/>
      </c>
      <c r="L99" t="inlineStr">
        <is>
          <t>Average endpoints</t>
        </is>
      </c>
      <c r="M99" s="4">
        <f>SUMPRODUCT((E99:G99+E100:G100)/2,$B$17:$D$17)*$B$6</f>
        <v/>
      </c>
      <c r="N99" s="4">
        <f>M99*J99</f>
        <v/>
      </c>
      <c r="O99" s="4">
        <f>SUMPRODUCT((E99:G99+E100:G100)/2,$B$18:$D$18)*$B$6</f>
        <v/>
      </c>
      <c r="P99" s="4">
        <f>O99*J99</f>
        <v/>
      </c>
      <c r="Q99" s="4">
        <f>SUMPRODUCT((E99:G99+E100:G100)/2,$B$19:$D$19)*$B$6</f>
        <v/>
      </c>
      <c r="R99" s="4">
        <f>Q99*J99</f>
        <v/>
      </c>
      <c r="S99" s="4">
        <f>IF(A99=0,SUMPRODUCT((E99:G99+E100:G100)/2,$B$20:$D$20)*$B$6,0)</f>
        <v/>
      </c>
      <c r="T99" s="4">
        <f>S99*J99</f>
        <v/>
      </c>
      <c r="U99" s="4">
        <f>N99+P99+R99+T99</f>
        <v/>
      </c>
      <c r="V99">
        <f>SUMPRODUCT((E99:G99+E100:G100)/2,$B$24:$D$24)*$B$6</f>
        <v/>
      </c>
      <c r="W99" s="5">
        <f>V99*K99</f>
        <v/>
      </c>
      <c r="X99">
        <f>SUMPRODUCT((E99:G99+E100:G100)/2,$B$25:$D$25)*$B$6</f>
        <v/>
      </c>
      <c r="Y99">
        <f>X99*K99</f>
        <v/>
      </c>
    </row>
    <row r="100">
      <c r="A100" t="n">
        <v>71</v>
      </c>
      <c r="B100">
        <f>A100*$B$6</f>
        <v/>
      </c>
      <c r="C100" s="5">
        <f>EXP(-$B$12*B100)</f>
        <v/>
      </c>
      <c r="D100" s="5">
        <f>EXP(-$B$13*B100)</f>
        <v/>
      </c>
      <c r="E100">
        <f>C100</f>
        <v/>
      </c>
      <c r="F100">
        <f>D100-C100</f>
        <v/>
      </c>
      <c r="G100">
        <f>1-D100</f>
        <v/>
      </c>
      <c r="H100">
        <f>SUM(E100:G100)</f>
        <v/>
      </c>
      <c r="I100">
        <f>IF(AND(MIN(C100:D100)&gt;=0,MAX(C100:D100)&lt;=1,MIN(E100:G100)&gt;=-1E-10,ABS(H100-1)&lt;1E-8,C100&lt;=C99+1E-10,D100&lt;=D99+1E-10),"OK","ERROR")</f>
        <v/>
      </c>
      <c r="J100">
        <f>1/(1+$B$4)^(B100+$B$6/2)</f>
        <v/>
      </c>
      <c r="K100">
        <f>1/(1+$B$5)^(B100+$B$6/2)</f>
        <v/>
      </c>
      <c r="L100" t="inlineStr">
        <is>
          <t>Average endpoints</t>
        </is>
      </c>
      <c r="M100" s="4">
        <f>SUMPRODUCT((E100:G100+E101:G101)/2,$B$17:$D$17)*$B$6</f>
        <v/>
      </c>
      <c r="N100" s="4">
        <f>M100*J100</f>
        <v/>
      </c>
      <c r="O100" s="4">
        <f>SUMPRODUCT((E100:G100+E101:G101)/2,$B$18:$D$18)*$B$6</f>
        <v/>
      </c>
      <c r="P100" s="4">
        <f>O100*J100</f>
        <v/>
      </c>
      <c r="Q100" s="4">
        <f>SUMPRODUCT((E100:G100+E101:G101)/2,$B$19:$D$19)*$B$6</f>
        <v/>
      </c>
      <c r="R100" s="4">
        <f>Q100*J100</f>
        <v/>
      </c>
      <c r="S100" s="4">
        <f>IF(A100=0,SUMPRODUCT((E100:G100+E101:G101)/2,$B$20:$D$20)*$B$6,0)</f>
        <v/>
      </c>
      <c r="T100" s="4">
        <f>S100*J100</f>
        <v/>
      </c>
      <c r="U100" s="4">
        <f>N100+P100+R100+T100</f>
        <v/>
      </c>
      <c r="V100">
        <f>SUMPRODUCT((E100:G100+E101:G101)/2,$B$24:$D$24)*$B$6</f>
        <v/>
      </c>
      <c r="W100" s="5">
        <f>V100*K100</f>
        <v/>
      </c>
      <c r="X100">
        <f>SUMPRODUCT((E100:G100+E101:G101)/2,$B$25:$D$25)*$B$6</f>
        <v/>
      </c>
      <c r="Y100">
        <f>X100*K100</f>
        <v/>
      </c>
    </row>
    <row r="101">
      <c r="A101" t="n">
        <v>72</v>
      </c>
      <c r="B101">
        <f>A101*$B$6</f>
        <v/>
      </c>
      <c r="C101" s="5">
        <f>EXP(-$B$12*B101)</f>
        <v/>
      </c>
      <c r="D101" s="5">
        <f>EXP(-$B$13*B101)</f>
        <v/>
      </c>
      <c r="E101">
        <f>C101</f>
        <v/>
      </c>
      <c r="F101">
        <f>D101-C101</f>
        <v/>
      </c>
      <c r="G101">
        <f>1-D101</f>
        <v/>
      </c>
      <c r="H101">
        <f>SUM(E101:G101)</f>
        <v/>
      </c>
      <c r="I101">
        <f>IF(AND(MIN(C101:D101)&gt;=0,MAX(C101:D101)&lt;=1,MIN(E101:G101)&gt;=-1E-10,ABS(H101-1)&lt;1E-8,C101&lt;=C100+1E-10,D101&lt;=D100+1E-10),"OK","ERROR")</f>
        <v/>
      </c>
      <c r="J101">
        <f>1/(1+$B$4)^(B101+$B$6/2)</f>
        <v/>
      </c>
      <c r="K101">
        <f>1/(1+$B$5)^(B101+$B$6/2)</f>
        <v/>
      </c>
      <c r="L101" t="inlineStr">
        <is>
          <t>Average endpoints</t>
        </is>
      </c>
      <c r="M101" s="4">
        <f>SUMPRODUCT((E101:G101+E102:G102)/2,$B$17:$D$17)*$B$6</f>
        <v/>
      </c>
      <c r="N101" s="4">
        <f>M101*J101</f>
        <v/>
      </c>
      <c r="O101" s="4">
        <f>SUMPRODUCT((E101:G101+E102:G102)/2,$B$18:$D$18)*$B$6</f>
        <v/>
      </c>
      <c r="P101" s="4">
        <f>O101*J101</f>
        <v/>
      </c>
      <c r="Q101" s="4">
        <f>SUMPRODUCT((E101:G101+E102:G102)/2,$B$19:$D$19)*$B$6</f>
        <v/>
      </c>
      <c r="R101" s="4">
        <f>Q101*J101</f>
        <v/>
      </c>
      <c r="S101" s="4">
        <f>IF(A101=0,SUMPRODUCT((E101:G101+E102:G102)/2,$B$20:$D$20)*$B$6,0)</f>
        <v/>
      </c>
      <c r="T101" s="4">
        <f>S101*J101</f>
        <v/>
      </c>
      <c r="U101" s="4">
        <f>N101+P101+R101+T101</f>
        <v/>
      </c>
      <c r="V101">
        <f>SUMPRODUCT((E101:G101+E102:G102)/2,$B$24:$D$24)*$B$6</f>
        <v/>
      </c>
      <c r="W101" s="5">
        <f>V101*K101</f>
        <v/>
      </c>
      <c r="X101">
        <f>SUMPRODUCT((E101:G101+E102:G102)/2,$B$25:$D$25)*$B$6</f>
        <v/>
      </c>
      <c r="Y101">
        <f>X101*K101</f>
        <v/>
      </c>
    </row>
    <row r="102">
      <c r="A102" t="n">
        <v>73</v>
      </c>
      <c r="B102">
        <f>A102*$B$6</f>
        <v/>
      </c>
      <c r="C102" s="5">
        <f>EXP(-$B$12*B102)</f>
        <v/>
      </c>
      <c r="D102" s="5">
        <f>EXP(-$B$13*B102)</f>
        <v/>
      </c>
      <c r="E102">
        <f>C102</f>
        <v/>
      </c>
      <c r="F102">
        <f>D102-C102</f>
        <v/>
      </c>
      <c r="G102">
        <f>1-D102</f>
        <v/>
      </c>
      <c r="H102">
        <f>SUM(E102:G102)</f>
        <v/>
      </c>
      <c r="I102">
        <f>IF(AND(MIN(C102:D102)&gt;=0,MAX(C102:D102)&lt;=1,MIN(E102:G102)&gt;=-1E-10,ABS(H102-1)&lt;1E-8,C102&lt;=C101+1E-10,D102&lt;=D101+1E-10),"OK","ERROR")</f>
        <v/>
      </c>
      <c r="J102">
        <f>1/(1+$B$4)^(B102+$B$6/2)</f>
        <v/>
      </c>
      <c r="K102">
        <f>1/(1+$B$5)^(B102+$B$6/2)</f>
        <v/>
      </c>
      <c r="L102" t="inlineStr">
        <is>
          <t>Average endpoints</t>
        </is>
      </c>
      <c r="M102" s="4">
        <f>SUMPRODUCT((E102:G102+E103:G103)/2,$B$17:$D$17)*$B$6</f>
        <v/>
      </c>
      <c r="N102" s="4">
        <f>M102*J102</f>
        <v/>
      </c>
      <c r="O102" s="4">
        <f>SUMPRODUCT((E102:G102+E103:G103)/2,$B$18:$D$18)*$B$6</f>
        <v/>
      </c>
      <c r="P102" s="4">
        <f>O102*J102</f>
        <v/>
      </c>
      <c r="Q102" s="4">
        <f>SUMPRODUCT((E102:G102+E103:G103)/2,$B$19:$D$19)*$B$6</f>
        <v/>
      </c>
      <c r="R102" s="4">
        <f>Q102*J102</f>
        <v/>
      </c>
      <c r="S102" s="4">
        <f>IF(A102=0,SUMPRODUCT((E102:G102+E103:G103)/2,$B$20:$D$20)*$B$6,0)</f>
        <v/>
      </c>
      <c r="T102" s="4">
        <f>S102*J102</f>
        <v/>
      </c>
      <c r="U102" s="4">
        <f>N102+P102+R102+T102</f>
        <v/>
      </c>
      <c r="V102">
        <f>SUMPRODUCT((E102:G102+E103:G103)/2,$B$24:$D$24)*$B$6</f>
        <v/>
      </c>
      <c r="W102" s="5">
        <f>V102*K102</f>
        <v/>
      </c>
      <c r="X102">
        <f>SUMPRODUCT((E102:G102+E103:G103)/2,$B$25:$D$25)*$B$6</f>
        <v/>
      </c>
      <c r="Y102">
        <f>X102*K102</f>
        <v/>
      </c>
    </row>
    <row r="103">
      <c r="A103" t="n">
        <v>74</v>
      </c>
      <c r="B103">
        <f>A103*$B$6</f>
        <v/>
      </c>
      <c r="C103" s="5">
        <f>EXP(-$B$12*B103)</f>
        <v/>
      </c>
      <c r="D103" s="5">
        <f>EXP(-$B$13*B103)</f>
        <v/>
      </c>
      <c r="E103">
        <f>C103</f>
        <v/>
      </c>
      <c r="F103">
        <f>D103-C103</f>
        <v/>
      </c>
      <c r="G103">
        <f>1-D103</f>
        <v/>
      </c>
      <c r="H103">
        <f>SUM(E103:G103)</f>
        <v/>
      </c>
      <c r="I103">
        <f>IF(AND(MIN(C103:D103)&gt;=0,MAX(C103:D103)&lt;=1,MIN(E103:G103)&gt;=-1E-10,ABS(H103-1)&lt;1E-8,C103&lt;=C102+1E-10,D103&lt;=D102+1E-10),"OK","ERROR")</f>
        <v/>
      </c>
      <c r="J103">
        <f>1/(1+$B$4)^(B103+$B$6/2)</f>
        <v/>
      </c>
      <c r="K103">
        <f>1/(1+$B$5)^(B103+$B$6/2)</f>
        <v/>
      </c>
      <c r="L103" t="inlineStr">
        <is>
          <t>Average endpoints</t>
        </is>
      </c>
      <c r="M103" s="4">
        <f>SUMPRODUCT((E103:G103+E104:G104)/2,$B$17:$D$17)*$B$6</f>
        <v/>
      </c>
      <c r="N103" s="4">
        <f>M103*J103</f>
        <v/>
      </c>
      <c r="O103" s="4">
        <f>SUMPRODUCT((E103:G103+E104:G104)/2,$B$18:$D$18)*$B$6</f>
        <v/>
      </c>
      <c r="P103" s="4">
        <f>O103*J103</f>
        <v/>
      </c>
      <c r="Q103" s="4">
        <f>SUMPRODUCT((E103:G103+E104:G104)/2,$B$19:$D$19)*$B$6</f>
        <v/>
      </c>
      <c r="R103" s="4">
        <f>Q103*J103</f>
        <v/>
      </c>
      <c r="S103" s="4">
        <f>IF(A103=0,SUMPRODUCT((E103:G103+E104:G104)/2,$B$20:$D$20)*$B$6,0)</f>
        <v/>
      </c>
      <c r="T103" s="4">
        <f>S103*J103</f>
        <v/>
      </c>
      <c r="U103" s="4">
        <f>N103+P103+R103+T103</f>
        <v/>
      </c>
      <c r="V103">
        <f>SUMPRODUCT((E103:G103+E104:G104)/2,$B$24:$D$24)*$B$6</f>
        <v/>
      </c>
      <c r="W103" s="5">
        <f>V103*K103</f>
        <v/>
      </c>
      <c r="X103">
        <f>SUMPRODUCT((E103:G103+E104:G104)/2,$B$25:$D$25)*$B$6</f>
        <v/>
      </c>
      <c r="Y103">
        <f>X103*K103</f>
        <v/>
      </c>
    </row>
    <row r="104">
      <c r="A104" t="n">
        <v>75</v>
      </c>
      <c r="B104">
        <f>A104*$B$6</f>
        <v/>
      </c>
      <c r="C104" s="5">
        <f>EXP(-$B$12*B104)</f>
        <v/>
      </c>
      <c r="D104" s="5">
        <f>EXP(-$B$13*B104)</f>
        <v/>
      </c>
      <c r="E104">
        <f>C104</f>
        <v/>
      </c>
      <c r="F104">
        <f>D104-C104</f>
        <v/>
      </c>
      <c r="G104">
        <f>1-D104</f>
        <v/>
      </c>
      <c r="H104">
        <f>SUM(E104:G104)</f>
        <v/>
      </c>
      <c r="I104">
        <f>IF(AND(MIN(C104:D104)&gt;=0,MAX(C104:D104)&lt;=1,MIN(E104:G104)&gt;=-1E-10,ABS(H104-1)&lt;1E-8,C104&lt;=C103+1E-10,D104&lt;=D103+1E-10),"OK","ERROR")</f>
        <v/>
      </c>
      <c r="J104">
        <f>1/(1+$B$4)^(B104+$B$6/2)</f>
        <v/>
      </c>
      <c r="K104">
        <f>1/(1+$B$5)^(B104+$B$6/2)</f>
        <v/>
      </c>
      <c r="L104" t="inlineStr">
        <is>
          <t>Average endpoints</t>
        </is>
      </c>
      <c r="M104" s="4">
        <f>SUMPRODUCT((E104:G104+E105:G105)/2,$B$17:$D$17)*$B$6</f>
        <v/>
      </c>
      <c r="N104" s="4">
        <f>M104*J104</f>
        <v/>
      </c>
      <c r="O104" s="4">
        <f>SUMPRODUCT((E104:G104+E105:G105)/2,$B$18:$D$18)*$B$6</f>
        <v/>
      </c>
      <c r="P104" s="4">
        <f>O104*J104</f>
        <v/>
      </c>
      <c r="Q104" s="4">
        <f>SUMPRODUCT((E104:G104+E105:G105)/2,$B$19:$D$19)*$B$6</f>
        <v/>
      </c>
      <c r="R104" s="4">
        <f>Q104*J104</f>
        <v/>
      </c>
      <c r="S104" s="4">
        <f>IF(A104=0,SUMPRODUCT((E104:G104+E105:G105)/2,$B$20:$D$20)*$B$6,0)</f>
        <v/>
      </c>
      <c r="T104" s="4">
        <f>S104*J104</f>
        <v/>
      </c>
      <c r="U104" s="4">
        <f>N104+P104+R104+T104</f>
        <v/>
      </c>
      <c r="V104">
        <f>SUMPRODUCT((E104:G104+E105:G105)/2,$B$24:$D$24)*$B$6</f>
        <v/>
      </c>
      <c r="W104" s="5">
        <f>V104*K104</f>
        <v/>
      </c>
      <c r="X104">
        <f>SUMPRODUCT((E104:G104+E105:G105)/2,$B$25:$D$25)*$B$6</f>
        <v/>
      </c>
      <c r="Y104">
        <f>X104*K104</f>
        <v/>
      </c>
    </row>
    <row r="105">
      <c r="A105" t="n">
        <v>76</v>
      </c>
      <c r="B105">
        <f>A105*$B$6</f>
        <v/>
      </c>
      <c r="C105" s="5">
        <f>EXP(-$B$12*B105)</f>
        <v/>
      </c>
      <c r="D105" s="5">
        <f>EXP(-$B$13*B105)</f>
        <v/>
      </c>
      <c r="E105">
        <f>C105</f>
        <v/>
      </c>
      <c r="F105">
        <f>D105-C105</f>
        <v/>
      </c>
      <c r="G105">
        <f>1-D105</f>
        <v/>
      </c>
      <c r="H105">
        <f>SUM(E105:G105)</f>
        <v/>
      </c>
      <c r="I105">
        <f>IF(AND(MIN(C105:D105)&gt;=0,MAX(C105:D105)&lt;=1,MIN(E105:G105)&gt;=-1E-10,ABS(H105-1)&lt;1E-8,C105&lt;=C104+1E-10,D105&lt;=D104+1E-10),"OK","ERROR")</f>
        <v/>
      </c>
      <c r="J105">
        <f>1/(1+$B$4)^(B105+$B$6/2)</f>
        <v/>
      </c>
      <c r="K105">
        <f>1/(1+$B$5)^(B105+$B$6/2)</f>
        <v/>
      </c>
      <c r="L105" t="inlineStr">
        <is>
          <t>Average endpoints</t>
        </is>
      </c>
      <c r="M105" s="4">
        <f>SUMPRODUCT((E105:G105+E106:G106)/2,$B$17:$D$17)*$B$6</f>
        <v/>
      </c>
      <c r="N105" s="4">
        <f>M105*J105</f>
        <v/>
      </c>
      <c r="O105" s="4">
        <f>SUMPRODUCT((E105:G105+E106:G106)/2,$B$18:$D$18)*$B$6</f>
        <v/>
      </c>
      <c r="P105" s="4">
        <f>O105*J105</f>
        <v/>
      </c>
      <c r="Q105" s="4">
        <f>SUMPRODUCT((E105:G105+E106:G106)/2,$B$19:$D$19)*$B$6</f>
        <v/>
      </c>
      <c r="R105" s="4">
        <f>Q105*J105</f>
        <v/>
      </c>
      <c r="S105" s="4">
        <f>IF(A105=0,SUMPRODUCT((E105:G105+E106:G106)/2,$B$20:$D$20)*$B$6,0)</f>
        <v/>
      </c>
      <c r="T105" s="4">
        <f>S105*J105</f>
        <v/>
      </c>
      <c r="U105" s="4">
        <f>N105+P105+R105+T105</f>
        <v/>
      </c>
      <c r="V105">
        <f>SUMPRODUCT((E105:G105+E106:G106)/2,$B$24:$D$24)*$B$6</f>
        <v/>
      </c>
      <c r="W105" s="5">
        <f>V105*K105</f>
        <v/>
      </c>
      <c r="X105">
        <f>SUMPRODUCT((E105:G105+E106:G106)/2,$B$25:$D$25)*$B$6</f>
        <v/>
      </c>
      <c r="Y105">
        <f>X105*K105</f>
        <v/>
      </c>
    </row>
    <row r="106">
      <c r="A106" t="n">
        <v>77</v>
      </c>
      <c r="B106">
        <f>A106*$B$6</f>
        <v/>
      </c>
      <c r="C106" s="5">
        <f>EXP(-$B$12*B106)</f>
        <v/>
      </c>
      <c r="D106" s="5">
        <f>EXP(-$B$13*B106)</f>
        <v/>
      </c>
      <c r="E106">
        <f>C106</f>
        <v/>
      </c>
      <c r="F106">
        <f>D106-C106</f>
        <v/>
      </c>
      <c r="G106">
        <f>1-D106</f>
        <v/>
      </c>
      <c r="H106">
        <f>SUM(E106:G106)</f>
        <v/>
      </c>
      <c r="I106">
        <f>IF(AND(MIN(C106:D106)&gt;=0,MAX(C106:D106)&lt;=1,MIN(E106:G106)&gt;=-1E-10,ABS(H106-1)&lt;1E-8,C106&lt;=C105+1E-10,D106&lt;=D105+1E-10),"OK","ERROR")</f>
        <v/>
      </c>
      <c r="J106">
        <f>1/(1+$B$4)^(B106+$B$6/2)</f>
        <v/>
      </c>
      <c r="K106">
        <f>1/(1+$B$5)^(B106+$B$6/2)</f>
        <v/>
      </c>
      <c r="L106" t="inlineStr">
        <is>
          <t>Average endpoints</t>
        </is>
      </c>
      <c r="M106" s="4">
        <f>SUMPRODUCT((E106:G106+E107:G107)/2,$B$17:$D$17)*$B$6</f>
        <v/>
      </c>
      <c r="N106" s="4">
        <f>M106*J106</f>
        <v/>
      </c>
      <c r="O106" s="4">
        <f>SUMPRODUCT((E106:G106+E107:G107)/2,$B$18:$D$18)*$B$6</f>
        <v/>
      </c>
      <c r="P106" s="4">
        <f>O106*J106</f>
        <v/>
      </c>
      <c r="Q106" s="4">
        <f>SUMPRODUCT((E106:G106+E107:G107)/2,$B$19:$D$19)*$B$6</f>
        <v/>
      </c>
      <c r="R106" s="4">
        <f>Q106*J106</f>
        <v/>
      </c>
      <c r="S106" s="4">
        <f>IF(A106=0,SUMPRODUCT((E106:G106+E107:G107)/2,$B$20:$D$20)*$B$6,0)</f>
        <v/>
      </c>
      <c r="T106" s="4">
        <f>S106*J106</f>
        <v/>
      </c>
      <c r="U106" s="4">
        <f>N106+P106+R106+T106</f>
        <v/>
      </c>
      <c r="V106">
        <f>SUMPRODUCT((E106:G106+E107:G107)/2,$B$24:$D$24)*$B$6</f>
        <v/>
      </c>
      <c r="W106" s="5">
        <f>V106*K106</f>
        <v/>
      </c>
      <c r="X106">
        <f>SUMPRODUCT((E106:G106+E107:G107)/2,$B$25:$D$25)*$B$6</f>
        <v/>
      </c>
      <c r="Y106">
        <f>X106*K106</f>
        <v/>
      </c>
    </row>
    <row r="107">
      <c r="A107" t="n">
        <v>78</v>
      </c>
      <c r="B107">
        <f>A107*$B$6</f>
        <v/>
      </c>
      <c r="C107" s="5">
        <f>EXP(-$B$12*B107)</f>
        <v/>
      </c>
      <c r="D107" s="5">
        <f>EXP(-$B$13*B107)</f>
        <v/>
      </c>
      <c r="E107">
        <f>C107</f>
        <v/>
      </c>
      <c r="F107">
        <f>D107-C107</f>
        <v/>
      </c>
      <c r="G107">
        <f>1-D107</f>
        <v/>
      </c>
      <c r="H107">
        <f>SUM(E107:G107)</f>
        <v/>
      </c>
      <c r="I107">
        <f>IF(AND(MIN(C107:D107)&gt;=0,MAX(C107:D107)&lt;=1,MIN(E107:G107)&gt;=-1E-10,ABS(H107-1)&lt;1E-8,C107&lt;=C106+1E-10,D107&lt;=D106+1E-10),"OK","ERROR")</f>
        <v/>
      </c>
      <c r="J107">
        <f>1/(1+$B$4)^(B107+$B$6/2)</f>
        <v/>
      </c>
      <c r="K107">
        <f>1/(1+$B$5)^(B107+$B$6/2)</f>
        <v/>
      </c>
      <c r="L107" t="inlineStr">
        <is>
          <t>Average endpoints</t>
        </is>
      </c>
      <c r="M107" s="4">
        <f>SUMPRODUCT((E107:G107+E108:G108)/2,$B$17:$D$17)*$B$6</f>
        <v/>
      </c>
      <c r="N107" s="4">
        <f>M107*J107</f>
        <v/>
      </c>
      <c r="O107" s="4">
        <f>SUMPRODUCT((E107:G107+E108:G108)/2,$B$18:$D$18)*$B$6</f>
        <v/>
      </c>
      <c r="P107" s="4">
        <f>O107*J107</f>
        <v/>
      </c>
      <c r="Q107" s="4">
        <f>SUMPRODUCT((E107:G107+E108:G108)/2,$B$19:$D$19)*$B$6</f>
        <v/>
      </c>
      <c r="R107" s="4">
        <f>Q107*J107</f>
        <v/>
      </c>
      <c r="S107" s="4">
        <f>IF(A107=0,SUMPRODUCT((E107:G107+E108:G108)/2,$B$20:$D$20)*$B$6,0)</f>
        <v/>
      </c>
      <c r="T107" s="4">
        <f>S107*J107</f>
        <v/>
      </c>
      <c r="U107" s="4">
        <f>N107+P107+R107+T107</f>
        <v/>
      </c>
      <c r="V107">
        <f>SUMPRODUCT((E107:G107+E108:G108)/2,$B$24:$D$24)*$B$6</f>
        <v/>
      </c>
      <c r="W107" s="5">
        <f>V107*K107</f>
        <v/>
      </c>
      <c r="X107">
        <f>SUMPRODUCT((E107:G107+E108:G108)/2,$B$25:$D$25)*$B$6</f>
        <v/>
      </c>
      <c r="Y107">
        <f>X107*K107</f>
        <v/>
      </c>
    </row>
    <row r="108">
      <c r="A108" t="n">
        <v>79</v>
      </c>
      <c r="B108">
        <f>A108*$B$6</f>
        <v/>
      </c>
      <c r="C108" s="5">
        <f>EXP(-$B$12*B108)</f>
        <v/>
      </c>
      <c r="D108" s="5">
        <f>EXP(-$B$13*B108)</f>
        <v/>
      </c>
      <c r="E108">
        <f>C108</f>
        <v/>
      </c>
      <c r="F108">
        <f>D108-C108</f>
        <v/>
      </c>
      <c r="G108">
        <f>1-D108</f>
        <v/>
      </c>
      <c r="H108">
        <f>SUM(E108:G108)</f>
        <v/>
      </c>
      <c r="I108">
        <f>IF(AND(MIN(C108:D108)&gt;=0,MAX(C108:D108)&lt;=1,MIN(E108:G108)&gt;=-1E-10,ABS(H108-1)&lt;1E-8,C108&lt;=C107+1E-10,D108&lt;=D107+1E-10),"OK","ERROR")</f>
        <v/>
      </c>
      <c r="J108">
        <f>1/(1+$B$4)^(B108+$B$6/2)</f>
        <v/>
      </c>
      <c r="K108">
        <f>1/(1+$B$5)^(B108+$B$6/2)</f>
        <v/>
      </c>
      <c r="L108" t="inlineStr">
        <is>
          <t>Average endpoints</t>
        </is>
      </c>
      <c r="M108" s="4">
        <f>SUMPRODUCT((E108:G108+E109:G109)/2,$B$17:$D$17)*$B$6</f>
        <v/>
      </c>
      <c r="N108" s="4">
        <f>M108*J108</f>
        <v/>
      </c>
      <c r="O108" s="4">
        <f>SUMPRODUCT((E108:G108+E109:G109)/2,$B$18:$D$18)*$B$6</f>
        <v/>
      </c>
      <c r="P108" s="4">
        <f>O108*J108</f>
        <v/>
      </c>
      <c r="Q108" s="4">
        <f>SUMPRODUCT((E108:G108+E109:G109)/2,$B$19:$D$19)*$B$6</f>
        <v/>
      </c>
      <c r="R108" s="4">
        <f>Q108*J108</f>
        <v/>
      </c>
      <c r="S108" s="4">
        <f>IF(A108=0,SUMPRODUCT((E108:G108+E109:G109)/2,$B$20:$D$20)*$B$6,0)</f>
        <v/>
      </c>
      <c r="T108" s="4">
        <f>S108*J108</f>
        <v/>
      </c>
      <c r="U108" s="4">
        <f>N108+P108+R108+T108</f>
        <v/>
      </c>
      <c r="V108">
        <f>SUMPRODUCT((E108:G108+E109:G109)/2,$B$24:$D$24)*$B$6</f>
        <v/>
      </c>
      <c r="W108" s="5">
        <f>V108*K108</f>
        <v/>
      </c>
      <c r="X108">
        <f>SUMPRODUCT((E108:G108+E109:G109)/2,$B$25:$D$25)*$B$6</f>
        <v/>
      </c>
      <c r="Y108">
        <f>X108*K108</f>
        <v/>
      </c>
    </row>
    <row r="109">
      <c r="A109" t="n">
        <v>80</v>
      </c>
      <c r="B109">
        <f>A109*$B$6</f>
        <v/>
      </c>
      <c r="C109" s="5">
        <f>EXP(-$B$12*B109)</f>
        <v/>
      </c>
      <c r="D109" s="5">
        <f>EXP(-$B$13*B109)</f>
        <v/>
      </c>
      <c r="E109">
        <f>C109</f>
        <v/>
      </c>
      <c r="F109">
        <f>D109-C109</f>
        <v/>
      </c>
      <c r="G109">
        <f>1-D109</f>
        <v/>
      </c>
      <c r="H109">
        <f>SUM(E109:G109)</f>
        <v/>
      </c>
      <c r="I109">
        <f>IF(AND(MIN(C109:D109)&gt;=0,MAX(C109:D109)&lt;=1,MIN(E109:G109)&gt;=-1E-10,ABS(H109-1)&lt;1E-8,C109&lt;=C108+1E-10,D109&lt;=D108+1E-10),"OK","ERROR")</f>
        <v/>
      </c>
      <c r="J109">
        <f>1/(1+$B$4)^(B109+$B$6/2)</f>
        <v/>
      </c>
      <c r="K109">
        <f>1/(1+$B$5)^(B109+$B$6/2)</f>
        <v/>
      </c>
      <c r="L109" t="inlineStr">
        <is>
          <t>Average endpoints</t>
        </is>
      </c>
      <c r="M109" s="4">
        <f>SUMPRODUCT((E109:G109+E110:G110)/2,$B$17:$D$17)*$B$6</f>
        <v/>
      </c>
      <c r="N109" s="4">
        <f>M109*J109</f>
        <v/>
      </c>
      <c r="O109" s="4">
        <f>SUMPRODUCT((E109:G109+E110:G110)/2,$B$18:$D$18)*$B$6</f>
        <v/>
      </c>
      <c r="P109" s="4">
        <f>O109*J109</f>
        <v/>
      </c>
      <c r="Q109" s="4">
        <f>SUMPRODUCT((E109:G109+E110:G110)/2,$B$19:$D$19)*$B$6</f>
        <v/>
      </c>
      <c r="R109" s="4">
        <f>Q109*J109</f>
        <v/>
      </c>
      <c r="S109" s="4">
        <f>IF(A109=0,SUMPRODUCT((E109:G109+E110:G110)/2,$B$20:$D$20)*$B$6,0)</f>
        <v/>
      </c>
      <c r="T109" s="4">
        <f>S109*J109</f>
        <v/>
      </c>
      <c r="U109" s="4">
        <f>N109+P109+R109+T109</f>
        <v/>
      </c>
      <c r="V109">
        <f>SUMPRODUCT((E109:G109+E110:G110)/2,$B$24:$D$24)*$B$6</f>
        <v/>
      </c>
      <c r="W109" s="5">
        <f>V109*K109</f>
        <v/>
      </c>
      <c r="X109">
        <f>SUMPRODUCT((E109:G109+E110:G110)/2,$B$25:$D$25)*$B$6</f>
        <v/>
      </c>
      <c r="Y109">
        <f>X109*K109</f>
        <v/>
      </c>
    </row>
    <row r="110">
      <c r="A110" t="n">
        <v>81</v>
      </c>
      <c r="B110">
        <f>A110*$B$6</f>
        <v/>
      </c>
      <c r="C110" s="5">
        <f>EXP(-$B$12*B110)</f>
        <v/>
      </c>
      <c r="D110" s="5">
        <f>EXP(-$B$13*B110)</f>
        <v/>
      </c>
      <c r="E110">
        <f>C110</f>
        <v/>
      </c>
      <c r="F110">
        <f>D110-C110</f>
        <v/>
      </c>
      <c r="G110">
        <f>1-D110</f>
        <v/>
      </c>
      <c r="H110">
        <f>SUM(E110:G110)</f>
        <v/>
      </c>
      <c r="I110">
        <f>IF(AND(MIN(C110:D110)&gt;=0,MAX(C110:D110)&lt;=1,MIN(E110:G110)&gt;=-1E-10,ABS(H110-1)&lt;1E-8,C110&lt;=C109+1E-10,D110&lt;=D109+1E-10),"OK","ERROR")</f>
        <v/>
      </c>
      <c r="J110">
        <f>1/(1+$B$4)^(B110+$B$6/2)</f>
        <v/>
      </c>
      <c r="K110">
        <f>1/(1+$B$5)^(B110+$B$6/2)</f>
        <v/>
      </c>
      <c r="L110" t="inlineStr">
        <is>
          <t>Average endpoints</t>
        </is>
      </c>
      <c r="M110" s="4">
        <f>SUMPRODUCT((E110:G110+E111:G111)/2,$B$17:$D$17)*$B$6</f>
        <v/>
      </c>
      <c r="N110" s="4">
        <f>M110*J110</f>
        <v/>
      </c>
      <c r="O110" s="4">
        <f>SUMPRODUCT((E110:G110+E111:G111)/2,$B$18:$D$18)*$B$6</f>
        <v/>
      </c>
      <c r="P110" s="4">
        <f>O110*J110</f>
        <v/>
      </c>
      <c r="Q110" s="4">
        <f>SUMPRODUCT((E110:G110+E111:G111)/2,$B$19:$D$19)*$B$6</f>
        <v/>
      </c>
      <c r="R110" s="4">
        <f>Q110*J110</f>
        <v/>
      </c>
      <c r="S110" s="4">
        <f>IF(A110=0,SUMPRODUCT((E110:G110+E111:G111)/2,$B$20:$D$20)*$B$6,0)</f>
        <v/>
      </c>
      <c r="T110" s="4">
        <f>S110*J110</f>
        <v/>
      </c>
      <c r="U110" s="4">
        <f>N110+P110+R110+T110</f>
        <v/>
      </c>
      <c r="V110">
        <f>SUMPRODUCT((E110:G110+E111:G111)/2,$B$24:$D$24)*$B$6</f>
        <v/>
      </c>
      <c r="W110" s="5">
        <f>V110*K110</f>
        <v/>
      </c>
      <c r="X110">
        <f>SUMPRODUCT((E110:G110+E111:G111)/2,$B$25:$D$25)*$B$6</f>
        <v/>
      </c>
      <c r="Y110">
        <f>X110*K110</f>
        <v/>
      </c>
    </row>
    <row r="111">
      <c r="A111" t="n">
        <v>82</v>
      </c>
      <c r="B111">
        <f>A111*$B$6</f>
        <v/>
      </c>
      <c r="C111" s="5">
        <f>EXP(-$B$12*B111)</f>
        <v/>
      </c>
      <c r="D111" s="5">
        <f>EXP(-$B$13*B111)</f>
        <v/>
      </c>
      <c r="E111">
        <f>C111</f>
        <v/>
      </c>
      <c r="F111">
        <f>D111-C111</f>
        <v/>
      </c>
      <c r="G111">
        <f>1-D111</f>
        <v/>
      </c>
      <c r="H111">
        <f>SUM(E111:G111)</f>
        <v/>
      </c>
      <c r="I111">
        <f>IF(AND(MIN(C111:D111)&gt;=0,MAX(C111:D111)&lt;=1,MIN(E111:G111)&gt;=-1E-10,ABS(H111-1)&lt;1E-8,C111&lt;=C110+1E-10,D111&lt;=D110+1E-10),"OK","ERROR")</f>
        <v/>
      </c>
      <c r="J111">
        <f>1/(1+$B$4)^(B111+$B$6/2)</f>
        <v/>
      </c>
      <c r="K111">
        <f>1/(1+$B$5)^(B111+$B$6/2)</f>
        <v/>
      </c>
      <c r="L111" t="inlineStr">
        <is>
          <t>Average endpoints</t>
        </is>
      </c>
      <c r="M111" s="4">
        <f>SUMPRODUCT((E111:G111+E112:G112)/2,$B$17:$D$17)*$B$6</f>
        <v/>
      </c>
      <c r="N111" s="4">
        <f>M111*J111</f>
        <v/>
      </c>
      <c r="O111" s="4">
        <f>SUMPRODUCT((E111:G111+E112:G112)/2,$B$18:$D$18)*$B$6</f>
        <v/>
      </c>
      <c r="P111" s="4">
        <f>O111*J111</f>
        <v/>
      </c>
      <c r="Q111" s="4">
        <f>SUMPRODUCT((E111:G111+E112:G112)/2,$B$19:$D$19)*$B$6</f>
        <v/>
      </c>
      <c r="R111" s="4">
        <f>Q111*J111</f>
        <v/>
      </c>
      <c r="S111" s="4">
        <f>IF(A111=0,SUMPRODUCT((E111:G111+E112:G112)/2,$B$20:$D$20)*$B$6,0)</f>
        <v/>
      </c>
      <c r="T111" s="4">
        <f>S111*J111</f>
        <v/>
      </c>
      <c r="U111" s="4">
        <f>N111+P111+R111+T111</f>
        <v/>
      </c>
      <c r="V111">
        <f>SUMPRODUCT((E111:G111+E112:G112)/2,$B$24:$D$24)*$B$6</f>
        <v/>
      </c>
      <c r="W111" s="5">
        <f>V111*K111</f>
        <v/>
      </c>
      <c r="X111">
        <f>SUMPRODUCT((E111:G111+E112:G112)/2,$B$25:$D$25)*$B$6</f>
        <v/>
      </c>
      <c r="Y111">
        <f>X111*K111</f>
        <v/>
      </c>
    </row>
    <row r="112">
      <c r="A112" t="n">
        <v>83</v>
      </c>
      <c r="B112">
        <f>A112*$B$6</f>
        <v/>
      </c>
      <c r="C112" s="5">
        <f>EXP(-$B$12*B112)</f>
        <v/>
      </c>
      <c r="D112" s="5">
        <f>EXP(-$B$13*B112)</f>
        <v/>
      </c>
      <c r="E112">
        <f>C112</f>
        <v/>
      </c>
      <c r="F112">
        <f>D112-C112</f>
        <v/>
      </c>
      <c r="G112">
        <f>1-D112</f>
        <v/>
      </c>
      <c r="H112">
        <f>SUM(E112:G112)</f>
        <v/>
      </c>
      <c r="I112">
        <f>IF(AND(MIN(C112:D112)&gt;=0,MAX(C112:D112)&lt;=1,MIN(E112:G112)&gt;=-1E-10,ABS(H112-1)&lt;1E-8,C112&lt;=C111+1E-10,D112&lt;=D111+1E-10),"OK","ERROR")</f>
        <v/>
      </c>
      <c r="J112">
        <f>1/(1+$B$4)^(B112+$B$6/2)</f>
        <v/>
      </c>
      <c r="K112">
        <f>1/(1+$B$5)^(B112+$B$6/2)</f>
        <v/>
      </c>
      <c r="L112" t="inlineStr">
        <is>
          <t>Average endpoints</t>
        </is>
      </c>
      <c r="M112" s="4">
        <f>SUMPRODUCT((E112:G112+E113:G113)/2,$B$17:$D$17)*$B$6</f>
        <v/>
      </c>
      <c r="N112" s="4">
        <f>M112*J112</f>
        <v/>
      </c>
      <c r="O112" s="4">
        <f>SUMPRODUCT((E112:G112+E113:G113)/2,$B$18:$D$18)*$B$6</f>
        <v/>
      </c>
      <c r="P112" s="4">
        <f>O112*J112</f>
        <v/>
      </c>
      <c r="Q112" s="4">
        <f>SUMPRODUCT((E112:G112+E113:G113)/2,$B$19:$D$19)*$B$6</f>
        <v/>
      </c>
      <c r="R112" s="4">
        <f>Q112*J112</f>
        <v/>
      </c>
      <c r="S112" s="4">
        <f>IF(A112=0,SUMPRODUCT((E112:G112+E113:G113)/2,$B$20:$D$20)*$B$6,0)</f>
        <v/>
      </c>
      <c r="T112" s="4">
        <f>S112*J112</f>
        <v/>
      </c>
      <c r="U112" s="4">
        <f>N112+P112+R112+T112</f>
        <v/>
      </c>
      <c r="V112">
        <f>SUMPRODUCT((E112:G112+E113:G113)/2,$B$24:$D$24)*$B$6</f>
        <v/>
      </c>
      <c r="W112" s="5">
        <f>V112*K112</f>
        <v/>
      </c>
      <c r="X112">
        <f>SUMPRODUCT((E112:G112+E113:G113)/2,$B$25:$D$25)*$B$6</f>
        <v/>
      </c>
      <c r="Y112">
        <f>X112*K112</f>
        <v/>
      </c>
    </row>
    <row r="113">
      <c r="A113" t="n">
        <v>84</v>
      </c>
      <c r="B113">
        <f>A113*$B$6</f>
        <v/>
      </c>
      <c r="C113" s="5">
        <f>EXP(-$B$12*B113)</f>
        <v/>
      </c>
      <c r="D113" s="5">
        <f>EXP(-$B$13*B113)</f>
        <v/>
      </c>
      <c r="E113">
        <f>C113</f>
        <v/>
      </c>
      <c r="F113">
        <f>D113-C113</f>
        <v/>
      </c>
      <c r="G113">
        <f>1-D113</f>
        <v/>
      </c>
      <c r="H113">
        <f>SUM(E113:G113)</f>
        <v/>
      </c>
      <c r="I113">
        <f>IF(AND(MIN(C113:D113)&gt;=0,MAX(C113:D113)&lt;=1,MIN(E113:G113)&gt;=-1E-10,ABS(H113-1)&lt;1E-8,C113&lt;=C112+1E-10,D113&lt;=D112+1E-10),"OK","ERROR")</f>
        <v/>
      </c>
      <c r="J113">
        <f>1/(1+$B$4)^(B113+$B$6/2)</f>
        <v/>
      </c>
      <c r="K113">
        <f>1/(1+$B$5)^(B113+$B$6/2)</f>
        <v/>
      </c>
      <c r="L113" t="inlineStr">
        <is>
          <t>Average endpoints</t>
        </is>
      </c>
      <c r="M113" s="4">
        <f>SUMPRODUCT((E113:G113+E114:G114)/2,$B$17:$D$17)*$B$6</f>
        <v/>
      </c>
      <c r="N113" s="4">
        <f>M113*J113</f>
        <v/>
      </c>
      <c r="O113" s="4">
        <f>SUMPRODUCT((E113:G113+E114:G114)/2,$B$18:$D$18)*$B$6</f>
        <v/>
      </c>
      <c r="P113" s="4">
        <f>O113*J113</f>
        <v/>
      </c>
      <c r="Q113" s="4">
        <f>SUMPRODUCT((E113:G113+E114:G114)/2,$B$19:$D$19)*$B$6</f>
        <v/>
      </c>
      <c r="R113" s="4">
        <f>Q113*J113</f>
        <v/>
      </c>
      <c r="S113" s="4">
        <f>IF(A113=0,SUMPRODUCT((E113:G113+E114:G114)/2,$B$20:$D$20)*$B$6,0)</f>
        <v/>
      </c>
      <c r="T113" s="4">
        <f>S113*J113</f>
        <v/>
      </c>
      <c r="U113" s="4">
        <f>N113+P113+R113+T113</f>
        <v/>
      </c>
      <c r="V113">
        <f>SUMPRODUCT((E113:G113+E114:G114)/2,$B$24:$D$24)*$B$6</f>
        <v/>
      </c>
      <c r="W113" s="5">
        <f>V113*K113</f>
        <v/>
      </c>
      <c r="X113">
        <f>SUMPRODUCT((E113:G113+E114:G114)/2,$B$25:$D$25)*$B$6</f>
        <v/>
      </c>
      <c r="Y113">
        <f>X113*K113</f>
        <v/>
      </c>
    </row>
    <row r="114">
      <c r="A114" t="n">
        <v>85</v>
      </c>
      <c r="B114">
        <f>A114*$B$6</f>
        <v/>
      </c>
      <c r="C114" s="5">
        <f>EXP(-$B$12*B114)</f>
        <v/>
      </c>
      <c r="D114" s="5">
        <f>EXP(-$B$13*B114)</f>
        <v/>
      </c>
      <c r="E114">
        <f>C114</f>
        <v/>
      </c>
      <c r="F114">
        <f>D114-C114</f>
        <v/>
      </c>
      <c r="G114">
        <f>1-D114</f>
        <v/>
      </c>
      <c r="H114">
        <f>SUM(E114:G114)</f>
        <v/>
      </c>
      <c r="I114">
        <f>IF(AND(MIN(C114:D114)&gt;=0,MAX(C114:D114)&lt;=1,MIN(E114:G114)&gt;=-1E-10,ABS(H114-1)&lt;1E-8,C114&lt;=C113+1E-10,D114&lt;=D113+1E-10),"OK","ERROR")</f>
        <v/>
      </c>
      <c r="J114">
        <f>1/(1+$B$4)^(B114+$B$6/2)</f>
        <v/>
      </c>
      <c r="K114">
        <f>1/(1+$B$5)^(B114+$B$6/2)</f>
        <v/>
      </c>
      <c r="L114" t="inlineStr">
        <is>
          <t>Average endpoints</t>
        </is>
      </c>
      <c r="M114" s="4">
        <f>SUMPRODUCT((E114:G114+E115:G115)/2,$B$17:$D$17)*$B$6</f>
        <v/>
      </c>
      <c r="N114" s="4">
        <f>M114*J114</f>
        <v/>
      </c>
      <c r="O114" s="4">
        <f>SUMPRODUCT((E114:G114+E115:G115)/2,$B$18:$D$18)*$B$6</f>
        <v/>
      </c>
      <c r="P114" s="4">
        <f>O114*J114</f>
        <v/>
      </c>
      <c r="Q114" s="4">
        <f>SUMPRODUCT((E114:G114+E115:G115)/2,$B$19:$D$19)*$B$6</f>
        <v/>
      </c>
      <c r="R114" s="4">
        <f>Q114*J114</f>
        <v/>
      </c>
      <c r="S114" s="4">
        <f>IF(A114=0,SUMPRODUCT((E114:G114+E115:G115)/2,$B$20:$D$20)*$B$6,0)</f>
        <v/>
      </c>
      <c r="T114" s="4">
        <f>S114*J114</f>
        <v/>
      </c>
      <c r="U114" s="4">
        <f>N114+P114+R114+T114</f>
        <v/>
      </c>
      <c r="V114">
        <f>SUMPRODUCT((E114:G114+E115:G115)/2,$B$24:$D$24)*$B$6</f>
        <v/>
      </c>
      <c r="W114" s="5">
        <f>V114*K114</f>
        <v/>
      </c>
      <c r="X114">
        <f>SUMPRODUCT((E114:G114+E115:G115)/2,$B$25:$D$25)*$B$6</f>
        <v/>
      </c>
      <c r="Y114">
        <f>X114*K114</f>
        <v/>
      </c>
    </row>
    <row r="115">
      <c r="A115" t="n">
        <v>86</v>
      </c>
      <c r="B115">
        <f>A115*$B$6</f>
        <v/>
      </c>
      <c r="C115" s="5">
        <f>EXP(-$B$12*B115)</f>
        <v/>
      </c>
      <c r="D115" s="5">
        <f>EXP(-$B$13*B115)</f>
        <v/>
      </c>
      <c r="E115">
        <f>C115</f>
        <v/>
      </c>
      <c r="F115">
        <f>D115-C115</f>
        <v/>
      </c>
      <c r="G115">
        <f>1-D115</f>
        <v/>
      </c>
      <c r="H115">
        <f>SUM(E115:G115)</f>
        <v/>
      </c>
      <c r="I115">
        <f>IF(AND(MIN(C115:D115)&gt;=0,MAX(C115:D115)&lt;=1,MIN(E115:G115)&gt;=-1E-10,ABS(H115-1)&lt;1E-8,C115&lt;=C114+1E-10,D115&lt;=D114+1E-10),"OK","ERROR")</f>
        <v/>
      </c>
      <c r="J115">
        <f>1/(1+$B$4)^(B115+$B$6/2)</f>
        <v/>
      </c>
      <c r="K115">
        <f>1/(1+$B$5)^(B115+$B$6/2)</f>
        <v/>
      </c>
      <c r="L115" t="inlineStr">
        <is>
          <t>Average endpoints</t>
        </is>
      </c>
      <c r="M115" s="4">
        <f>SUMPRODUCT((E115:G115+E116:G116)/2,$B$17:$D$17)*$B$6</f>
        <v/>
      </c>
      <c r="N115" s="4">
        <f>M115*J115</f>
        <v/>
      </c>
      <c r="O115" s="4">
        <f>SUMPRODUCT((E115:G115+E116:G116)/2,$B$18:$D$18)*$B$6</f>
        <v/>
      </c>
      <c r="P115" s="4">
        <f>O115*J115</f>
        <v/>
      </c>
      <c r="Q115" s="4">
        <f>SUMPRODUCT((E115:G115+E116:G116)/2,$B$19:$D$19)*$B$6</f>
        <v/>
      </c>
      <c r="R115" s="4">
        <f>Q115*J115</f>
        <v/>
      </c>
      <c r="S115" s="4">
        <f>IF(A115=0,SUMPRODUCT((E115:G115+E116:G116)/2,$B$20:$D$20)*$B$6,0)</f>
        <v/>
      </c>
      <c r="T115" s="4">
        <f>S115*J115</f>
        <v/>
      </c>
      <c r="U115" s="4">
        <f>N115+P115+R115+T115</f>
        <v/>
      </c>
      <c r="V115">
        <f>SUMPRODUCT((E115:G115+E116:G116)/2,$B$24:$D$24)*$B$6</f>
        <v/>
      </c>
      <c r="W115" s="5">
        <f>V115*K115</f>
        <v/>
      </c>
      <c r="X115">
        <f>SUMPRODUCT((E115:G115+E116:G116)/2,$B$25:$D$25)*$B$6</f>
        <v/>
      </c>
      <c r="Y115">
        <f>X115*K115</f>
        <v/>
      </c>
    </row>
    <row r="116">
      <c r="A116" t="n">
        <v>87</v>
      </c>
      <c r="B116">
        <f>A116*$B$6</f>
        <v/>
      </c>
      <c r="C116" s="5">
        <f>EXP(-$B$12*B116)</f>
        <v/>
      </c>
      <c r="D116" s="5">
        <f>EXP(-$B$13*B116)</f>
        <v/>
      </c>
      <c r="E116">
        <f>C116</f>
        <v/>
      </c>
      <c r="F116">
        <f>D116-C116</f>
        <v/>
      </c>
      <c r="G116">
        <f>1-D116</f>
        <v/>
      </c>
      <c r="H116">
        <f>SUM(E116:G116)</f>
        <v/>
      </c>
      <c r="I116">
        <f>IF(AND(MIN(C116:D116)&gt;=0,MAX(C116:D116)&lt;=1,MIN(E116:G116)&gt;=-1E-10,ABS(H116-1)&lt;1E-8,C116&lt;=C115+1E-10,D116&lt;=D115+1E-10),"OK","ERROR")</f>
        <v/>
      </c>
      <c r="J116">
        <f>1/(1+$B$4)^(B116+$B$6/2)</f>
        <v/>
      </c>
      <c r="K116">
        <f>1/(1+$B$5)^(B116+$B$6/2)</f>
        <v/>
      </c>
      <c r="L116" t="inlineStr">
        <is>
          <t>Average endpoints</t>
        </is>
      </c>
      <c r="M116" s="4">
        <f>SUMPRODUCT((E116:G116+E117:G117)/2,$B$17:$D$17)*$B$6</f>
        <v/>
      </c>
      <c r="N116" s="4">
        <f>M116*J116</f>
        <v/>
      </c>
      <c r="O116" s="4">
        <f>SUMPRODUCT((E116:G116+E117:G117)/2,$B$18:$D$18)*$B$6</f>
        <v/>
      </c>
      <c r="P116" s="4">
        <f>O116*J116</f>
        <v/>
      </c>
      <c r="Q116" s="4">
        <f>SUMPRODUCT((E116:G116+E117:G117)/2,$B$19:$D$19)*$B$6</f>
        <v/>
      </c>
      <c r="R116" s="4">
        <f>Q116*J116</f>
        <v/>
      </c>
      <c r="S116" s="4">
        <f>IF(A116=0,SUMPRODUCT((E116:G116+E117:G117)/2,$B$20:$D$20)*$B$6,0)</f>
        <v/>
      </c>
      <c r="T116" s="4">
        <f>S116*J116</f>
        <v/>
      </c>
      <c r="U116" s="4">
        <f>N116+P116+R116+T116</f>
        <v/>
      </c>
      <c r="V116">
        <f>SUMPRODUCT((E116:G116+E117:G117)/2,$B$24:$D$24)*$B$6</f>
        <v/>
      </c>
      <c r="W116" s="5">
        <f>V116*K116</f>
        <v/>
      </c>
      <c r="X116">
        <f>SUMPRODUCT((E116:G116+E117:G117)/2,$B$25:$D$25)*$B$6</f>
        <v/>
      </c>
      <c r="Y116">
        <f>X116*K116</f>
        <v/>
      </c>
    </row>
    <row r="117">
      <c r="A117" t="n">
        <v>88</v>
      </c>
      <c r="B117">
        <f>A117*$B$6</f>
        <v/>
      </c>
      <c r="C117" s="5">
        <f>EXP(-$B$12*B117)</f>
        <v/>
      </c>
      <c r="D117" s="5">
        <f>EXP(-$B$13*B117)</f>
        <v/>
      </c>
      <c r="E117">
        <f>C117</f>
        <v/>
      </c>
      <c r="F117">
        <f>D117-C117</f>
        <v/>
      </c>
      <c r="G117">
        <f>1-D117</f>
        <v/>
      </c>
      <c r="H117">
        <f>SUM(E117:G117)</f>
        <v/>
      </c>
      <c r="I117">
        <f>IF(AND(MIN(C117:D117)&gt;=0,MAX(C117:D117)&lt;=1,MIN(E117:G117)&gt;=-1E-10,ABS(H117-1)&lt;1E-8,C117&lt;=C116+1E-10,D117&lt;=D116+1E-10),"OK","ERROR")</f>
        <v/>
      </c>
      <c r="J117">
        <f>1/(1+$B$4)^(B117+$B$6/2)</f>
        <v/>
      </c>
      <c r="K117">
        <f>1/(1+$B$5)^(B117+$B$6/2)</f>
        <v/>
      </c>
      <c r="L117" t="inlineStr">
        <is>
          <t>Average endpoints</t>
        </is>
      </c>
      <c r="M117" s="4">
        <f>SUMPRODUCT((E117:G117+E118:G118)/2,$B$17:$D$17)*$B$6</f>
        <v/>
      </c>
      <c r="N117" s="4">
        <f>M117*J117</f>
        <v/>
      </c>
      <c r="O117" s="4">
        <f>SUMPRODUCT((E117:G117+E118:G118)/2,$B$18:$D$18)*$B$6</f>
        <v/>
      </c>
      <c r="P117" s="4">
        <f>O117*J117</f>
        <v/>
      </c>
      <c r="Q117" s="4">
        <f>SUMPRODUCT((E117:G117+E118:G118)/2,$B$19:$D$19)*$B$6</f>
        <v/>
      </c>
      <c r="R117" s="4">
        <f>Q117*J117</f>
        <v/>
      </c>
      <c r="S117" s="4">
        <f>IF(A117=0,SUMPRODUCT((E117:G117+E118:G118)/2,$B$20:$D$20)*$B$6,0)</f>
        <v/>
      </c>
      <c r="T117" s="4">
        <f>S117*J117</f>
        <v/>
      </c>
      <c r="U117" s="4">
        <f>N117+P117+R117+T117</f>
        <v/>
      </c>
      <c r="V117">
        <f>SUMPRODUCT((E117:G117+E118:G118)/2,$B$24:$D$24)*$B$6</f>
        <v/>
      </c>
      <c r="W117" s="5">
        <f>V117*K117</f>
        <v/>
      </c>
      <c r="X117">
        <f>SUMPRODUCT((E117:G117+E118:G118)/2,$B$25:$D$25)*$B$6</f>
        <v/>
      </c>
      <c r="Y117">
        <f>X117*K117</f>
        <v/>
      </c>
    </row>
    <row r="118">
      <c r="A118" t="n">
        <v>89</v>
      </c>
      <c r="B118">
        <f>A118*$B$6</f>
        <v/>
      </c>
      <c r="C118" s="5">
        <f>EXP(-$B$12*B118)</f>
        <v/>
      </c>
      <c r="D118" s="5">
        <f>EXP(-$B$13*B118)</f>
        <v/>
      </c>
      <c r="E118">
        <f>C118</f>
        <v/>
      </c>
      <c r="F118">
        <f>D118-C118</f>
        <v/>
      </c>
      <c r="G118">
        <f>1-D118</f>
        <v/>
      </c>
      <c r="H118">
        <f>SUM(E118:G118)</f>
        <v/>
      </c>
      <c r="I118">
        <f>IF(AND(MIN(C118:D118)&gt;=0,MAX(C118:D118)&lt;=1,MIN(E118:G118)&gt;=-1E-10,ABS(H118-1)&lt;1E-8,C118&lt;=C117+1E-10,D118&lt;=D117+1E-10),"OK","ERROR")</f>
        <v/>
      </c>
      <c r="J118">
        <f>1/(1+$B$4)^(B118+$B$6/2)</f>
        <v/>
      </c>
      <c r="K118">
        <f>1/(1+$B$5)^(B118+$B$6/2)</f>
        <v/>
      </c>
      <c r="L118" t="inlineStr">
        <is>
          <t>Average endpoints</t>
        </is>
      </c>
      <c r="M118" s="4">
        <f>SUMPRODUCT((E118:G118+E119:G119)/2,$B$17:$D$17)*$B$6</f>
        <v/>
      </c>
      <c r="N118" s="4">
        <f>M118*J118</f>
        <v/>
      </c>
      <c r="O118" s="4">
        <f>SUMPRODUCT((E118:G118+E119:G119)/2,$B$18:$D$18)*$B$6</f>
        <v/>
      </c>
      <c r="P118" s="4">
        <f>O118*J118</f>
        <v/>
      </c>
      <c r="Q118" s="4">
        <f>SUMPRODUCT((E118:G118+E119:G119)/2,$B$19:$D$19)*$B$6</f>
        <v/>
      </c>
      <c r="R118" s="4">
        <f>Q118*J118</f>
        <v/>
      </c>
      <c r="S118" s="4">
        <f>IF(A118=0,SUMPRODUCT((E118:G118+E119:G119)/2,$B$20:$D$20)*$B$6,0)</f>
        <v/>
      </c>
      <c r="T118" s="4">
        <f>S118*J118</f>
        <v/>
      </c>
      <c r="U118" s="4">
        <f>N118+P118+R118+T118</f>
        <v/>
      </c>
      <c r="V118">
        <f>SUMPRODUCT((E118:G118+E119:G119)/2,$B$24:$D$24)*$B$6</f>
        <v/>
      </c>
      <c r="W118" s="5">
        <f>V118*K118</f>
        <v/>
      </c>
      <c r="X118">
        <f>SUMPRODUCT((E118:G118+E119:G119)/2,$B$25:$D$25)*$B$6</f>
        <v/>
      </c>
      <c r="Y118">
        <f>X118*K118</f>
        <v/>
      </c>
    </row>
    <row r="119">
      <c r="A119" t="n">
        <v>90</v>
      </c>
      <c r="B119">
        <f>A119*$B$6</f>
        <v/>
      </c>
      <c r="C119" s="5">
        <f>EXP(-$B$12*B119)</f>
        <v/>
      </c>
      <c r="D119" s="5">
        <f>EXP(-$B$13*B119)</f>
        <v/>
      </c>
      <c r="E119">
        <f>C119</f>
        <v/>
      </c>
      <c r="F119">
        <f>D119-C119</f>
        <v/>
      </c>
      <c r="G119">
        <f>1-D119</f>
        <v/>
      </c>
      <c r="H119">
        <f>SUM(E119:G119)</f>
        <v/>
      </c>
      <c r="I119">
        <f>IF(AND(MIN(C119:D119)&gt;=0,MAX(C119:D119)&lt;=1,MIN(E119:G119)&gt;=-1E-10,ABS(H119-1)&lt;1E-8,C119&lt;=C118+1E-10,D119&lt;=D118+1E-10),"OK","ERROR")</f>
        <v/>
      </c>
      <c r="J119">
        <f>1/(1+$B$4)^(B119+$B$6/2)</f>
        <v/>
      </c>
      <c r="K119">
        <f>1/(1+$B$5)^(B119+$B$6/2)</f>
        <v/>
      </c>
      <c r="L119" t="inlineStr">
        <is>
          <t>Average endpoints</t>
        </is>
      </c>
      <c r="M119" s="4">
        <f>SUMPRODUCT((E119:G119+E120:G120)/2,$B$17:$D$17)*$B$6</f>
        <v/>
      </c>
      <c r="N119" s="4">
        <f>M119*J119</f>
        <v/>
      </c>
      <c r="O119" s="4">
        <f>SUMPRODUCT((E119:G119+E120:G120)/2,$B$18:$D$18)*$B$6</f>
        <v/>
      </c>
      <c r="P119" s="4">
        <f>O119*J119</f>
        <v/>
      </c>
      <c r="Q119" s="4">
        <f>SUMPRODUCT((E119:G119+E120:G120)/2,$B$19:$D$19)*$B$6</f>
        <v/>
      </c>
      <c r="R119" s="4">
        <f>Q119*J119</f>
        <v/>
      </c>
      <c r="S119" s="4">
        <f>IF(A119=0,SUMPRODUCT((E119:G119+E120:G120)/2,$B$20:$D$20)*$B$6,0)</f>
        <v/>
      </c>
      <c r="T119" s="4">
        <f>S119*J119</f>
        <v/>
      </c>
      <c r="U119" s="4">
        <f>N119+P119+R119+T119</f>
        <v/>
      </c>
      <c r="V119">
        <f>SUMPRODUCT((E119:G119+E120:G120)/2,$B$24:$D$24)*$B$6</f>
        <v/>
      </c>
      <c r="W119" s="5">
        <f>V119*K119</f>
        <v/>
      </c>
      <c r="X119">
        <f>SUMPRODUCT((E119:G119+E120:G120)/2,$B$25:$D$25)*$B$6</f>
        <v/>
      </c>
      <c r="Y119">
        <f>X119*K119</f>
        <v/>
      </c>
    </row>
    <row r="120">
      <c r="A120" t="n">
        <v>91</v>
      </c>
      <c r="B120">
        <f>A120*$B$6</f>
        <v/>
      </c>
      <c r="C120" s="5">
        <f>EXP(-$B$12*B120)</f>
        <v/>
      </c>
      <c r="D120" s="5">
        <f>EXP(-$B$13*B120)</f>
        <v/>
      </c>
      <c r="E120">
        <f>C120</f>
        <v/>
      </c>
      <c r="F120">
        <f>D120-C120</f>
        <v/>
      </c>
      <c r="G120">
        <f>1-D120</f>
        <v/>
      </c>
      <c r="H120">
        <f>SUM(E120:G120)</f>
        <v/>
      </c>
      <c r="I120">
        <f>IF(AND(MIN(C120:D120)&gt;=0,MAX(C120:D120)&lt;=1,MIN(E120:G120)&gt;=-1E-10,ABS(H120-1)&lt;1E-8,C120&lt;=C119+1E-10,D120&lt;=D119+1E-10),"OK","ERROR")</f>
        <v/>
      </c>
      <c r="J120">
        <f>1/(1+$B$4)^(B120+$B$6/2)</f>
        <v/>
      </c>
      <c r="K120">
        <f>1/(1+$B$5)^(B120+$B$6/2)</f>
        <v/>
      </c>
      <c r="L120" t="inlineStr">
        <is>
          <t>Average endpoints</t>
        </is>
      </c>
      <c r="M120" s="4">
        <f>SUMPRODUCT((E120:G120+E121:G121)/2,$B$17:$D$17)*$B$6</f>
        <v/>
      </c>
      <c r="N120" s="4">
        <f>M120*J120</f>
        <v/>
      </c>
      <c r="O120" s="4">
        <f>SUMPRODUCT((E120:G120+E121:G121)/2,$B$18:$D$18)*$B$6</f>
        <v/>
      </c>
      <c r="P120" s="4">
        <f>O120*J120</f>
        <v/>
      </c>
      <c r="Q120" s="4">
        <f>SUMPRODUCT((E120:G120+E121:G121)/2,$B$19:$D$19)*$B$6</f>
        <v/>
      </c>
      <c r="R120" s="4">
        <f>Q120*J120</f>
        <v/>
      </c>
      <c r="S120" s="4">
        <f>IF(A120=0,SUMPRODUCT((E120:G120+E121:G121)/2,$B$20:$D$20)*$B$6,0)</f>
        <v/>
      </c>
      <c r="T120" s="4">
        <f>S120*J120</f>
        <v/>
      </c>
      <c r="U120" s="4">
        <f>N120+P120+R120+T120</f>
        <v/>
      </c>
      <c r="V120">
        <f>SUMPRODUCT((E120:G120+E121:G121)/2,$B$24:$D$24)*$B$6</f>
        <v/>
      </c>
      <c r="W120" s="5">
        <f>V120*K120</f>
        <v/>
      </c>
      <c r="X120">
        <f>SUMPRODUCT((E120:G120+E121:G121)/2,$B$25:$D$25)*$B$6</f>
        <v/>
      </c>
      <c r="Y120">
        <f>X120*K120</f>
        <v/>
      </c>
    </row>
    <row r="121">
      <c r="A121" t="n">
        <v>92</v>
      </c>
      <c r="B121">
        <f>A121*$B$6</f>
        <v/>
      </c>
      <c r="C121" s="5">
        <f>EXP(-$B$12*B121)</f>
        <v/>
      </c>
      <c r="D121" s="5">
        <f>EXP(-$B$13*B121)</f>
        <v/>
      </c>
      <c r="E121">
        <f>C121</f>
        <v/>
      </c>
      <c r="F121">
        <f>D121-C121</f>
        <v/>
      </c>
      <c r="G121">
        <f>1-D121</f>
        <v/>
      </c>
      <c r="H121">
        <f>SUM(E121:G121)</f>
        <v/>
      </c>
      <c r="I121">
        <f>IF(AND(MIN(C121:D121)&gt;=0,MAX(C121:D121)&lt;=1,MIN(E121:G121)&gt;=-1E-10,ABS(H121-1)&lt;1E-8,C121&lt;=C120+1E-10,D121&lt;=D120+1E-10),"OK","ERROR")</f>
        <v/>
      </c>
      <c r="J121">
        <f>1/(1+$B$4)^(B121+$B$6/2)</f>
        <v/>
      </c>
      <c r="K121">
        <f>1/(1+$B$5)^(B121+$B$6/2)</f>
        <v/>
      </c>
      <c r="L121" t="inlineStr">
        <is>
          <t>Average endpoints</t>
        </is>
      </c>
      <c r="M121" s="4">
        <f>SUMPRODUCT((E121:G121+E122:G122)/2,$B$17:$D$17)*$B$6</f>
        <v/>
      </c>
      <c r="N121" s="4">
        <f>M121*J121</f>
        <v/>
      </c>
      <c r="O121" s="4">
        <f>SUMPRODUCT((E121:G121+E122:G122)/2,$B$18:$D$18)*$B$6</f>
        <v/>
      </c>
      <c r="P121" s="4">
        <f>O121*J121</f>
        <v/>
      </c>
      <c r="Q121" s="4">
        <f>SUMPRODUCT((E121:G121+E122:G122)/2,$B$19:$D$19)*$B$6</f>
        <v/>
      </c>
      <c r="R121" s="4">
        <f>Q121*J121</f>
        <v/>
      </c>
      <c r="S121" s="4">
        <f>IF(A121=0,SUMPRODUCT((E121:G121+E122:G122)/2,$B$20:$D$20)*$B$6,0)</f>
        <v/>
      </c>
      <c r="T121" s="4">
        <f>S121*J121</f>
        <v/>
      </c>
      <c r="U121" s="4">
        <f>N121+P121+R121+T121</f>
        <v/>
      </c>
      <c r="V121">
        <f>SUMPRODUCT((E121:G121+E122:G122)/2,$B$24:$D$24)*$B$6</f>
        <v/>
      </c>
      <c r="W121" s="5">
        <f>V121*K121</f>
        <v/>
      </c>
      <c r="X121">
        <f>SUMPRODUCT((E121:G121+E122:G122)/2,$B$25:$D$25)*$B$6</f>
        <v/>
      </c>
      <c r="Y121">
        <f>X121*K121</f>
        <v/>
      </c>
    </row>
    <row r="122">
      <c r="A122" t="n">
        <v>93</v>
      </c>
      <c r="B122">
        <f>A122*$B$6</f>
        <v/>
      </c>
      <c r="C122" s="5">
        <f>EXP(-$B$12*B122)</f>
        <v/>
      </c>
      <c r="D122" s="5">
        <f>EXP(-$B$13*B122)</f>
        <v/>
      </c>
      <c r="E122">
        <f>C122</f>
        <v/>
      </c>
      <c r="F122">
        <f>D122-C122</f>
        <v/>
      </c>
      <c r="G122">
        <f>1-D122</f>
        <v/>
      </c>
      <c r="H122">
        <f>SUM(E122:G122)</f>
        <v/>
      </c>
      <c r="I122">
        <f>IF(AND(MIN(C122:D122)&gt;=0,MAX(C122:D122)&lt;=1,MIN(E122:G122)&gt;=-1E-10,ABS(H122-1)&lt;1E-8,C122&lt;=C121+1E-10,D122&lt;=D121+1E-10),"OK","ERROR")</f>
        <v/>
      </c>
      <c r="J122">
        <f>1/(1+$B$4)^(B122+$B$6/2)</f>
        <v/>
      </c>
      <c r="K122">
        <f>1/(1+$B$5)^(B122+$B$6/2)</f>
        <v/>
      </c>
      <c r="L122" t="inlineStr">
        <is>
          <t>Average endpoints</t>
        </is>
      </c>
      <c r="M122" s="4">
        <f>SUMPRODUCT((E122:G122+E123:G123)/2,$B$17:$D$17)*$B$6</f>
        <v/>
      </c>
      <c r="N122" s="4">
        <f>M122*J122</f>
        <v/>
      </c>
      <c r="O122" s="4">
        <f>SUMPRODUCT((E122:G122+E123:G123)/2,$B$18:$D$18)*$B$6</f>
        <v/>
      </c>
      <c r="P122" s="4">
        <f>O122*J122</f>
        <v/>
      </c>
      <c r="Q122" s="4">
        <f>SUMPRODUCT((E122:G122+E123:G123)/2,$B$19:$D$19)*$B$6</f>
        <v/>
      </c>
      <c r="R122" s="4">
        <f>Q122*J122</f>
        <v/>
      </c>
      <c r="S122" s="4">
        <f>IF(A122=0,SUMPRODUCT((E122:G122+E123:G123)/2,$B$20:$D$20)*$B$6,0)</f>
        <v/>
      </c>
      <c r="T122" s="4">
        <f>S122*J122</f>
        <v/>
      </c>
      <c r="U122" s="4">
        <f>N122+P122+R122+T122</f>
        <v/>
      </c>
      <c r="V122">
        <f>SUMPRODUCT((E122:G122+E123:G123)/2,$B$24:$D$24)*$B$6</f>
        <v/>
      </c>
      <c r="W122" s="5">
        <f>V122*K122</f>
        <v/>
      </c>
      <c r="X122">
        <f>SUMPRODUCT((E122:G122+E123:G123)/2,$B$25:$D$25)*$B$6</f>
        <v/>
      </c>
      <c r="Y122">
        <f>X122*K122</f>
        <v/>
      </c>
    </row>
    <row r="123">
      <c r="A123" t="n">
        <v>94</v>
      </c>
      <c r="B123">
        <f>A123*$B$6</f>
        <v/>
      </c>
      <c r="C123" s="5">
        <f>EXP(-$B$12*B123)</f>
        <v/>
      </c>
      <c r="D123" s="5">
        <f>EXP(-$B$13*B123)</f>
        <v/>
      </c>
      <c r="E123">
        <f>C123</f>
        <v/>
      </c>
      <c r="F123">
        <f>D123-C123</f>
        <v/>
      </c>
      <c r="G123">
        <f>1-D123</f>
        <v/>
      </c>
      <c r="H123">
        <f>SUM(E123:G123)</f>
        <v/>
      </c>
      <c r="I123">
        <f>IF(AND(MIN(C123:D123)&gt;=0,MAX(C123:D123)&lt;=1,MIN(E123:G123)&gt;=-1E-10,ABS(H123-1)&lt;1E-8,C123&lt;=C122+1E-10,D123&lt;=D122+1E-10),"OK","ERROR")</f>
        <v/>
      </c>
      <c r="J123">
        <f>1/(1+$B$4)^(B123+$B$6/2)</f>
        <v/>
      </c>
      <c r="K123">
        <f>1/(1+$B$5)^(B123+$B$6/2)</f>
        <v/>
      </c>
      <c r="L123" t="inlineStr">
        <is>
          <t>Average endpoints</t>
        </is>
      </c>
      <c r="M123" s="4">
        <f>SUMPRODUCT((E123:G123+E124:G124)/2,$B$17:$D$17)*$B$6</f>
        <v/>
      </c>
      <c r="N123" s="4">
        <f>M123*J123</f>
        <v/>
      </c>
      <c r="O123" s="4">
        <f>SUMPRODUCT((E123:G123+E124:G124)/2,$B$18:$D$18)*$B$6</f>
        <v/>
      </c>
      <c r="P123" s="4">
        <f>O123*J123</f>
        <v/>
      </c>
      <c r="Q123" s="4">
        <f>SUMPRODUCT((E123:G123+E124:G124)/2,$B$19:$D$19)*$B$6</f>
        <v/>
      </c>
      <c r="R123" s="4">
        <f>Q123*J123</f>
        <v/>
      </c>
      <c r="S123" s="4">
        <f>IF(A123=0,SUMPRODUCT((E123:G123+E124:G124)/2,$B$20:$D$20)*$B$6,0)</f>
        <v/>
      </c>
      <c r="T123" s="4">
        <f>S123*J123</f>
        <v/>
      </c>
      <c r="U123" s="4">
        <f>N123+P123+R123+T123</f>
        <v/>
      </c>
      <c r="V123">
        <f>SUMPRODUCT((E123:G123+E124:G124)/2,$B$24:$D$24)*$B$6</f>
        <v/>
      </c>
      <c r="W123" s="5">
        <f>V123*K123</f>
        <v/>
      </c>
      <c r="X123">
        <f>SUMPRODUCT((E123:G123+E124:G124)/2,$B$25:$D$25)*$B$6</f>
        <v/>
      </c>
      <c r="Y123">
        <f>X123*K123</f>
        <v/>
      </c>
    </row>
    <row r="124">
      <c r="A124" t="n">
        <v>95</v>
      </c>
      <c r="B124">
        <f>A124*$B$6</f>
        <v/>
      </c>
      <c r="C124" s="5">
        <f>EXP(-$B$12*B124)</f>
        <v/>
      </c>
      <c r="D124" s="5">
        <f>EXP(-$B$13*B124)</f>
        <v/>
      </c>
      <c r="E124">
        <f>C124</f>
        <v/>
      </c>
      <c r="F124">
        <f>D124-C124</f>
        <v/>
      </c>
      <c r="G124">
        <f>1-D124</f>
        <v/>
      </c>
      <c r="H124">
        <f>SUM(E124:G124)</f>
        <v/>
      </c>
      <c r="I124">
        <f>IF(AND(MIN(C124:D124)&gt;=0,MAX(C124:D124)&lt;=1,MIN(E124:G124)&gt;=-1E-10,ABS(H124-1)&lt;1E-8,C124&lt;=C123+1E-10,D124&lt;=D123+1E-10),"OK","ERROR")</f>
        <v/>
      </c>
      <c r="J124">
        <f>1/(1+$B$4)^(B124+$B$6/2)</f>
        <v/>
      </c>
      <c r="K124">
        <f>1/(1+$B$5)^(B124+$B$6/2)</f>
        <v/>
      </c>
      <c r="L124" t="inlineStr">
        <is>
          <t>Average endpoints</t>
        </is>
      </c>
      <c r="M124" s="4">
        <f>SUMPRODUCT((E124:G124+E125:G125)/2,$B$17:$D$17)*$B$6</f>
        <v/>
      </c>
      <c r="N124" s="4">
        <f>M124*J124</f>
        <v/>
      </c>
      <c r="O124" s="4">
        <f>SUMPRODUCT((E124:G124+E125:G125)/2,$B$18:$D$18)*$B$6</f>
        <v/>
      </c>
      <c r="P124" s="4">
        <f>O124*J124</f>
        <v/>
      </c>
      <c r="Q124" s="4">
        <f>SUMPRODUCT((E124:G124+E125:G125)/2,$B$19:$D$19)*$B$6</f>
        <v/>
      </c>
      <c r="R124" s="4">
        <f>Q124*J124</f>
        <v/>
      </c>
      <c r="S124" s="4">
        <f>IF(A124=0,SUMPRODUCT((E124:G124+E125:G125)/2,$B$20:$D$20)*$B$6,0)</f>
        <v/>
      </c>
      <c r="T124" s="4">
        <f>S124*J124</f>
        <v/>
      </c>
      <c r="U124" s="4">
        <f>N124+P124+R124+T124</f>
        <v/>
      </c>
      <c r="V124">
        <f>SUMPRODUCT((E124:G124+E125:G125)/2,$B$24:$D$24)*$B$6</f>
        <v/>
      </c>
      <c r="W124" s="5">
        <f>V124*K124</f>
        <v/>
      </c>
      <c r="X124">
        <f>SUMPRODUCT((E124:G124+E125:G125)/2,$B$25:$D$25)*$B$6</f>
        <v/>
      </c>
      <c r="Y124">
        <f>X124*K124</f>
        <v/>
      </c>
    </row>
    <row r="125">
      <c r="A125" t="n">
        <v>96</v>
      </c>
      <c r="B125">
        <f>A125*$B$6</f>
        <v/>
      </c>
      <c r="C125" s="5">
        <f>EXP(-$B$12*B125)</f>
        <v/>
      </c>
      <c r="D125" s="5">
        <f>EXP(-$B$13*B125)</f>
        <v/>
      </c>
      <c r="E125">
        <f>C125</f>
        <v/>
      </c>
      <c r="F125">
        <f>D125-C125</f>
        <v/>
      </c>
      <c r="G125">
        <f>1-D125</f>
        <v/>
      </c>
      <c r="H125">
        <f>SUM(E125:G125)</f>
        <v/>
      </c>
      <c r="I125">
        <f>IF(AND(MIN(C125:D125)&gt;=0,MAX(C125:D125)&lt;=1,MIN(E125:G125)&gt;=-1E-10,ABS(H125-1)&lt;1E-8,C125&lt;=C124+1E-10,D125&lt;=D124+1E-10),"OK","ERROR")</f>
        <v/>
      </c>
      <c r="J125">
        <f>1/(1+$B$4)^(B125+$B$6/2)</f>
        <v/>
      </c>
      <c r="K125">
        <f>1/(1+$B$5)^(B125+$B$6/2)</f>
        <v/>
      </c>
      <c r="L125" t="inlineStr">
        <is>
          <t>Average endpoints</t>
        </is>
      </c>
      <c r="M125" s="4">
        <f>SUMPRODUCT((E125:G125+E126:G126)/2,$B$17:$D$17)*$B$6</f>
        <v/>
      </c>
      <c r="N125" s="4">
        <f>M125*J125</f>
        <v/>
      </c>
      <c r="O125" s="4">
        <f>SUMPRODUCT((E125:G125+E126:G126)/2,$B$18:$D$18)*$B$6</f>
        <v/>
      </c>
      <c r="P125" s="4">
        <f>O125*J125</f>
        <v/>
      </c>
      <c r="Q125" s="4">
        <f>SUMPRODUCT((E125:G125+E126:G126)/2,$B$19:$D$19)*$B$6</f>
        <v/>
      </c>
      <c r="R125" s="4">
        <f>Q125*J125</f>
        <v/>
      </c>
      <c r="S125" s="4">
        <f>IF(A125=0,SUMPRODUCT((E125:G125+E126:G126)/2,$B$20:$D$20)*$B$6,0)</f>
        <v/>
      </c>
      <c r="T125" s="4">
        <f>S125*J125</f>
        <v/>
      </c>
      <c r="U125" s="4">
        <f>N125+P125+R125+T125</f>
        <v/>
      </c>
      <c r="V125">
        <f>SUMPRODUCT((E125:G125+E126:G126)/2,$B$24:$D$24)*$B$6</f>
        <v/>
      </c>
      <c r="W125" s="5">
        <f>V125*K125</f>
        <v/>
      </c>
      <c r="X125">
        <f>SUMPRODUCT((E125:G125+E126:G126)/2,$B$25:$D$25)*$B$6</f>
        <v/>
      </c>
      <c r="Y125">
        <f>X125*K125</f>
        <v/>
      </c>
    </row>
    <row r="126">
      <c r="A126" t="n">
        <v>97</v>
      </c>
      <c r="B126">
        <f>A126*$B$6</f>
        <v/>
      </c>
      <c r="C126" s="5">
        <f>EXP(-$B$12*B126)</f>
        <v/>
      </c>
      <c r="D126" s="5">
        <f>EXP(-$B$13*B126)</f>
        <v/>
      </c>
      <c r="E126">
        <f>C126</f>
        <v/>
      </c>
      <c r="F126">
        <f>D126-C126</f>
        <v/>
      </c>
      <c r="G126">
        <f>1-D126</f>
        <v/>
      </c>
      <c r="H126">
        <f>SUM(E126:G126)</f>
        <v/>
      </c>
      <c r="I126">
        <f>IF(AND(MIN(C126:D126)&gt;=0,MAX(C126:D126)&lt;=1,MIN(E126:G126)&gt;=-1E-10,ABS(H126-1)&lt;1E-8,C126&lt;=C125+1E-10,D126&lt;=D125+1E-10),"OK","ERROR")</f>
        <v/>
      </c>
      <c r="J126">
        <f>1/(1+$B$4)^(B126+$B$6/2)</f>
        <v/>
      </c>
      <c r="K126">
        <f>1/(1+$B$5)^(B126+$B$6/2)</f>
        <v/>
      </c>
      <c r="L126" t="inlineStr">
        <is>
          <t>Average endpoints</t>
        </is>
      </c>
      <c r="M126" s="4">
        <f>SUMPRODUCT((E126:G126+E127:G127)/2,$B$17:$D$17)*$B$6</f>
        <v/>
      </c>
      <c r="N126" s="4">
        <f>M126*J126</f>
        <v/>
      </c>
      <c r="O126" s="4">
        <f>SUMPRODUCT((E126:G126+E127:G127)/2,$B$18:$D$18)*$B$6</f>
        <v/>
      </c>
      <c r="P126" s="4">
        <f>O126*J126</f>
        <v/>
      </c>
      <c r="Q126" s="4">
        <f>SUMPRODUCT((E126:G126+E127:G127)/2,$B$19:$D$19)*$B$6</f>
        <v/>
      </c>
      <c r="R126" s="4">
        <f>Q126*J126</f>
        <v/>
      </c>
      <c r="S126" s="4">
        <f>IF(A126=0,SUMPRODUCT((E126:G126+E127:G127)/2,$B$20:$D$20)*$B$6,0)</f>
        <v/>
      </c>
      <c r="T126" s="4">
        <f>S126*J126</f>
        <v/>
      </c>
      <c r="U126" s="4">
        <f>N126+P126+R126+T126</f>
        <v/>
      </c>
      <c r="V126">
        <f>SUMPRODUCT((E126:G126+E127:G127)/2,$B$24:$D$24)*$B$6</f>
        <v/>
      </c>
      <c r="W126" s="5">
        <f>V126*K126</f>
        <v/>
      </c>
      <c r="X126">
        <f>SUMPRODUCT((E126:G126+E127:G127)/2,$B$25:$D$25)*$B$6</f>
        <v/>
      </c>
      <c r="Y126">
        <f>X126*K126</f>
        <v/>
      </c>
    </row>
    <row r="127">
      <c r="A127" t="n">
        <v>98</v>
      </c>
      <c r="B127">
        <f>A127*$B$6</f>
        <v/>
      </c>
      <c r="C127" s="5">
        <f>EXP(-$B$12*B127)</f>
        <v/>
      </c>
      <c r="D127" s="5">
        <f>EXP(-$B$13*B127)</f>
        <v/>
      </c>
      <c r="E127">
        <f>C127</f>
        <v/>
      </c>
      <c r="F127">
        <f>D127-C127</f>
        <v/>
      </c>
      <c r="G127">
        <f>1-D127</f>
        <v/>
      </c>
      <c r="H127">
        <f>SUM(E127:G127)</f>
        <v/>
      </c>
      <c r="I127">
        <f>IF(AND(MIN(C127:D127)&gt;=0,MAX(C127:D127)&lt;=1,MIN(E127:G127)&gt;=-1E-10,ABS(H127-1)&lt;1E-8,C127&lt;=C126+1E-10,D127&lt;=D126+1E-10),"OK","ERROR")</f>
        <v/>
      </c>
      <c r="J127">
        <f>1/(1+$B$4)^(B127+$B$6/2)</f>
        <v/>
      </c>
      <c r="K127">
        <f>1/(1+$B$5)^(B127+$B$6/2)</f>
        <v/>
      </c>
      <c r="L127" t="inlineStr">
        <is>
          <t>Average endpoints</t>
        </is>
      </c>
      <c r="M127" s="4">
        <f>SUMPRODUCT((E127:G127+E128:G128)/2,$B$17:$D$17)*$B$6</f>
        <v/>
      </c>
      <c r="N127" s="4">
        <f>M127*J127</f>
        <v/>
      </c>
      <c r="O127" s="4">
        <f>SUMPRODUCT((E127:G127+E128:G128)/2,$B$18:$D$18)*$B$6</f>
        <v/>
      </c>
      <c r="P127" s="4">
        <f>O127*J127</f>
        <v/>
      </c>
      <c r="Q127" s="4">
        <f>SUMPRODUCT((E127:G127+E128:G128)/2,$B$19:$D$19)*$B$6</f>
        <v/>
      </c>
      <c r="R127" s="4">
        <f>Q127*J127</f>
        <v/>
      </c>
      <c r="S127" s="4">
        <f>IF(A127=0,SUMPRODUCT((E127:G127+E128:G128)/2,$B$20:$D$20)*$B$6,0)</f>
        <v/>
      </c>
      <c r="T127" s="4">
        <f>S127*J127</f>
        <v/>
      </c>
      <c r="U127" s="4">
        <f>N127+P127+R127+T127</f>
        <v/>
      </c>
      <c r="V127">
        <f>SUMPRODUCT((E127:G127+E128:G128)/2,$B$24:$D$24)*$B$6</f>
        <v/>
      </c>
      <c r="W127" s="5">
        <f>V127*K127</f>
        <v/>
      </c>
      <c r="X127">
        <f>SUMPRODUCT((E127:G127+E128:G128)/2,$B$25:$D$25)*$B$6</f>
        <v/>
      </c>
      <c r="Y127">
        <f>X127*K127</f>
        <v/>
      </c>
    </row>
    <row r="128">
      <c r="A128" t="n">
        <v>99</v>
      </c>
      <c r="B128">
        <f>A128*$B$6</f>
        <v/>
      </c>
      <c r="C128" s="5">
        <f>EXP(-$B$12*B128)</f>
        <v/>
      </c>
      <c r="D128" s="5">
        <f>EXP(-$B$13*B128)</f>
        <v/>
      </c>
      <c r="E128">
        <f>C128</f>
        <v/>
      </c>
      <c r="F128">
        <f>D128-C128</f>
        <v/>
      </c>
      <c r="G128">
        <f>1-D128</f>
        <v/>
      </c>
      <c r="H128">
        <f>SUM(E128:G128)</f>
        <v/>
      </c>
      <c r="I128">
        <f>IF(AND(MIN(C128:D128)&gt;=0,MAX(C128:D128)&lt;=1,MIN(E128:G128)&gt;=-1E-10,ABS(H128-1)&lt;1E-8,C128&lt;=C127+1E-10,D128&lt;=D127+1E-10),"OK","ERROR")</f>
        <v/>
      </c>
      <c r="J128">
        <f>1/(1+$B$4)^(B128+$B$6/2)</f>
        <v/>
      </c>
      <c r="K128">
        <f>1/(1+$B$5)^(B128+$B$6/2)</f>
        <v/>
      </c>
      <c r="L128" t="inlineStr">
        <is>
          <t>Average endpoints</t>
        </is>
      </c>
      <c r="M128" s="4">
        <f>SUMPRODUCT((E128:G128+E129:G129)/2,$B$17:$D$17)*$B$6</f>
        <v/>
      </c>
      <c r="N128" s="4">
        <f>M128*J128</f>
        <v/>
      </c>
      <c r="O128" s="4">
        <f>SUMPRODUCT((E128:G128+E129:G129)/2,$B$18:$D$18)*$B$6</f>
        <v/>
      </c>
      <c r="P128" s="4">
        <f>O128*J128</f>
        <v/>
      </c>
      <c r="Q128" s="4">
        <f>SUMPRODUCT((E128:G128+E129:G129)/2,$B$19:$D$19)*$B$6</f>
        <v/>
      </c>
      <c r="R128" s="4">
        <f>Q128*J128</f>
        <v/>
      </c>
      <c r="S128" s="4">
        <f>IF(A128=0,SUMPRODUCT((E128:G128+E129:G129)/2,$B$20:$D$20)*$B$6,0)</f>
        <v/>
      </c>
      <c r="T128" s="4">
        <f>S128*J128</f>
        <v/>
      </c>
      <c r="U128" s="4">
        <f>N128+P128+R128+T128</f>
        <v/>
      </c>
      <c r="V128">
        <f>SUMPRODUCT((E128:G128+E129:G129)/2,$B$24:$D$24)*$B$6</f>
        <v/>
      </c>
      <c r="W128" s="5">
        <f>V128*K128</f>
        <v/>
      </c>
      <c r="X128">
        <f>SUMPRODUCT((E128:G128+E129:G129)/2,$B$25:$D$25)*$B$6</f>
        <v/>
      </c>
      <c r="Y128">
        <f>X128*K128</f>
        <v/>
      </c>
    </row>
    <row r="129">
      <c r="A129" t="n">
        <v>100</v>
      </c>
      <c r="B129">
        <f>A129*$B$6</f>
        <v/>
      </c>
      <c r="C129" s="5">
        <f>EXP(-$B$12*B129)</f>
        <v/>
      </c>
      <c r="D129" s="5">
        <f>EXP(-$B$13*B129)</f>
        <v/>
      </c>
      <c r="E129">
        <f>C129</f>
        <v/>
      </c>
      <c r="F129">
        <f>D129-C129</f>
        <v/>
      </c>
      <c r="G129">
        <f>1-D129</f>
        <v/>
      </c>
      <c r="H129">
        <f>SUM(E129:G129)</f>
        <v/>
      </c>
      <c r="I129">
        <f>IF(AND(MIN(C129:D129)&gt;=0,MAX(C129:D129)&lt;=1,MIN(E129:G129)&gt;=-1E-10,ABS(H129-1)&lt;1E-8,C129&lt;=C128+1E-10,D129&lt;=D128+1E-10),"OK","ERROR")</f>
        <v/>
      </c>
      <c r="J129">
        <f>1/(1+$B$4)^(B129+$B$6/2)</f>
        <v/>
      </c>
      <c r="K129">
        <f>1/(1+$B$5)^(B129+$B$6/2)</f>
        <v/>
      </c>
      <c r="L129" t="inlineStr">
        <is>
          <t>Average endpoints</t>
        </is>
      </c>
      <c r="M129" s="4">
        <f>SUMPRODUCT((E129:G129+E130:G130)/2,$B$17:$D$17)*$B$6</f>
        <v/>
      </c>
      <c r="N129" s="4">
        <f>M129*J129</f>
        <v/>
      </c>
      <c r="O129" s="4">
        <f>SUMPRODUCT((E129:G129+E130:G130)/2,$B$18:$D$18)*$B$6</f>
        <v/>
      </c>
      <c r="P129" s="4">
        <f>O129*J129</f>
        <v/>
      </c>
      <c r="Q129" s="4">
        <f>SUMPRODUCT((E129:G129+E130:G130)/2,$B$19:$D$19)*$B$6</f>
        <v/>
      </c>
      <c r="R129" s="4">
        <f>Q129*J129</f>
        <v/>
      </c>
      <c r="S129" s="4">
        <f>IF(A129=0,SUMPRODUCT((E129:G129+E130:G130)/2,$B$20:$D$20)*$B$6,0)</f>
        <v/>
      </c>
      <c r="T129" s="4">
        <f>S129*J129</f>
        <v/>
      </c>
      <c r="U129" s="4">
        <f>N129+P129+R129+T129</f>
        <v/>
      </c>
      <c r="V129">
        <f>SUMPRODUCT((E129:G129+E130:G130)/2,$B$24:$D$24)*$B$6</f>
        <v/>
      </c>
      <c r="W129" s="5">
        <f>V129*K129</f>
        <v/>
      </c>
      <c r="X129">
        <f>SUMPRODUCT((E129:G129+E130:G130)/2,$B$25:$D$25)*$B$6</f>
        <v/>
      </c>
      <c r="Y129">
        <f>X129*K129</f>
        <v/>
      </c>
    </row>
    <row r="130">
      <c r="A130" t="n">
        <v>101</v>
      </c>
      <c r="B130">
        <f>A130*$B$6</f>
        <v/>
      </c>
      <c r="C130" s="5">
        <f>EXP(-$B$12*B130)</f>
        <v/>
      </c>
      <c r="D130" s="5">
        <f>EXP(-$B$13*B130)</f>
        <v/>
      </c>
      <c r="E130">
        <f>C130</f>
        <v/>
      </c>
      <c r="F130">
        <f>D130-C130</f>
        <v/>
      </c>
      <c r="G130">
        <f>1-D130</f>
        <v/>
      </c>
      <c r="H130">
        <f>SUM(E130:G130)</f>
        <v/>
      </c>
      <c r="I130">
        <f>IF(AND(MIN(C130:D130)&gt;=0,MAX(C130:D130)&lt;=1,MIN(E130:G130)&gt;=-1E-10,ABS(H130-1)&lt;1E-8,C130&lt;=C129+1E-10,D130&lt;=D129+1E-10),"OK","ERROR")</f>
        <v/>
      </c>
      <c r="J130">
        <f>1/(1+$B$4)^(B130+$B$6/2)</f>
        <v/>
      </c>
      <c r="K130">
        <f>1/(1+$B$5)^(B130+$B$6/2)</f>
        <v/>
      </c>
      <c r="L130" t="inlineStr">
        <is>
          <t>Average endpoints</t>
        </is>
      </c>
      <c r="M130" s="4">
        <f>SUMPRODUCT((E130:G130+E131:G131)/2,$B$17:$D$17)*$B$6</f>
        <v/>
      </c>
      <c r="N130" s="4">
        <f>M130*J130</f>
        <v/>
      </c>
      <c r="O130" s="4">
        <f>SUMPRODUCT((E130:G130+E131:G131)/2,$B$18:$D$18)*$B$6</f>
        <v/>
      </c>
      <c r="P130" s="4">
        <f>O130*J130</f>
        <v/>
      </c>
      <c r="Q130" s="4">
        <f>SUMPRODUCT((E130:G130+E131:G131)/2,$B$19:$D$19)*$B$6</f>
        <v/>
      </c>
      <c r="R130" s="4">
        <f>Q130*J130</f>
        <v/>
      </c>
      <c r="S130" s="4">
        <f>IF(A130=0,SUMPRODUCT((E130:G130+E131:G131)/2,$B$20:$D$20)*$B$6,0)</f>
        <v/>
      </c>
      <c r="T130" s="4">
        <f>S130*J130</f>
        <v/>
      </c>
      <c r="U130" s="4">
        <f>N130+P130+R130+T130</f>
        <v/>
      </c>
      <c r="V130">
        <f>SUMPRODUCT((E130:G130+E131:G131)/2,$B$24:$D$24)*$B$6</f>
        <v/>
      </c>
      <c r="W130" s="5">
        <f>V130*K130</f>
        <v/>
      </c>
      <c r="X130">
        <f>SUMPRODUCT((E130:G130+E131:G131)/2,$B$25:$D$25)*$B$6</f>
        <v/>
      </c>
      <c r="Y130">
        <f>X130*K130</f>
        <v/>
      </c>
    </row>
    <row r="131">
      <c r="A131" t="n">
        <v>102</v>
      </c>
      <c r="B131">
        <f>A131*$B$6</f>
        <v/>
      </c>
      <c r="C131" s="5">
        <f>EXP(-$B$12*B131)</f>
        <v/>
      </c>
      <c r="D131" s="5">
        <f>EXP(-$B$13*B131)</f>
        <v/>
      </c>
      <c r="E131">
        <f>C131</f>
        <v/>
      </c>
      <c r="F131">
        <f>D131-C131</f>
        <v/>
      </c>
      <c r="G131">
        <f>1-D131</f>
        <v/>
      </c>
      <c r="H131">
        <f>SUM(E131:G131)</f>
        <v/>
      </c>
      <c r="I131">
        <f>IF(AND(MIN(C131:D131)&gt;=0,MAX(C131:D131)&lt;=1,MIN(E131:G131)&gt;=-1E-10,ABS(H131-1)&lt;1E-8,C131&lt;=C130+1E-10,D131&lt;=D130+1E-10),"OK","ERROR")</f>
        <v/>
      </c>
      <c r="J131">
        <f>1/(1+$B$4)^(B131+$B$6/2)</f>
        <v/>
      </c>
      <c r="K131">
        <f>1/(1+$B$5)^(B131+$B$6/2)</f>
        <v/>
      </c>
      <c r="L131" t="inlineStr">
        <is>
          <t>Average endpoints</t>
        </is>
      </c>
      <c r="M131" s="4">
        <f>SUMPRODUCT((E131:G131+E132:G132)/2,$B$17:$D$17)*$B$6</f>
        <v/>
      </c>
      <c r="N131" s="4">
        <f>M131*J131</f>
        <v/>
      </c>
      <c r="O131" s="4">
        <f>SUMPRODUCT((E131:G131+E132:G132)/2,$B$18:$D$18)*$B$6</f>
        <v/>
      </c>
      <c r="P131" s="4">
        <f>O131*J131</f>
        <v/>
      </c>
      <c r="Q131" s="4">
        <f>SUMPRODUCT((E131:G131+E132:G132)/2,$B$19:$D$19)*$B$6</f>
        <v/>
      </c>
      <c r="R131" s="4">
        <f>Q131*J131</f>
        <v/>
      </c>
      <c r="S131" s="4">
        <f>IF(A131=0,SUMPRODUCT((E131:G131+E132:G132)/2,$B$20:$D$20)*$B$6,0)</f>
        <v/>
      </c>
      <c r="T131" s="4">
        <f>S131*J131</f>
        <v/>
      </c>
      <c r="U131" s="4">
        <f>N131+P131+R131+T131</f>
        <v/>
      </c>
      <c r="V131">
        <f>SUMPRODUCT((E131:G131+E132:G132)/2,$B$24:$D$24)*$B$6</f>
        <v/>
      </c>
      <c r="W131" s="5">
        <f>V131*K131</f>
        <v/>
      </c>
      <c r="X131">
        <f>SUMPRODUCT((E131:G131+E132:G132)/2,$B$25:$D$25)*$B$6</f>
        <v/>
      </c>
      <c r="Y131">
        <f>X131*K131</f>
        <v/>
      </c>
    </row>
    <row r="132">
      <c r="A132" t="n">
        <v>103</v>
      </c>
      <c r="B132">
        <f>A132*$B$6</f>
        <v/>
      </c>
      <c r="C132" s="5">
        <f>EXP(-$B$12*B132)</f>
        <v/>
      </c>
      <c r="D132" s="5">
        <f>EXP(-$B$13*B132)</f>
        <v/>
      </c>
      <c r="E132">
        <f>C132</f>
        <v/>
      </c>
      <c r="F132">
        <f>D132-C132</f>
        <v/>
      </c>
      <c r="G132">
        <f>1-D132</f>
        <v/>
      </c>
      <c r="H132">
        <f>SUM(E132:G132)</f>
        <v/>
      </c>
      <c r="I132">
        <f>IF(AND(MIN(C132:D132)&gt;=0,MAX(C132:D132)&lt;=1,MIN(E132:G132)&gt;=-1E-10,ABS(H132-1)&lt;1E-8,C132&lt;=C131+1E-10,D132&lt;=D131+1E-10),"OK","ERROR")</f>
        <v/>
      </c>
      <c r="J132">
        <f>1/(1+$B$4)^(B132+$B$6/2)</f>
        <v/>
      </c>
      <c r="K132">
        <f>1/(1+$B$5)^(B132+$B$6/2)</f>
        <v/>
      </c>
      <c r="L132" t="inlineStr">
        <is>
          <t>Average endpoints</t>
        </is>
      </c>
      <c r="M132" s="4">
        <f>SUMPRODUCT((E132:G132+E133:G133)/2,$B$17:$D$17)*$B$6</f>
        <v/>
      </c>
      <c r="N132" s="4">
        <f>M132*J132</f>
        <v/>
      </c>
      <c r="O132" s="4">
        <f>SUMPRODUCT((E132:G132+E133:G133)/2,$B$18:$D$18)*$B$6</f>
        <v/>
      </c>
      <c r="P132" s="4">
        <f>O132*J132</f>
        <v/>
      </c>
      <c r="Q132" s="4">
        <f>SUMPRODUCT((E132:G132+E133:G133)/2,$B$19:$D$19)*$B$6</f>
        <v/>
      </c>
      <c r="R132" s="4">
        <f>Q132*J132</f>
        <v/>
      </c>
      <c r="S132" s="4">
        <f>IF(A132=0,SUMPRODUCT((E132:G132+E133:G133)/2,$B$20:$D$20)*$B$6,0)</f>
        <v/>
      </c>
      <c r="T132" s="4">
        <f>S132*J132</f>
        <v/>
      </c>
      <c r="U132" s="4">
        <f>N132+P132+R132+T132</f>
        <v/>
      </c>
      <c r="V132">
        <f>SUMPRODUCT((E132:G132+E133:G133)/2,$B$24:$D$24)*$B$6</f>
        <v/>
      </c>
      <c r="W132" s="5">
        <f>V132*K132</f>
        <v/>
      </c>
      <c r="X132">
        <f>SUMPRODUCT((E132:G132+E133:G133)/2,$B$25:$D$25)*$B$6</f>
        <v/>
      </c>
      <c r="Y132">
        <f>X132*K132</f>
        <v/>
      </c>
    </row>
    <row r="133">
      <c r="A133" t="n">
        <v>104</v>
      </c>
      <c r="B133">
        <f>A133*$B$6</f>
        <v/>
      </c>
      <c r="C133" s="5">
        <f>EXP(-$B$12*B133)</f>
        <v/>
      </c>
      <c r="D133" s="5">
        <f>EXP(-$B$13*B133)</f>
        <v/>
      </c>
      <c r="E133">
        <f>C133</f>
        <v/>
      </c>
      <c r="F133">
        <f>D133-C133</f>
        <v/>
      </c>
      <c r="G133">
        <f>1-D133</f>
        <v/>
      </c>
      <c r="H133">
        <f>SUM(E133:G133)</f>
        <v/>
      </c>
      <c r="I133">
        <f>IF(AND(MIN(C133:D133)&gt;=0,MAX(C133:D133)&lt;=1,MIN(E133:G133)&gt;=-1E-10,ABS(H133-1)&lt;1E-8,C133&lt;=C132+1E-10,D133&lt;=D132+1E-10),"OK","ERROR")</f>
        <v/>
      </c>
      <c r="J133">
        <f>1/(1+$B$4)^(B133+$B$6/2)</f>
        <v/>
      </c>
      <c r="K133">
        <f>1/(1+$B$5)^(B133+$B$6/2)</f>
        <v/>
      </c>
      <c r="L133" t="inlineStr">
        <is>
          <t>Average endpoints</t>
        </is>
      </c>
      <c r="M133" s="4">
        <f>SUMPRODUCT((E133:G133+E134:G134)/2,$B$17:$D$17)*$B$6</f>
        <v/>
      </c>
      <c r="N133" s="4">
        <f>M133*J133</f>
        <v/>
      </c>
      <c r="O133" s="4">
        <f>SUMPRODUCT((E133:G133+E134:G134)/2,$B$18:$D$18)*$B$6</f>
        <v/>
      </c>
      <c r="P133" s="4">
        <f>O133*J133</f>
        <v/>
      </c>
      <c r="Q133" s="4">
        <f>SUMPRODUCT((E133:G133+E134:G134)/2,$B$19:$D$19)*$B$6</f>
        <v/>
      </c>
      <c r="R133" s="4">
        <f>Q133*J133</f>
        <v/>
      </c>
      <c r="S133" s="4">
        <f>IF(A133=0,SUMPRODUCT((E133:G133+E134:G134)/2,$B$20:$D$20)*$B$6,0)</f>
        <v/>
      </c>
      <c r="T133" s="4">
        <f>S133*J133</f>
        <v/>
      </c>
      <c r="U133" s="4">
        <f>N133+P133+R133+T133</f>
        <v/>
      </c>
      <c r="V133">
        <f>SUMPRODUCT((E133:G133+E134:G134)/2,$B$24:$D$24)*$B$6</f>
        <v/>
      </c>
      <c r="W133" s="5">
        <f>V133*K133</f>
        <v/>
      </c>
      <c r="X133">
        <f>SUMPRODUCT((E133:G133+E134:G134)/2,$B$25:$D$25)*$B$6</f>
        <v/>
      </c>
      <c r="Y133">
        <f>X133*K133</f>
        <v/>
      </c>
    </row>
    <row r="134">
      <c r="A134" t="n">
        <v>105</v>
      </c>
      <c r="B134">
        <f>A134*$B$6</f>
        <v/>
      </c>
      <c r="C134" s="5">
        <f>EXP(-$B$12*B134)</f>
        <v/>
      </c>
      <c r="D134" s="5">
        <f>EXP(-$B$13*B134)</f>
        <v/>
      </c>
      <c r="E134">
        <f>C134</f>
        <v/>
      </c>
      <c r="F134">
        <f>D134-C134</f>
        <v/>
      </c>
      <c r="G134">
        <f>1-D134</f>
        <v/>
      </c>
      <c r="H134">
        <f>SUM(E134:G134)</f>
        <v/>
      </c>
      <c r="I134">
        <f>IF(AND(MIN(C134:D134)&gt;=0,MAX(C134:D134)&lt;=1,MIN(E134:G134)&gt;=-1E-10,ABS(H134-1)&lt;1E-8,C134&lt;=C133+1E-10,D134&lt;=D133+1E-10),"OK","ERROR")</f>
        <v/>
      </c>
      <c r="J134">
        <f>1/(1+$B$4)^(B134+$B$6/2)</f>
        <v/>
      </c>
      <c r="K134">
        <f>1/(1+$B$5)^(B134+$B$6/2)</f>
        <v/>
      </c>
      <c r="L134" t="inlineStr">
        <is>
          <t>Average endpoints</t>
        </is>
      </c>
      <c r="M134" s="4">
        <f>SUMPRODUCT((E134:G134+E135:G135)/2,$B$17:$D$17)*$B$6</f>
        <v/>
      </c>
      <c r="N134" s="4">
        <f>M134*J134</f>
        <v/>
      </c>
      <c r="O134" s="4">
        <f>SUMPRODUCT((E134:G134+E135:G135)/2,$B$18:$D$18)*$B$6</f>
        <v/>
      </c>
      <c r="P134" s="4">
        <f>O134*J134</f>
        <v/>
      </c>
      <c r="Q134" s="4">
        <f>SUMPRODUCT((E134:G134+E135:G135)/2,$B$19:$D$19)*$B$6</f>
        <v/>
      </c>
      <c r="R134" s="4">
        <f>Q134*J134</f>
        <v/>
      </c>
      <c r="S134" s="4">
        <f>IF(A134=0,SUMPRODUCT((E134:G134+E135:G135)/2,$B$20:$D$20)*$B$6,0)</f>
        <v/>
      </c>
      <c r="T134" s="4">
        <f>S134*J134</f>
        <v/>
      </c>
      <c r="U134" s="4">
        <f>N134+P134+R134+T134</f>
        <v/>
      </c>
      <c r="V134">
        <f>SUMPRODUCT((E134:G134+E135:G135)/2,$B$24:$D$24)*$B$6</f>
        <v/>
      </c>
      <c r="W134" s="5">
        <f>V134*K134</f>
        <v/>
      </c>
      <c r="X134">
        <f>SUMPRODUCT((E134:G134+E135:G135)/2,$B$25:$D$25)*$B$6</f>
        <v/>
      </c>
      <c r="Y134">
        <f>X134*K134</f>
        <v/>
      </c>
    </row>
    <row r="135">
      <c r="A135" t="n">
        <v>106</v>
      </c>
      <c r="B135">
        <f>A135*$B$6</f>
        <v/>
      </c>
      <c r="C135" s="5">
        <f>EXP(-$B$12*B135)</f>
        <v/>
      </c>
      <c r="D135" s="5">
        <f>EXP(-$B$13*B135)</f>
        <v/>
      </c>
      <c r="E135">
        <f>C135</f>
        <v/>
      </c>
      <c r="F135">
        <f>D135-C135</f>
        <v/>
      </c>
      <c r="G135">
        <f>1-D135</f>
        <v/>
      </c>
      <c r="H135">
        <f>SUM(E135:G135)</f>
        <v/>
      </c>
      <c r="I135">
        <f>IF(AND(MIN(C135:D135)&gt;=0,MAX(C135:D135)&lt;=1,MIN(E135:G135)&gt;=-1E-10,ABS(H135-1)&lt;1E-8,C135&lt;=C134+1E-10,D135&lt;=D134+1E-10),"OK","ERROR")</f>
        <v/>
      </c>
      <c r="J135">
        <f>1/(1+$B$4)^(B135+$B$6/2)</f>
        <v/>
      </c>
      <c r="K135">
        <f>1/(1+$B$5)^(B135+$B$6/2)</f>
        <v/>
      </c>
      <c r="L135" t="inlineStr">
        <is>
          <t>Average endpoints</t>
        </is>
      </c>
      <c r="M135" s="4">
        <f>SUMPRODUCT((E135:G135+E136:G136)/2,$B$17:$D$17)*$B$6</f>
        <v/>
      </c>
      <c r="N135" s="4">
        <f>M135*J135</f>
        <v/>
      </c>
      <c r="O135" s="4">
        <f>SUMPRODUCT((E135:G135+E136:G136)/2,$B$18:$D$18)*$B$6</f>
        <v/>
      </c>
      <c r="P135" s="4">
        <f>O135*J135</f>
        <v/>
      </c>
      <c r="Q135" s="4">
        <f>SUMPRODUCT((E135:G135+E136:G136)/2,$B$19:$D$19)*$B$6</f>
        <v/>
      </c>
      <c r="R135" s="4">
        <f>Q135*J135</f>
        <v/>
      </c>
      <c r="S135" s="4">
        <f>IF(A135=0,SUMPRODUCT((E135:G135+E136:G136)/2,$B$20:$D$20)*$B$6,0)</f>
        <v/>
      </c>
      <c r="T135" s="4">
        <f>S135*J135</f>
        <v/>
      </c>
      <c r="U135" s="4">
        <f>N135+P135+R135+T135</f>
        <v/>
      </c>
      <c r="V135">
        <f>SUMPRODUCT((E135:G135+E136:G136)/2,$B$24:$D$24)*$B$6</f>
        <v/>
      </c>
      <c r="W135" s="5">
        <f>V135*K135</f>
        <v/>
      </c>
      <c r="X135">
        <f>SUMPRODUCT((E135:G135+E136:G136)/2,$B$25:$D$25)*$B$6</f>
        <v/>
      </c>
      <c r="Y135">
        <f>X135*K135</f>
        <v/>
      </c>
    </row>
    <row r="136">
      <c r="A136" t="n">
        <v>107</v>
      </c>
      <c r="B136">
        <f>A136*$B$6</f>
        <v/>
      </c>
      <c r="C136" s="5">
        <f>EXP(-$B$12*B136)</f>
        <v/>
      </c>
      <c r="D136" s="5">
        <f>EXP(-$B$13*B136)</f>
        <v/>
      </c>
      <c r="E136">
        <f>C136</f>
        <v/>
      </c>
      <c r="F136">
        <f>D136-C136</f>
        <v/>
      </c>
      <c r="G136">
        <f>1-D136</f>
        <v/>
      </c>
      <c r="H136">
        <f>SUM(E136:G136)</f>
        <v/>
      </c>
      <c r="I136">
        <f>IF(AND(MIN(C136:D136)&gt;=0,MAX(C136:D136)&lt;=1,MIN(E136:G136)&gt;=-1E-10,ABS(H136-1)&lt;1E-8,C136&lt;=C135+1E-10,D136&lt;=D135+1E-10),"OK","ERROR")</f>
        <v/>
      </c>
      <c r="J136">
        <f>1/(1+$B$4)^(B136+$B$6/2)</f>
        <v/>
      </c>
      <c r="K136">
        <f>1/(1+$B$5)^(B136+$B$6/2)</f>
        <v/>
      </c>
      <c r="L136" t="inlineStr">
        <is>
          <t>Average endpoints</t>
        </is>
      </c>
      <c r="M136" s="4">
        <f>SUMPRODUCT((E136:G136+E137:G137)/2,$B$17:$D$17)*$B$6</f>
        <v/>
      </c>
      <c r="N136" s="4">
        <f>M136*J136</f>
        <v/>
      </c>
      <c r="O136" s="4">
        <f>SUMPRODUCT((E136:G136+E137:G137)/2,$B$18:$D$18)*$B$6</f>
        <v/>
      </c>
      <c r="P136" s="4">
        <f>O136*J136</f>
        <v/>
      </c>
      <c r="Q136" s="4">
        <f>SUMPRODUCT((E136:G136+E137:G137)/2,$B$19:$D$19)*$B$6</f>
        <v/>
      </c>
      <c r="R136" s="4">
        <f>Q136*J136</f>
        <v/>
      </c>
      <c r="S136" s="4">
        <f>IF(A136=0,SUMPRODUCT((E136:G136+E137:G137)/2,$B$20:$D$20)*$B$6,0)</f>
        <v/>
      </c>
      <c r="T136" s="4">
        <f>S136*J136</f>
        <v/>
      </c>
      <c r="U136" s="4">
        <f>N136+P136+R136+T136</f>
        <v/>
      </c>
      <c r="V136">
        <f>SUMPRODUCT((E136:G136+E137:G137)/2,$B$24:$D$24)*$B$6</f>
        <v/>
      </c>
      <c r="W136" s="5">
        <f>V136*K136</f>
        <v/>
      </c>
      <c r="X136">
        <f>SUMPRODUCT((E136:G136+E137:G137)/2,$B$25:$D$25)*$B$6</f>
        <v/>
      </c>
      <c r="Y136">
        <f>X136*K136</f>
        <v/>
      </c>
    </row>
    <row r="137">
      <c r="A137" t="n">
        <v>108</v>
      </c>
      <c r="B137">
        <f>A137*$B$6</f>
        <v/>
      </c>
      <c r="C137" s="5">
        <f>EXP(-$B$12*B137)</f>
        <v/>
      </c>
      <c r="D137" s="5">
        <f>EXP(-$B$13*B137)</f>
        <v/>
      </c>
      <c r="E137">
        <f>C137</f>
        <v/>
      </c>
      <c r="F137">
        <f>D137-C137</f>
        <v/>
      </c>
      <c r="G137">
        <f>1-D137</f>
        <v/>
      </c>
      <c r="H137">
        <f>SUM(E137:G137)</f>
        <v/>
      </c>
      <c r="I137">
        <f>IF(AND(MIN(C137:D137)&gt;=0,MAX(C137:D137)&lt;=1,MIN(E137:G137)&gt;=-1E-10,ABS(H137-1)&lt;1E-8,C137&lt;=C136+1E-10,D137&lt;=D136+1E-10),"OK","ERROR")</f>
        <v/>
      </c>
      <c r="J137">
        <f>1/(1+$B$4)^(B137+$B$6/2)</f>
        <v/>
      </c>
      <c r="K137">
        <f>1/(1+$B$5)^(B137+$B$6/2)</f>
        <v/>
      </c>
      <c r="L137" t="inlineStr">
        <is>
          <t>Average endpoints</t>
        </is>
      </c>
      <c r="M137" s="4">
        <f>SUMPRODUCT((E137:G137+E138:G138)/2,$B$17:$D$17)*$B$6</f>
        <v/>
      </c>
      <c r="N137" s="4">
        <f>M137*J137</f>
        <v/>
      </c>
      <c r="O137" s="4">
        <f>SUMPRODUCT((E137:G137+E138:G138)/2,$B$18:$D$18)*$B$6</f>
        <v/>
      </c>
      <c r="P137" s="4">
        <f>O137*J137</f>
        <v/>
      </c>
      <c r="Q137" s="4">
        <f>SUMPRODUCT((E137:G137+E138:G138)/2,$B$19:$D$19)*$B$6</f>
        <v/>
      </c>
      <c r="R137" s="4">
        <f>Q137*J137</f>
        <v/>
      </c>
      <c r="S137" s="4">
        <f>IF(A137=0,SUMPRODUCT((E137:G137+E138:G138)/2,$B$20:$D$20)*$B$6,0)</f>
        <v/>
      </c>
      <c r="T137" s="4">
        <f>S137*J137</f>
        <v/>
      </c>
      <c r="U137" s="4">
        <f>N137+P137+R137+T137</f>
        <v/>
      </c>
      <c r="V137">
        <f>SUMPRODUCT((E137:G137+E138:G138)/2,$B$24:$D$24)*$B$6</f>
        <v/>
      </c>
      <c r="W137" s="5">
        <f>V137*K137</f>
        <v/>
      </c>
      <c r="X137">
        <f>SUMPRODUCT((E137:G137+E138:G138)/2,$B$25:$D$25)*$B$6</f>
        <v/>
      </c>
      <c r="Y137">
        <f>X137*K137</f>
        <v/>
      </c>
    </row>
    <row r="138">
      <c r="A138" t="n">
        <v>109</v>
      </c>
      <c r="B138">
        <f>A138*$B$6</f>
        <v/>
      </c>
      <c r="C138" s="5">
        <f>EXP(-$B$12*B138)</f>
        <v/>
      </c>
      <c r="D138" s="5">
        <f>EXP(-$B$13*B138)</f>
        <v/>
      </c>
      <c r="E138">
        <f>C138</f>
        <v/>
      </c>
      <c r="F138">
        <f>D138-C138</f>
        <v/>
      </c>
      <c r="G138">
        <f>1-D138</f>
        <v/>
      </c>
      <c r="H138">
        <f>SUM(E138:G138)</f>
        <v/>
      </c>
      <c r="I138">
        <f>IF(AND(MIN(C138:D138)&gt;=0,MAX(C138:D138)&lt;=1,MIN(E138:G138)&gt;=-1E-10,ABS(H138-1)&lt;1E-8,C138&lt;=C137+1E-10,D138&lt;=D137+1E-10),"OK","ERROR")</f>
        <v/>
      </c>
      <c r="J138">
        <f>1/(1+$B$4)^(B138+$B$6/2)</f>
        <v/>
      </c>
      <c r="K138">
        <f>1/(1+$B$5)^(B138+$B$6/2)</f>
        <v/>
      </c>
      <c r="L138" t="inlineStr">
        <is>
          <t>Average endpoints</t>
        </is>
      </c>
      <c r="M138" s="4">
        <f>SUMPRODUCT((E138:G138+E139:G139)/2,$B$17:$D$17)*$B$6</f>
        <v/>
      </c>
      <c r="N138" s="4">
        <f>M138*J138</f>
        <v/>
      </c>
      <c r="O138" s="4">
        <f>SUMPRODUCT((E138:G138+E139:G139)/2,$B$18:$D$18)*$B$6</f>
        <v/>
      </c>
      <c r="P138" s="4">
        <f>O138*J138</f>
        <v/>
      </c>
      <c r="Q138" s="4">
        <f>SUMPRODUCT((E138:G138+E139:G139)/2,$B$19:$D$19)*$B$6</f>
        <v/>
      </c>
      <c r="R138" s="4">
        <f>Q138*J138</f>
        <v/>
      </c>
      <c r="S138" s="4">
        <f>IF(A138=0,SUMPRODUCT((E138:G138+E139:G139)/2,$B$20:$D$20)*$B$6,0)</f>
        <v/>
      </c>
      <c r="T138" s="4">
        <f>S138*J138</f>
        <v/>
      </c>
      <c r="U138" s="4">
        <f>N138+P138+R138+T138</f>
        <v/>
      </c>
      <c r="V138">
        <f>SUMPRODUCT((E138:G138+E139:G139)/2,$B$24:$D$24)*$B$6</f>
        <v/>
      </c>
      <c r="W138" s="5">
        <f>V138*K138</f>
        <v/>
      </c>
      <c r="X138">
        <f>SUMPRODUCT((E138:G138+E139:G139)/2,$B$25:$D$25)*$B$6</f>
        <v/>
      </c>
      <c r="Y138">
        <f>X138*K138</f>
        <v/>
      </c>
    </row>
    <row r="139">
      <c r="A139" t="n">
        <v>110</v>
      </c>
      <c r="B139">
        <f>A139*$B$6</f>
        <v/>
      </c>
      <c r="C139" s="5">
        <f>EXP(-$B$12*B139)</f>
        <v/>
      </c>
      <c r="D139" s="5">
        <f>EXP(-$B$13*B139)</f>
        <v/>
      </c>
      <c r="E139">
        <f>C139</f>
        <v/>
      </c>
      <c r="F139">
        <f>D139-C139</f>
        <v/>
      </c>
      <c r="G139">
        <f>1-D139</f>
        <v/>
      </c>
      <c r="H139">
        <f>SUM(E139:G139)</f>
        <v/>
      </c>
      <c r="I139">
        <f>IF(AND(MIN(C139:D139)&gt;=0,MAX(C139:D139)&lt;=1,MIN(E139:G139)&gt;=-1E-10,ABS(H139-1)&lt;1E-8,C139&lt;=C138+1E-10,D139&lt;=D138+1E-10),"OK","ERROR")</f>
        <v/>
      </c>
      <c r="J139">
        <f>1/(1+$B$4)^(B139+$B$6/2)</f>
        <v/>
      </c>
      <c r="K139">
        <f>1/(1+$B$5)^(B139+$B$6/2)</f>
        <v/>
      </c>
      <c r="L139" t="inlineStr">
        <is>
          <t>Average endpoints</t>
        </is>
      </c>
      <c r="M139" s="4">
        <f>SUMPRODUCT((E139:G139+E140:G140)/2,$B$17:$D$17)*$B$6</f>
        <v/>
      </c>
      <c r="N139" s="4">
        <f>M139*J139</f>
        <v/>
      </c>
      <c r="O139" s="4">
        <f>SUMPRODUCT((E139:G139+E140:G140)/2,$B$18:$D$18)*$B$6</f>
        <v/>
      </c>
      <c r="P139" s="4">
        <f>O139*J139</f>
        <v/>
      </c>
      <c r="Q139" s="4">
        <f>SUMPRODUCT((E139:G139+E140:G140)/2,$B$19:$D$19)*$B$6</f>
        <v/>
      </c>
      <c r="R139" s="4">
        <f>Q139*J139</f>
        <v/>
      </c>
      <c r="S139" s="4">
        <f>IF(A139=0,SUMPRODUCT((E139:G139+E140:G140)/2,$B$20:$D$20)*$B$6,0)</f>
        <v/>
      </c>
      <c r="T139" s="4">
        <f>S139*J139</f>
        <v/>
      </c>
      <c r="U139" s="4">
        <f>N139+P139+R139+T139</f>
        <v/>
      </c>
      <c r="V139">
        <f>SUMPRODUCT((E139:G139+E140:G140)/2,$B$24:$D$24)*$B$6</f>
        <v/>
      </c>
      <c r="W139" s="5">
        <f>V139*K139</f>
        <v/>
      </c>
      <c r="X139">
        <f>SUMPRODUCT((E139:G139+E140:G140)/2,$B$25:$D$25)*$B$6</f>
        <v/>
      </c>
      <c r="Y139">
        <f>X139*K139</f>
        <v/>
      </c>
    </row>
    <row r="140">
      <c r="A140" t="n">
        <v>111</v>
      </c>
      <c r="B140">
        <f>A140*$B$6</f>
        <v/>
      </c>
      <c r="C140" s="5">
        <f>EXP(-$B$12*B140)</f>
        <v/>
      </c>
      <c r="D140" s="5">
        <f>EXP(-$B$13*B140)</f>
        <v/>
      </c>
      <c r="E140">
        <f>C140</f>
        <v/>
      </c>
      <c r="F140">
        <f>D140-C140</f>
        <v/>
      </c>
      <c r="G140">
        <f>1-D140</f>
        <v/>
      </c>
      <c r="H140">
        <f>SUM(E140:G140)</f>
        <v/>
      </c>
      <c r="I140">
        <f>IF(AND(MIN(C140:D140)&gt;=0,MAX(C140:D140)&lt;=1,MIN(E140:G140)&gt;=-1E-10,ABS(H140-1)&lt;1E-8,C140&lt;=C139+1E-10,D140&lt;=D139+1E-10),"OK","ERROR")</f>
        <v/>
      </c>
      <c r="J140">
        <f>1/(1+$B$4)^(B140+$B$6/2)</f>
        <v/>
      </c>
      <c r="K140">
        <f>1/(1+$B$5)^(B140+$B$6/2)</f>
        <v/>
      </c>
      <c r="L140" t="inlineStr">
        <is>
          <t>Average endpoints</t>
        </is>
      </c>
      <c r="M140" s="4">
        <f>SUMPRODUCT((E140:G140+E141:G141)/2,$B$17:$D$17)*$B$6</f>
        <v/>
      </c>
      <c r="N140" s="4">
        <f>M140*J140</f>
        <v/>
      </c>
      <c r="O140" s="4">
        <f>SUMPRODUCT((E140:G140+E141:G141)/2,$B$18:$D$18)*$B$6</f>
        <v/>
      </c>
      <c r="P140" s="4">
        <f>O140*J140</f>
        <v/>
      </c>
      <c r="Q140" s="4">
        <f>SUMPRODUCT((E140:G140+E141:G141)/2,$B$19:$D$19)*$B$6</f>
        <v/>
      </c>
      <c r="R140" s="4">
        <f>Q140*J140</f>
        <v/>
      </c>
      <c r="S140" s="4">
        <f>IF(A140=0,SUMPRODUCT((E140:G140+E141:G141)/2,$B$20:$D$20)*$B$6,0)</f>
        <v/>
      </c>
      <c r="T140" s="4">
        <f>S140*J140</f>
        <v/>
      </c>
      <c r="U140" s="4">
        <f>N140+P140+R140+T140</f>
        <v/>
      </c>
      <c r="V140">
        <f>SUMPRODUCT((E140:G140+E141:G141)/2,$B$24:$D$24)*$B$6</f>
        <v/>
      </c>
      <c r="W140" s="5">
        <f>V140*K140</f>
        <v/>
      </c>
      <c r="X140">
        <f>SUMPRODUCT((E140:G140+E141:G141)/2,$B$25:$D$25)*$B$6</f>
        <v/>
      </c>
      <c r="Y140">
        <f>X140*K140</f>
        <v/>
      </c>
    </row>
    <row r="141">
      <c r="A141" t="n">
        <v>112</v>
      </c>
      <c r="B141">
        <f>A141*$B$6</f>
        <v/>
      </c>
      <c r="C141" s="5">
        <f>EXP(-$B$12*B141)</f>
        <v/>
      </c>
      <c r="D141" s="5">
        <f>EXP(-$B$13*B141)</f>
        <v/>
      </c>
      <c r="E141">
        <f>C141</f>
        <v/>
      </c>
      <c r="F141">
        <f>D141-C141</f>
        <v/>
      </c>
      <c r="G141">
        <f>1-D141</f>
        <v/>
      </c>
      <c r="H141">
        <f>SUM(E141:G141)</f>
        <v/>
      </c>
      <c r="I141">
        <f>IF(AND(MIN(C141:D141)&gt;=0,MAX(C141:D141)&lt;=1,MIN(E141:G141)&gt;=-1E-10,ABS(H141-1)&lt;1E-8,C141&lt;=C140+1E-10,D141&lt;=D140+1E-10),"OK","ERROR")</f>
        <v/>
      </c>
      <c r="J141">
        <f>1/(1+$B$4)^(B141+$B$6/2)</f>
        <v/>
      </c>
      <c r="K141">
        <f>1/(1+$B$5)^(B141+$B$6/2)</f>
        <v/>
      </c>
      <c r="L141" t="inlineStr">
        <is>
          <t>Average endpoints</t>
        </is>
      </c>
      <c r="M141" s="4">
        <f>SUMPRODUCT((E141:G141+E142:G142)/2,$B$17:$D$17)*$B$6</f>
        <v/>
      </c>
      <c r="N141" s="4">
        <f>M141*J141</f>
        <v/>
      </c>
      <c r="O141" s="4">
        <f>SUMPRODUCT((E141:G141+E142:G142)/2,$B$18:$D$18)*$B$6</f>
        <v/>
      </c>
      <c r="P141" s="4">
        <f>O141*J141</f>
        <v/>
      </c>
      <c r="Q141" s="4">
        <f>SUMPRODUCT((E141:G141+E142:G142)/2,$B$19:$D$19)*$B$6</f>
        <v/>
      </c>
      <c r="R141" s="4">
        <f>Q141*J141</f>
        <v/>
      </c>
      <c r="S141" s="4">
        <f>IF(A141=0,SUMPRODUCT((E141:G141+E142:G142)/2,$B$20:$D$20)*$B$6,0)</f>
        <v/>
      </c>
      <c r="T141" s="4">
        <f>S141*J141</f>
        <v/>
      </c>
      <c r="U141" s="4">
        <f>N141+P141+R141+T141</f>
        <v/>
      </c>
      <c r="V141">
        <f>SUMPRODUCT((E141:G141+E142:G142)/2,$B$24:$D$24)*$B$6</f>
        <v/>
      </c>
      <c r="W141" s="5">
        <f>V141*K141</f>
        <v/>
      </c>
      <c r="X141">
        <f>SUMPRODUCT((E141:G141+E142:G142)/2,$B$25:$D$25)*$B$6</f>
        <v/>
      </c>
      <c r="Y141">
        <f>X141*K141</f>
        <v/>
      </c>
    </row>
    <row r="142">
      <c r="A142" t="n">
        <v>113</v>
      </c>
      <c r="B142">
        <f>A142*$B$6</f>
        <v/>
      </c>
      <c r="C142" s="5">
        <f>EXP(-$B$12*B142)</f>
        <v/>
      </c>
      <c r="D142" s="5">
        <f>EXP(-$B$13*B142)</f>
        <v/>
      </c>
      <c r="E142">
        <f>C142</f>
        <v/>
      </c>
      <c r="F142">
        <f>D142-C142</f>
        <v/>
      </c>
      <c r="G142">
        <f>1-D142</f>
        <v/>
      </c>
      <c r="H142">
        <f>SUM(E142:G142)</f>
        <v/>
      </c>
      <c r="I142">
        <f>IF(AND(MIN(C142:D142)&gt;=0,MAX(C142:D142)&lt;=1,MIN(E142:G142)&gt;=-1E-10,ABS(H142-1)&lt;1E-8,C142&lt;=C141+1E-10,D142&lt;=D141+1E-10),"OK","ERROR")</f>
        <v/>
      </c>
      <c r="J142">
        <f>1/(1+$B$4)^(B142+$B$6/2)</f>
        <v/>
      </c>
      <c r="K142">
        <f>1/(1+$B$5)^(B142+$B$6/2)</f>
        <v/>
      </c>
      <c r="L142" t="inlineStr">
        <is>
          <t>Average endpoints</t>
        </is>
      </c>
      <c r="M142" s="4">
        <f>SUMPRODUCT((E142:G142+E143:G143)/2,$B$17:$D$17)*$B$6</f>
        <v/>
      </c>
      <c r="N142" s="4">
        <f>M142*J142</f>
        <v/>
      </c>
      <c r="O142" s="4">
        <f>SUMPRODUCT((E142:G142+E143:G143)/2,$B$18:$D$18)*$B$6</f>
        <v/>
      </c>
      <c r="P142" s="4">
        <f>O142*J142</f>
        <v/>
      </c>
      <c r="Q142" s="4">
        <f>SUMPRODUCT((E142:G142+E143:G143)/2,$B$19:$D$19)*$B$6</f>
        <v/>
      </c>
      <c r="R142" s="4">
        <f>Q142*J142</f>
        <v/>
      </c>
      <c r="S142" s="4">
        <f>IF(A142=0,SUMPRODUCT((E142:G142+E143:G143)/2,$B$20:$D$20)*$B$6,0)</f>
        <v/>
      </c>
      <c r="T142" s="4">
        <f>S142*J142</f>
        <v/>
      </c>
      <c r="U142" s="4">
        <f>N142+P142+R142+T142</f>
        <v/>
      </c>
      <c r="V142">
        <f>SUMPRODUCT((E142:G142+E143:G143)/2,$B$24:$D$24)*$B$6</f>
        <v/>
      </c>
      <c r="W142" s="5">
        <f>V142*K142</f>
        <v/>
      </c>
      <c r="X142">
        <f>SUMPRODUCT((E142:G142+E143:G143)/2,$B$25:$D$25)*$B$6</f>
        <v/>
      </c>
      <c r="Y142">
        <f>X142*K142</f>
        <v/>
      </c>
    </row>
    <row r="143">
      <c r="A143" t="n">
        <v>114</v>
      </c>
      <c r="B143">
        <f>A143*$B$6</f>
        <v/>
      </c>
      <c r="C143" s="5">
        <f>EXP(-$B$12*B143)</f>
        <v/>
      </c>
      <c r="D143" s="5">
        <f>EXP(-$B$13*B143)</f>
        <v/>
      </c>
      <c r="E143">
        <f>C143</f>
        <v/>
      </c>
      <c r="F143">
        <f>D143-C143</f>
        <v/>
      </c>
      <c r="G143">
        <f>1-D143</f>
        <v/>
      </c>
      <c r="H143">
        <f>SUM(E143:G143)</f>
        <v/>
      </c>
      <c r="I143">
        <f>IF(AND(MIN(C143:D143)&gt;=0,MAX(C143:D143)&lt;=1,MIN(E143:G143)&gt;=-1E-10,ABS(H143-1)&lt;1E-8,C143&lt;=C142+1E-10,D143&lt;=D142+1E-10),"OK","ERROR")</f>
        <v/>
      </c>
      <c r="J143">
        <f>1/(1+$B$4)^(B143+$B$6/2)</f>
        <v/>
      </c>
      <c r="K143">
        <f>1/(1+$B$5)^(B143+$B$6/2)</f>
        <v/>
      </c>
      <c r="L143" t="inlineStr">
        <is>
          <t>Average endpoints</t>
        </is>
      </c>
      <c r="M143" s="4">
        <f>SUMPRODUCT((E143:G143+E144:G144)/2,$B$17:$D$17)*$B$6</f>
        <v/>
      </c>
      <c r="N143" s="4">
        <f>M143*J143</f>
        <v/>
      </c>
      <c r="O143" s="4">
        <f>SUMPRODUCT((E143:G143+E144:G144)/2,$B$18:$D$18)*$B$6</f>
        <v/>
      </c>
      <c r="P143" s="4">
        <f>O143*J143</f>
        <v/>
      </c>
      <c r="Q143" s="4">
        <f>SUMPRODUCT((E143:G143+E144:G144)/2,$B$19:$D$19)*$B$6</f>
        <v/>
      </c>
      <c r="R143" s="4">
        <f>Q143*J143</f>
        <v/>
      </c>
      <c r="S143" s="4">
        <f>IF(A143=0,SUMPRODUCT((E143:G143+E144:G144)/2,$B$20:$D$20)*$B$6,0)</f>
        <v/>
      </c>
      <c r="T143" s="4">
        <f>S143*J143</f>
        <v/>
      </c>
      <c r="U143" s="4">
        <f>N143+P143+R143+T143</f>
        <v/>
      </c>
      <c r="V143">
        <f>SUMPRODUCT((E143:G143+E144:G144)/2,$B$24:$D$24)*$B$6</f>
        <v/>
      </c>
      <c r="W143" s="5">
        <f>V143*K143</f>
        <v/>
      </c>
      <c r="X143">
        <f>SUMPRODUCT((E143:G143+E144:G144)/2,$B$25:$D$25)*$B$6</f>
        <v/>
      </c>
      <c r="Y143">
        <f>X143*K143</f>
        <v/>
      </c>
    </row>
    <row r="144">
      <c r="A144" t="n">
        <v>115</v>
      </c>
      <c r="B144">
        <f>A144*$B$6</f>
        <v/>
      </c>
      <c r="C144" s="5">
        <f>EXP(-$B$12*B144)</f>
        <v/>
      </c>
      <c r="D144" s="5">
        <f>EXP(-$B$13*B144)</f>
        <v/>
      </c>
      <c r="E144">
        <f>C144</f>
        <v/>
      </c>
      <c r="F144">
        <f>D144-C144</f>
        <v/>
      </c>
      <c r="G144">
        <f>1-D144</f>
        <v/>
      </c>
      <c r="H144">
        <f>SUM(E144:G144)</f>
        <v/>
      </c>
      <c r="I144">
        <f>IF(AND(MIN(C144:D144)&gt;=0,MAX(C144:D144)&lt;=1,MIN(E144:G144)&gt;=-1E-10,ABS(H144-1)&lt;1E-8,C144&lt;=C143+1E-10,D144&lt;=D143+1E-10),"OK","ERROR")</f>
        <v/>
      </c>
      <c r="J144">
        <f>1/(1+$B$4)^(B144+$B$6/2)</f>
        <v/>
      </c>
      <c r="K144">
        <f>1/(1+$B$5)^(B144+$B$6/2)</f>
        <v/>
      </c>
      <c r="L144" t="inlineStr">
        <is>
          <t>Average endpoints</t>
        </is>
      </c>
      <c r="M144" s="4">
        <f>SUMPRODUCT((E144:G144+E145:G145)/2,$B$17:$D$17)*$B$6</f>
        <v/>
      </c>
      <c r="N144" s="4">
        <f>M144*J144</f>
        <v/>
      </c>
      <c r="O144" s="4">
        <f>SUMPRODUCT((E144:G144+E145:G145)/2,$B$18:$D$18)*$B$6</f>
        <v/>
      </c>
      <c r="P144" s="4">
        <f>O144*J144</f>
        <v/>
      </c>
      <c r="Q144" s="4">
        <f>SUMPRODUCT((E144:G144+E145:G145)/2,$B$19:$D$19)*$B$6</f>
        <v/>
      </c>
      <c r="R144" s="4">
        <f>Q144*J144</f>
        <v/>
      </c>
      <c r="S144" s="4">
        <f>IF(A144=0,SUMPRODUCT((E144:G144+E145:G145)/2,$B$20:$D$20)*$B$6,0)</f>
        <v/>
      </c>
      <c r="T144" s="4">
        <f>S144*J144</f>
        <v/>
      </c>
      <c r="U144" s="4">
        <f>N144+P144+R144+T144</f>
        <v/>
      </c>
      <c r="V144">
        <f>SUMPRODUCT((E144:G144+E145:G145)/2,$B$24:$D$24)*$B$6</f>
        <v/>
      </c>
      <c r="W144" s="5">
        <f>V144*K144</f>
        <v/>
      </c>
      <c r="X144">
        <f>SUMPRODUCT((E144:G144+E145:G145)/2,$B$25:$D$25)*$B$6</f>
        <v/>
      </c>
      <c r="Y144">
        <f>X144*K144</f>
        <v/>
      </c>
    </row>
    <row r="145">
      <c r="A145" t="n">
        <v>116</v>
      </c>
      <c r="B145">
        <f>A145*$B$6</f>
        <v/>
      </c>
      <c r="C145" s="5">
        <f>EXP(-$B$12*B145)</f>
        <v/>
      </c>
      <c r="D145" s="5">
        <f>EXP(-$B$13*B145)</f>
        <v/>
      </c>
      <c r="E145">
        <f>C145</f>
        <v/>
      </c>
      <c r="F145">
        <f>D145-C145</f>
        <v/>
      </c>
      <c r="G145">
        <f>1-D145</f>
        <v/>
      </c>
      <c r="H145">
        <f>SUM(E145:G145)</f>
        <v/>
      </c>
      <c r="I145">
        <f>IF(AND(MIN(C145:D145)&gt;=0,MAX(C145:D145)&lt;=1,MIN(E145:G145)&gt;=-1E-10,ABS(H145-1)&lt;1E-8,C145&lt;=C144+1E-10,D145&lt;=D144+1E-10),"OK","ERROR")</f>
        <v/>
      </c>
      <c r="J145">
        <f>1/(1+$B$4)^(B145+$B$6/2)</f>
        <v/>
      </c>
      <c r="K145">
        <f>1/(1+$B$5)^(B145+$B$6/2)</f>
        <v/>
      </c>
      <c r="L145" t="inlineStr">
        <is>
          <t>Average endpoints</t>
        </is>
      </c>
      <c r="M145" s="4">
        <f>SUMPRODUCT((E145:G145+E146:G146)/2,$B$17:$D$17)*$B$6</f>
        <v/>
      </c>
      <c r="N145" s="4">
        <f>M145*J145</f>
        <v/>
      </c>
      <c r="O145" s="4">
        <f>SUMPRODUCT((E145:G145+E146:G146)/2,$B$18:$D$18)*$B$6</f>
        <v/>
      </c>
      <c r="P145" s="4">
        <f>O145*J145</f>
        <v/>
      </c>
      <c r="Q145" s="4">
        <f>SUMPRODUCT((E145:G145+E146:G146)/2,$B$19:$D$19)*$B$6</f>
        <v/>
      </c>
      <c r="R145" s="4">
        <f>Q145*J145</f>
        <v/>
      </c>
      <c r="S145" s="4">
        <f>IF(A145=0,SUMPRODUCT((E145:G145+E146:G146)/2,$B$20:$D$20)*$B$6,0)</f>
        <v/>
      </c>
      <c r="T145" s="4">
        <f>S145*J145</f>
        <v/>
      </c>
      <c r="U145" s="4">
        <f>N145+P145+R145+T145</f>
        <v/>
      </c>
      <c r="V145">
        <f>SUMPRODUCT((E145:G145+E146:G146)/2,$B$24:$D$24)*$B$6</f>
        <v/>
      </c>
      <c r="W145" s="5">
        <f>V145*K145</f>
        <v/>
      </c>
      <c r="X145">
        <f>SUMPRODUCT((E145:G145+E146:G146)/2,$B$25:$D$25)*$B$6</f>
        <v/>
      </c>
      <c r="Y145">
        <f>X145*K145</f>
        <v/>
      </c>
    </row>
    <row r="146">
      <c r="A146" t="n">
        <v>117</v>
      </c>
      <c r="B146">
        <f>A146*$B$6</f>
        <v/>
      </c>
      <c r="C146" s="5">
        <f>EXP(-$B$12*B146)</f>
        <v/>
      </c>
      <c r="D146" s="5">
        <f>EXP(-$B$13*B146)</f>
        <v/>
      </c>
      <c r="E146">
        <f>C146</f>
        <v/>
      </c>
      <c r="F146">
        <f>D146-C146</f>
        <v/>
      </c>
      <c r="G146">
        <f>1-D146</f>
        <v/>
      </c>
      <c r="H146">
        <f>SUM(E146:G146)</f>
        <v/>
      </c>
      <c r="I146">
        <f>IF(AND(MIN(C146:D146)&gt;=0,MAX(C146:D146)&lt;=1,MIN(E146:G146)&gt;=-1E-10,ABS(H146-1)&lt;1E-8,C146&lt;=C145+1E-10,D146&lt;=D145+1E-10),"OK","ERROR")</f>
        <v/>
      </c>
      <c r="J146">
        <f>1/(1+$B$4)^(B146+$B$6/2)</f>
        <v/>
      </c>
      <c r="K146">
        <f>1/(1+$B$5)^(B146+$B$6/2)</f>
        <v/>
      </c>
      <c r="L146" t="inlineStr">
        <is>
          <t>Average endpoints</t>
        </is>
      </c>
      <c r="M146" s="4">
        <f>SUMPRODUCT((E146:G146+E147:G147)/2,$B$17:$D$17)*$B$6</f>
        <v/>
      </c>
      <c r="N146" s="4">
        <f>M146*J146</f>
        <v/>
      </c>
      <c r="O146" s="4">
        <f>SUMPRODUCT((E146:G146+E147:G147)/2,$B$18:$D$18)*$B$6</f>
        <v/>
      </c>
      <c r="P146" s="4">
        <f>O146*J146</f>
        <v/>
      </c>
      <c r="Q146" s="4">
        <f>SUMPRODUCT((E146:G146+E147:G147)/2,$B$19:$D$19)*$B$6</f>
        <v/>
      </c>
      <c r="R146" s="4">
        <f>Q146*J146</f>
        <v/>
      </c>
      <c r="S146" s="4">
        <f>IF(A146=0,SUMPRODUCT((E146:G146+E147:G147)/2,$B$20:$D$20)*$B$6,0)</f>
        <v/>
      </c>
      <c r="T146" s="4">
        <f>S146*J146</f>
        <v/>
      </c>
      <c r="U146" s="4">
        <f>N146+P146+R146+T146</f>
        <v/>
      </c>
      <c r="V146">
        <f>SUMPRODUCT((E146:G146+E147:G147)/2,$B$24:$D$24)*$B$6</f>
        <v/>
      </c>
      <c r="W146" s="5">
        <f>V146*K146</f>
        <v/>
      </c>
      <c r="X146">
        <f>SUMPRODUCT((E146:G146+E147:G147)/2,$B$25:$D$25)*$B$6</f>
        <v/>
      </c>
      <c r="Y146">
        <f>X146*K146</f>
        <v/>
      </c>
    </row>
    <row r="147">
      <c r="A147" t="n">
        <v>118</v>
      </c>
      <c r="B147">
        <f>A147*$B$6</f>
        <v/>
      </c>
      <c r="C147" s="5">
        <f>EXP(-$B$12*B147)</f>
        <v/>
      </c>
      <c r="D147" s="5">
        <f>EXP(-$B$13*B147)</f>
        <v/>
      </c>
      <c r="E147">
        <f>C147</f>
        <v/>
      </c>
      <c r="F147">
        <f>D147-C147</f>
        <v/>
      </c>
      <c r="G147">
        <f>1-D147</f>
        <v/>
      </c>
      <c r="H147">
        <f>SUM(E147:G147)</f>
        <v/>
      </c>
      <c r="I147">
        <f>IF(AND(MIN(C147:D147)&gt;=0,MAX(C147:D147)&lt;=1,MIN(E147:G147)&gt;=-1E-10,ABS(H147-1)&lt;1E-8,C147&lt;=C146+1E-10,D147&lt;=D146+1E-10),"OK","ERROR")</f>
        <v/>
      </c>
      <c r="J147">
        <f>1/(1+$B$4)^(B147+$B$6/2)</f>
        <v/>
      </c>
      <c r="K147">
        <f>1/(1+$B$5)^(B147+$B$6/2)</f>
        <v/>
      </c>
      <c r="L147" t="inlineStr">
        <is>
          <t>Average endpoints</t>
        </is>
      </c>
      <c r="M147" s="4">
        <f>SUMPRODUCT((E147:G147+E148:G148)/2,$B$17:$D$17)*$B$6</f>
        <v/>
      </c>
      <c r="N147" s="4">
        <f>M147*J147</f>
        <v/>
      </c>
      <c r="O147" s="4">
        <f>SUMPRODUCT((E147:G147+E148:G148)/2,$B$18:$D$18)*$B$6</f>
        <v/>
      </c>
      <c r="P147" s="4">
        <f>O147*J147</f>
        <v/>
      </c>
      <c r="Q147" s="4">
        <f>SUMPRODUCT((E147:G147+E148:G148)/2,$B$19:$D$19)*$B$6</f>
        <v/>
      </c>
      <c r="R147" s="4">
        <f>Q147*J147</f>
        <v/>
      </c>
      <c r="S147" s="4">
        <f>IF(A147=0,SUMPRODUCT((E147:G147+E148:G148)/2,$B$20:$D$20)*$B$6,0)</f>
        <v/>
      </c>
      <c r="T147" s="4">
        <f>S147*J147</f>
        <v/>
      </c>
      <c r="U147" s="4">
        <f>N147+P147+R147+T147</f>
        <v/>
      </c>
      <c r="V147">
        <f>SUMPRODUCT((E147:G147+E148:G148)/2,$B$24:$D$24)*$B$6</f>
        <v/>
      </c>
      <c r="W147" s="5">
        <f>V147*K147</f>
        <v/>
      </c>
      <c r="X147">
        <f>SUMPRODUCT((E147:G147+E148:G148)/2,$B$25:$D$25)*$B$6</f>
        <v/>
      </c>
      <c r="Y147">
        <f>X147*K147</f>
        <v/>
      </c>
    </row>
    <row r="148">
      <c r="A148" t="n">
        <v>119</v>
      </c>
      <c r="B148">
        <f>A148*$B$6</f>
        <v/>
      </c>
      <c r="C148" s="5">
        <f>EXP(-$B$12*B148)</f>
        <v/>
      </c>
      <c r="D148" s="5">
        <f>EXP(-$B$13*B148)</f>
        <v/>
      </c>
      <c r="E148">
        <f>C148</f>
        <v/>
      </c>
      <c r="F148">
        <f>D148-C148</f>
        <v/>
      </c>
      <c r="G148">
        <f>1-D148</f>
        <v/>
      </c>
      <c r="H148">
        <f>SUM(E148:G148)</f>
        <v/>
      </c>
      <c r="I148">
        <f>IF(AND(MIN(C148:D148)&gt;=0,MAX(C148:D148)&lt;=1,MIN(E148:G148)&gt;=-1E-10,ABS(H148-1)&lt;1E-8,C148&lt;=C147+1E-10,D148&lt;=D147+1E-10),"OK","ERROR")</f>
        <v/>
      </c>
      <c r="J148">
        <f>1/(1+$B$4)^(B148+$B$6/2)</f>
        <v/>
      </c>
      <c r="K148">
        <f>1/(1+$B$5)^(B148+$B$6/2)</f>
        <v/>
      </c>
      <c r="L148" t="inlineStr">
        <is>
          <t>Average endpoints</t>
        </is>
      </c>
      <c r="M148" s="4">
        <f>SUMPRODUCT((E148:G148+E149:G149)/2,$B$17:$D$17)*$B$6</f>
        <v/>
      </c>
      <c r="N148" s="4">
        <f>M148*J148</f>
        <v/>
      </c>
      <c r="O148" s="4">
        <f>SUMPRODUCT((E148:G148+E149:G149)/2,$B$18:$D$18)*$B$6</f>
        <v/>
      </c>
      <c r="P148" s="4">
        <f>O148*J148</f>
        <v/>
      </c>
      <c r="Q148" s="4">
        <f>SUMPRODUCT((E148:G148+E149:G149)/2,$B$19:$D$19)*$B$6</f>
        <v/>
      </c>
      <c r="R148" s="4">
        <f>Q148*J148</f>
        <v/>
      </c>
      <c r="S148" s="4">
        <f>IF(A148=0,SUMPRODUCT((E148:G148+E149:G149)/2,$B$20:$D$20)*$B$6,0)</f>
        <v/>
      </c>
      <c r="T148" s="4">
        <f>S148*J148</f>
        <v/>
      </c>
      <c r="U148" s="4">
        <f>N148+P148+R148+T148</f>
        <v/>
      </c>
      <c r="V148">
        <f>SUMPRODUCT((E148:G148+E149:G149)/2,$B$24:$D$24)*$B$6</f>
        <v/>
      </c>
      <c r="W148" s="5">
        <f>V148*K148</f>
        <v/>
      </c>
      <c r="X148">
        <f>SUMPRODUCT((E148:G148+E149:G149)/2,$B$25:$D$25)*$B$6</f>
        <v/>
      </c>
      <c r="Y148">
        <f>X148*K148</f>
        <v/>
      </c>
    </row>
    <row r="149">
      <c r="A149" t="n">
        <v>120</v>
      </c>
      <c r="B149">
        <f>A149*$B$6</f>
        <v/>
      </c>
      <c r="C149" s="5">
        <f>EXP(-$B$12*B149)</f>
        <v/>
      </c>
      <c r="D149" s="5">
        <f>EXP(-$B$13*B149)</f>
        <v/>
      </c>
      <c r="E149">
        <f>C149</f>
        <v/>
      </c>
      <c r="F149">
        <f>D149-C149</f>
        <v/>
      </c>
      <c r="G149">
        <f>1-D149</f>
        <v/>
      </c>
      <c r="H149">
        <f>SUM(E149:G149)</f>
        <v/>
      </c>
      <c r="I149">
        <f>IF(AND(MIN(C149:D149)&gt;=0,MAX(C149:D149)&lt;=1,MIN(E149:G149)&gt;=-1E-10,ABS(H149-1)&lt;1E-8,C149&lt;=C148+1E-10,D149&lt;=D148+1E-10),"OK","ERROR")</f>
        <v/>
      </c>
      <c r="J149">
        <f>1/(1+$B$4)^(B149+$B$6/2)</f>
        <v/>
      </c>
      <c r="K149">
        <f>1/(1+$B$5)^(B149+$B$6/2)</f>
        <v/>
      </c>
      <c r="L149" t="inlineStr">
        <is>
          <t>Average endpoints</t>
        </is>
      </c>
      <c r="M149" s="4">
        <f>SUMPRODUCT((E149:G149+E150:G150)/2,$B$17:$D$17)*$B$6</f>
        <v/>
      </c>
      <c r="N149" s="4">
        <f>M149*J149</f>
        <v/>
      </c>
      <c r="O149" s="4">
        <f>SUMPRODUCT((E149:G149+E150:G150)/2,$B$18:$D$18)*$B$6</f>
        <v/>
      </c>
      <c r="P149" s="4">
        <f>O149*J149</f>
        <v/>
      </c>
      <c r="Q149" s="4">
        <f>SUMPRODUCT((E149:G149+E150:G150)/2,$B$19:$D$19)*$B$6</f>
        <v/>
      </c>
      <c r="R149" s="4">
        <f>Q149*J149</f>
        <v/>
      </c>
      <c r="S149" s="4">
        <f>IF(A149=0,SUMPRODUCT((E149:G149+E150:G150)/2,$B$20:$D$20)*$B$6,0)</f>
        <v/>
      </c>
      <c r="T149" s="4">
        <f>S149*J149</f>
        <v/>
      </c>
      <c r="U149" s="4">
        <f>N149+P149+R149+T149</f>
        <v/>
      </c>
      <c r="V149">
        <f>SUMPRODUCT((E149:G149+E150:G150)/2,$B$24:$D$24)*$B$6</f>
        <v/>
      </c>
      <c r="W149" s="5">
        <f>V149*K149</f>
        <v/>
      </c>
      <c r="X149">
        <f>SUMPRODUCT((E149:G149+E150:G150)/2,$B$25:$D$25)*$B$6</f>
        <v/>
      </c>
      <c r="Y149">
        <f>X149*K149</f>
        <v/>
      </c>
    </row>
    <row r="150">
      <c r="A150" t="n">
        <v>121</v>
      </c>
      <c r="B150">
        <f>A150*$B$6</f>
        <v/>
      </c>
      <c r="C150" s="5">
        <f>EXP(-$B$12*B150)</f>
        <v/>
      </c>
      <c r="D150" s="5">
        <f>EXP(-$B$13*B150)</f>
        <v/>
      </c>
      <c r="E150">
        <f>C150</f>
        <v/>
      </c>
      <c r="F150">
        <f>D150-C150</f>
        <v/>
      </c>
      <c r="G150">
        <f>1-D150</f>
        <v/>
      </c>
      <c r="H150">
        <f>SUM(E150:G150)</f>
        <v/>
      </c>
      <c r="I150">
        <f>IF(AND(MIN(C150:D150)&gt;=0,MAX(C150:D150)&lt;=1,MIN(E150:G150)&gt;=-1E-10,ABS(H150-1)&lt;1E-8,C150&lt;=C149+1E-10,D150&lt;=D149+1E-10),"OK","ERROR")</f>
        <v/>
      </c>
      <c r="J150">
        <f>1/(1+$B$4)^(B150+$B$6/2)</f>
        <v/>
      </c>
      <c r="K150">
        <f>1/(1+$B$5)^(B150+$B$6/2)</f>
        <v/>
      </c>
      <c r="L150" t="inlineStr">
        <is>
          <t>Average endpoints</t>
        </is>
      </c>
      <c r="M150" s="4">
        <f>SUMPRODUCT((E150:G150+E151:G151)/2,$B$17:$D$17)*$B$6</f>
        <v/>
      </c>
      <c r="N150" s="4">
        <f>M150*J150</f>
        <v/>
      </c>
      <c r="O150" s="4">
        <f>SUMPRODUCT((E150:G150+E151:G151)/2,$B$18:$D$18)*$B$6</f>
        <v/>
      </c>
      <c r="P150" s="4">
        <f>O150*J150</f>
        <v/>
      </c>
      <c r="Q150" s="4">
        <f>SUMPRODUCT((E150:G150+E151:G151)/2,$B$19:$D$19)*$B$6</f>
        <v/>
      </c>
      <c r="R150" s="4">
        <f>Q150*J150</f>
        <v/>
      </c>
      <c r="S150" s="4">
        <f>IF(A150=0,SUMPRODUCT((E150:G150+E151:G151)/2,$B$20:$D$20)*$B$6,0)</f>
        <v/>
      </c>
      <c r="T150" s="4">
        <f>S150*J150</f>
        <v/>
      </c>
      <c r="U150" s="4">
        <f>N150+P150+R150+T150</f>
        <v/>
      </c>
      <c r="V150">
        <f>SUMPRODUCT((E150:G150+E151:G151)/2,$B$24:$D$24)*$B$6</f>
        <v/>
      </c>
      <c r="W150" s="5">
        <f>V150*K150</f>
        <v/>
      </c>
      <c r="X150">
        <f>SUMPRODUCT((E150:G150+E151:G151)/2,$B$25:$D$25)*$B$6</f>
        <v/>
      </c>
      <c r="Y150">
        <f>X150*K150</f>
        <v/>
      </c>
    </row>
    <row r="151">
      <c r="A151" t="n">
        <v>122</v>
      </c>
      <c r="B151">
        <f>A151*$B$6</f>
        <v/>
      </c>
      <c r="C151" s="5">
        <f>EXP(-$B$12*B151)</f>
        <v/>
      </c>
      <c r="D151" s="5">
        <f>EXP(-$B$13*B151)</f>
        <v/>
      </c>
      <c r="E151">
        <f>C151</f>
        <v/>
      </c>
      <c r="F151">
        <f>D151-C151</f>
        <v/>
      </c>
      <c r="G151">
        <f>1-D151</f>
        <v/>
      </c>
      <c r="H151">
        <f>SUM(E151:G151)</f>
        <v/>
      </c>
      <c r="I151">
        <f>IF(AND(MIN(C151:D151)&gt;=0,MAX(C151:D151)&lt;=1,MIN(E151:G151)&gt;=-1E-10,ABS(H151-1)&lt;1E-8,C151&lt;=C150+1E-10,D151&lt;=D150+1E-10),"OK","ERROR")</f>
        <v/>
      </c>
      <c r="J151">
        <f>1/(1+$B$4)^(B151+$B$6/2)</f>
        <v/>
      </c>
      <c r="K151">
        <f>1/(1+$B$5)^(B151+$B$6/2)</f>
        <v/>
      </c>
      <c r="L151" t="inlineStr">
        <is>
          <t>Average endpoints</t>
        </is>
      </c>
      <c r="M151" s="4">
        <f>SUMPRODUCT((E151:G151+E152:G152)/2,$B$17:$D$17)*$B$6</f>
        <v/>
      </c>
      <c r="N151" s="4">
        <f>M151*J151</f>
        <v/>
      </c>
      <c r="O151" s="4">
        <f>SUMPRODUCT((E151:G151+E152:G152)/2,$B$18:$D$18)*$B$6</f>
        <v/>
      </c>
      <c r="P151" s="4">
        <f>O151*J151</f>
        <v/>
      </c>
      <c r="Q151" s="4">
        <f>SUMPRODUCT((E151:G151+E152:G152)/2,$B$19:$D$19)*$B$6</f>
        <v/>
      </c>
      <c r="R151" s="4">
        <f>Q151*J151</f>
        <v/>
      </c>
      <c r="S151" s="4">
        <f>IF(A151=0,SUMPRODUCT((E151:G151+E152:G152)/2,$B$20:$D$20)*$B$6,0)</f>
        <v/>
      </c>
      <c r="T151" s="4">
        <f>S151*J151</f>
        <v/>
      </c>
      <c r="U151" s="4">
        <f>N151+P151+R151+T151</f>
        <v/>
      </c>
      <c r="V151">
        <f>SUMPRODUCT((E151:G151+E152:G152)/2,$B$24:$D$24)*$B$6</f>
        <v/>
      </c>
      <c r="W151" s="5">
        <f>V151*K151</f>
        <v/>
      </c>
      <c r="X151">
        <f>SUMPRODUCT((E151:G151+E152:G152)/2,$B$25:$D$25)*$B$6</f>
        <v/>
      </c>
      <c r="Y151">
        <f>X151*K151</f>
        <v/>
      </c>
    </row>
    <row r="152">
      <c r="A152" t="n">
        <v>123</v>
      </c>
      <c r="B152">
        <f>A152*$B$6</f>
        <v/>
      </c>
      <c r="C152" s="5">
        <f>EXP(-$B$12*B152)</f>
        <v/>
      </c>
      <c r="D152" s="5">
        <f>EXP(-$B$13*B152)</f>
        <v/>
      </c>
      <c r="E152">
        <f>C152</f>
        <v/>
      </c>
      <c r="F152">
        <f>D152-C152</f>
        <v/>
      </c>
      <c r="G152">
        <f>1-D152</f>
        <v/>
      </c>
      <c r="H152">
        <f>SUM(E152:G152)</f>
        <v/>
      </c>
      <c r="I152">
        <f>IF(AND(MIN(C152:D152)&gt;=0,MAX(C152:D152)&lt;=1,MIN(E152:G152)&gt;=-1E-10,ABS(H152-1)&lt;1E-8,C152&lt;=C151+1E-10,D152&lt;=D151+1E-10),"OK","ERROR")</f>
        <v/>
      </c>
      <c r="J152">
        <f>1/(1+$B$4)^(B152+$B$6/2)</f>
        <v/>
      </c>
      <c r="K152">
        <f>1/(1+$B$5)^(B152+$B$6/2)</f>
        <v/>
      </c>
      <c r="L152" t="inlineStr">
        <is>
          <t>Average endpoints</t>
        </is>
      </c>
      <c r="M152" s="4">
        <f>SUMPRODUCT((E152:G152+E153:G153)/2,$B$17:$D$17)*$B$6</f>
        <v/>
      </c>
      <c r="N152" s="4">
        <f>M152*J152</f>
        <v/>
      </c>
      <c r="O152" s="4">
        <f>SUMPRODUCT((E152:G152+E153:G153)/2,$B$18:$D$18)*$B$6</f>
        <v/>
      </c>
      <c r="P152" s="4">
        <f>O152*J152</f>
        <v/>
      </c>
      <c r="Q152" s="4">
        <f>SUMPRODUCT((E152:G152+E153:G153)/2,$B$19:$D$19)*$B$6</f>
        <v/>
      </c>
      <c r="R152" s="4">
        <f>Q152*J152</f>
        <v/>
      </c>
      <c r="S152" s="4">
        <f>IF(A152=0,SUMPRODUCT((E152:G152+E153:G153)/2,$B$20:$D$20)*$B$6,0)</f>
        <v/>
      </c>
      <c r="T152" s="4">
        <f>S152*J152</f>
        <v/>
      </c>
      <c r="U152" s="4">
        <f>N152+P152+R152+T152</f>
        <v/>
      </c>
      <c r="V152">
        <f>SUMPRODUCT((E152:G152+E153:G153)/2,$B$24:$D$24)*$B$6</f>
        <v/>
      </c>
      <c r="W152" s="5">
        <f>V152*K152</f>
        <v/>
      </c>
      <c r="X152">
        <f>SUMPRODUCT((E152:G152+E153:G153)/2,$B$25:$D$25)*$B$6</f>
        <v/>
      </c>
      <c r="Y152">
        <f>X152*K152</f>
        <v/>
      </c>
    </row>
    <row r="153">
      <c r="A153" t="n">
        <v>124</v>
      </c>
      <c r="B153">
        <f>A153*$B$6</f>
        <v/>
      </c>
      <c r="C153" s="5">
        <f>EXP(-$B$12*B153)</f>
        <v/>
      </c>
      <c r="D153" s="5">
        <f>EXP(-$B$13*B153)</f>
        <v/>
      </c>
      <c r="E153">
        <f>C153</f>
        <v/>
      </c>
      <c r="F153">
        <f>D153-C153</f>
        <v/>
      </c>
      <c r="G153">
        <f>1-D153</f>
        <v/>
      </c>
      <c r="H153">
        <f>SUM(E153:G153)</f>
        <v/>
      </c>
      <c r="I153">
        <f>IF(AND(MIN(C153:D153)&gt;=0,MAX(C153:D153)&lt;=1,MIN(E153:G153)&gt;=-1E-10,ABS(H153-1)&lt;1E-8,C153&lt;=C152+1E-10,D153&lt;=D152+1E-10),"OK","ERROR")</f>
        <v/>
      </c>
      <c r="J153">
        <f>1/(1+$B$4)^(B153+$B$6/2)</f>
        <v/>
      </c>
      <c r="K153">
        <f>1/(1+$B$5)^(B153+$B$6/2)</f>
        <v/>
      </c>
      <c r="L153" t="inlineStr">
        <is>
          <t>Average endpoints</t>
        </is>
      </c>
      <c r="M153" s="4">
        <f>SUMPRODUCT((E153:G153+E154:G154)/2,$B$17:$D$17)*$B$6</f>
        <v/>
      </c>
      <c r="N153" s="4">
        <f>M153*J153</f>
        <v/>
      </c>
      <c r="O153" s="4">
        <f>SUMPRODUCT((E153:G153+E154:G154)/2,$B$18:$D$18)*$B$6</f>
        <v/>
      </c>
      <c r="P153" s="4">
        <f>O153*J153</f>
        <v/>
      </c>
      <c r="Q153" s="4">
        <f>SUMPRODUCT((E153:G153+E154:G154)/2,$B$19:$D$19)*$B$6</f>
        <v/>
      </c>
      <c r="R153" s="4">
        <f>Q153*J153</f>
        <v/>
      </c>
      <c r="S153" s="4">
        <f>IF(A153=0,SUMPRODUCT((E153:G153+E154:G154)/2,$B$20:$D$20)*$B$6,0)</f>
        <v/>
      </c>
      <c r="T153" s="4">
        <f>S153*J153</f>
        <v/>
      </c>
      <c r="U153" s="4">
        <f>N153+P153+R153+T153</f>
        <v/>
      </c>
      <c r="V153">
        <f>SUMPRODUCT((E153:G153+E154:G154)/2,$B$24:$D$24)*$B$6</f>
        <v/>
      </c>
      <c r="W153" s="5">
        <f>V153*K153</f>
        <v/>
      </c>
      <c r="X153">
        <f>SUMPRODUCT((E153:G153+E154:G154)/2,$B$25:$D$25)*$B$6</f>
        <v/>
      </c>
      <c r="Y153">
        <f>X153*K153</f>
        <v/>
      </c>
    </row>
    <row r="154">
      <c r="A154" t="n">
        <v>125</v>
      </c>
      <c r="B154">
        <f>A154*$B$6</f>
        <v/>
      </c>
      <c r="C154" s="5">
        <f>EXP(-$B$12*B154)</f>
        <v/>
      </c>
      <c r="D154" s="5">
        <f>EXP(-$B$13*B154)</f>
        <v/>
      </c>
      <c r="E154">
        <f>C154</f>
        <v/>
      </c>
      <c r="F154">
        <f>D154-C154</f>
        <v/>
      </c>
      <c r="G154">
        <f>1-D154</f>
        <v/>
      </c>
      <c r="H154">
        <f>SUM(E154:G154)</f>
        <v/>
      </c>
      <c r="I154">
        <f>IF(AND(MIN(C154:D154)&gt;=0,MAX(C154:D154)&lt;=1,MIN(E154:G154)&gt;=-1E-10,ABS(H154-1)&lt;1E-8,C154&lt;=C153+1E-10,D154&lt;=D153+1E-10),"OK","ERROR")</f>
        <v/>
      </c>
      <c r="J154">
        <f>1/(1+$B$4)^(B154+$B$6/2)</f>
        <v/>
      </c>
      <c r="K154">
        <f>1/(1+$B$5)^(B154+$B$6/2)</f>
        <v/>
      </c>
      <c r="L154" t="inlineStr">
        <is>
          <t>Average endpoints</t>
        </is>
      </c>
      <c r="M154" s="4">
        <f>SUMPRODUCT((E154:G154+E155:G155)/2,$B$17:$D$17)*$B$6</f>
        <v/>
      </c>
      <c r="N154" s="4">
        <f>M154*J154</f>
        <v/>
      </c>
      <c r="O154" s="4">
        <f>SUMPRODUCT((E154:G154+E155:G155)/2,$B$18:$D$18)*$B$6</f>
        <v/>
      </c>
      <c r="P154" s="4">
        <f>O154*J154</f>
        <v/>
      </c>
      <c r="Q154" s="4">
        <f>SUMPRODUCT((E154:G154+E155:G155)/2,$B$19:$D$19)*$B$6</f>
        <v/>
      </c>
      <c r="R154" s="4">
        <f>Q154*J154</f>
        <v/>
      </c>
      <c r="S154" s="4">
        <f>IF(A154=0,SUMPRODUCT((E154:G154+E155:G155)/2,$B$20:$D$20)*$B$6,0)</f>
        <v/>
      </c>
      <c r="T154" s="4">
        <f>S154*J154</f>
        <v/>
      </c>
      <c r="U154" s="4">
        <f>N154+P154+R154+T154</f>
        <v/>
      </c>
      <c r="V154">
        <f>SUMPRODUCT((E154:G154+E155:G155)/2,$B$24:$D$24)*$B$6</f>
        <v/>
      </c>
      <c r="W154" s="5">
        <f>V154*K154</f>
        <v/>
      </c>
      <c r="X154">
        <f>SUMPRODUCT((E154:G154+E155:G155)/2,$B$25:$D$25)*$B$6</f>
        <v/>
      </c>
      <c r="Y154">
        <f>X154*K154</f>
        <v/>
      </c>
    </row>
    <row r="155">
      <c r="A155" t="n">
        <v>126</v>
      </c>
      <c r="B155">
        <f>A155*$B$6</f>
        <v/>
      </c>
      <c r="C155" s="5">
        <f>EXP(-$B$12*B155)</f>
        <v/>
      </c>
      <c r="D155" s="5">
        <f>EXP(-$B$13*B155)</f>
        <v/>
      </c>
      <c r="E155">
        <f>C155</f>
        <v/>
      </c>
      <c r="F155">
        <f>D155-C155</f>
        <v/>
      </c>
      <c r="G155">
        <f>1-D155</f>
        <v/>
      </c>
      <c r="H155">
        <f>SUM(E155:G155)</f>
        <v/>
      </c>
      <c r="I155">
        <f>IF(AND(MIN(C155:D155)&gt;=0,MAX(C155:D155)&lt;=1,MIN(E155:G155)&gt;=-1E-10,ABS(H155-1)&lt;1E-8,C155&lt;=C154+1E-10,D155&lt;=D154+1E-10),"OK","ERROR")</f>
        <v/>
      </c>
      <c r="J155">
        <f>1/(1+$B$4)^(B155+$B$6/2)</f>
        <v/>
      </c>
      <c r="K155">
        <f>1/(1+$B$5)^(B155+$B$6/2)</f>
        <v/>
      </c>
      <c r="L155" t="inlineStr">
        <is>
          <t>Average endpoints</t>
        </is>
      </c>
      <c r="M155" s="4">
        <f>SUMPRODUCT((E155:G155+E156:G156)/2,$B$17:$D$17)*$B$6</f>
        <v/>
      </c>
      <c r="N155" s="4">
        <f>M155*J155</f>
        <v/>
      </c>
      <c r="O155" s="4">
        <f>SUMPRODUCT((E155:G155+E156:G156)/2,$B$18:$D$18)*$B$6</f>
        <v/>
      </c>
      <c r="P155" s="4">
        <f>O155*J155</f>
        <v/>
      </c>
      <c r="Q155" s="4">
        <f>SUMPRODUCT((E155:G155+E156:G156)/2,$B$19:$D$19)*$B$6</f>
        <v/>
      </c>
      <c r="R155" s="4">
        <f>Q155*J155</f>
        <v/>
      </c>
      <c r="S155" s="4">
        <f>IF(A155=0,SUMPRODUCT((E155:G155+E156:G156)/2,$B$20:$D$20)*$B$6,0)</f>
        <v/>
      </c>
      <c r="T155" s="4">
        <f>S155*J155</f>
        <v/>
      </c>
      <c r="U155" s="4">
        <f>N155+P155+R155+T155</f>
        <v/>
      </c>
      <c r="V155">
        <f>SUMPRODUCT((E155:G155+E156:G156)/2,$B$24:$D$24)*$B$6</f>
        <v/>
      </c>
      <c r="W155" s="5">
        <f>V155*K155</f>
        <v/>
      </c>
      <c r="X155">
        <f>SUMPRODUCT((E155:G155+E156:G156)/2,$B$25:$D$25)*$B$6</f>
        <v/>
      </c>
      <c r="Y155">
        <f>X155*K155</f>
        <v/>
      </c>
    </row>
    <row r="156">
      <c r="A156" t="n">
        <v>127</v>
      </c>
      <c r="B156">
        <f>A156*$B$6</f>
        <v/>
      </c>
      <c r="C156" s="5">
        <f>EXP(-$B$12*B156)</f>
        <v/>
      </c>
      <c r="D156" s="5">
        <f>EXP(-$B$13*B156)</f>
        <v/>
      </c>
      <c r="E156">
        <f>C156</f>
        <v/>
      </c>
      <c r="F156">
        <f>D156-C156</f>
        <v/>
      </c>
      <c r="G156">
        <f>1-D156</f>
        <v/>
      </c>
      <c r="H156">
        <f>SUM(E156:G156)</f>
        <v/>
      </c>
      <c r="I156">
        <f>IF(AND(MIN(C156:D156)&gt;=0,MAX(C156:D156)&lt;=1,MIN(E156:G156)&gt;=-1E-10,ABS(H156-1)&lt;1E-8,C156&lt;=C155+1E-10,D156&lt;=D155+1E-10),"OK","ERROR")</f>
        <v/>
      </c>
      <c r="J156">
        <f>1/(1+$B$4)^(B156+$B$6/2)</f>
        <v/>
      </c>
      <c r="K156">
        <f>1/(1+$B$5)^(B156+$B$6/2)</f>
        <v/>
      </c>
      <c r="L156" t="inlineStr">
        <is>
          <t>Average endpoints</t>
        </is>
      </c>
      <c r="M156" s="4">
        <f>SUMPRODUCT((E156:G156+E157:G157)/2,$B$17:$D$17)*$B$6</f>
        <v/>
      </c>
      <c r="N156" s="4">
        <f>M156*J156</f>
        <v/>
      </c>
      <c r="O156" s="4">
        <f>SUMPRODUCT((E156:G156+E157:G157)/2,$B$18:$D$18)*$B$6</f>
        <v/>
      </c>
      <c r="P156" s="4">
        <f>O156*J156</f>
        <v/>
      </c>
      <c r="Q156" s="4">
        <f>SUMPRODUCT((E156:G156+E157:G157)/2,$B$19:$D$19)*$B$6</f>
        <v/>
      </c>
      <c r="R156" s="4">
        <f>Q156*J156</f>
        <v/>
      </c>
      <c r="S156" s="4">
        <f>IF(A156=0,SUMPRODUCT((E156:G156+E157:G157)/2,$B$20:$D$20)*$B$6,0)</f>
        <v/>
      </c>
      <c r="T156" s="4">
        <f>S156*J156</f>
        <v/>
      </c>
      <c r="U156" s="4">
        <f>N156+P156+R156+T156</f>
        <v/>
      </c>
      <c r="V156">
        <f>SUMPRODUCT((E156:G156+E157:G157)/2,$B$24:$D$24)*$B$6</f>
        <v/>
      </c>
      <c r="W156" s="5">
        <f>V156*K156</f>
        <v/>
      </c>
      <c r="X156">
        <f>SUMPRODUCT((E156:G156+E157:G157)/2,$B$25:$D$25)*$B$6</f>
        <v/>
      </c>
      <c r="Y156">
        <f>X156*K156</f>
        <v/>
      </c>
    </row>
    <row r="157">
      <c r="A157" t="n">
        <v>128</v>
      </c>
      <c r="B157">
        <f>A157*$B$6</f>
        <v/>
      </c>
      <c r="C157" s="5">
        <f>EXP(-$B$12*B157)</f>
        <v/>
      </c>
      <c r="D157" s="5">
        <f>EXP(-$B$13*B157)</f>
        <v/>
      </c>
      <c r="E157">
        <f>C157</f>
        <v/>
      </c>
      <c r="F157">
        <f>D157-C157</f>
        <v/>
      </c>
      <c r="G157">
        <f>1-D157</f>
        <v/>
      </c>
      <c r="H157">
        <f>SUM(E157:G157)</f>
        <v/>
      </c>
      <c r="I157">
        <f>IF(AND(MIN(C157:D157)&gt;=0,MAX(C157:D157)&lt;=1,MIN(E157:G157)&gt;=-1E-10,ABS(H157-1)&lt;1E-8,C157&lt;=C156+1E-10,D157&lt;=D156+1E-10),"OK","ERROR")</f>
        <v/>
      </c>
      <c r="J157">
        <f>1/(1+$B$4)^(B157+$B$6/2)</f>
        <v/>
      </c>
      <c r="K157">
        <f>1/(1+$B$5)^(B157+$B$6/2)</f>
        <v/>
      </c>
      <c r="L157" t="inlineStr">
        <is>
          <t>Average endpoints</t>
        </is>
      </c>
      <c r="M157" s="4">
        <f>SUMPRODUCT((E157:G157+E158:G158)/2,$B$17:$D$17)*$B$6</f>
        <v/>
      </c>
      <c r="N157" s="4">
        <f>M157*J157</f>
        <v/>
      </c>
      <c r="O157" s="4">
        <f>SUMPRODUCT((E157:G157+E158:G158)/2,$B$18:$D$18)*$B$6</f>
        <v/>
      </c>
      <c r="P157" s="4">
        <f>O157*J157</f>
        <v/>
      </c>
      <c r="Q157" s="4">
        <f>SUMPRODUCT((E157:G157+E158:G158)/2,$B$19:$D$19)*$B$6</f>
        <v/>
      </c>
      <c r="R157" s="4">
        <f>Q157*J157</f>
        <v/>
      </c>
      <c r="S157" s="4">
        <f>IF(A157=0,SUMPRODUCT((E157:G157+E158:G158)/2,$B$20:$D$20)*$B$6,0)</f>
        <v/>
      </c>
      <c r="T157" s="4">
        <f>S157*J157</f>
        <v/>
      </c>
      <c r="U157" s="4">
        <f>N157+P157+R157+T157</f>
        <v/>
      </c>
      <c r="V157">
        <f>SUMPRODUCT((E157:G157+E158:G158)/2,$B$24:$D$24)*$B$6</f>
        <v/>
      </c>
      <c r="W157" s="5">
        <f>V157*K157</f>
        <v/>
      </c>
      <c r="X157">
        <f>SUMPRODUCT((E157:G157+E158:G158)/2,$B$25:$D$25)*$B$6</f>
        <v/>
      </c>
      <c r="Y157">
        <f>X157*K157</f>
        <v/>
      </c>
    </row>
    <row r="158">
      <c r="A158" t="n">
        <v>129</v>
      </c>
      <c r="B158">
        <f>A158*$B$6</f>
        <v/>
      </c>
      <c r="C158" s="5">
        <f>EXP(-$B$12*B158)</f>
        <v/>
      </c>
      <c r="D158" s="5">
        <f>EXP(-$B$13*B158)</f>
        <v/>
      </c>
      <c r="E158">
        <f>C158</f>
        <v/>
      </c>
      <c r="F158">
        <f>D158-C158</f>
        <v/>
      </c>
      <c r="G158">
        <f>1-D158</f>
        <v/>
      </c>
      <c r="H158">
        <f>SUM(E158:G158)</f>
        <v/>
      </c>
      <c r="I158">
        <f>IF(AND(MIN(C158:D158)&gt;=0,MAX(C158:D158)&lt;=1,MIN(E158:G158)&gt;=-1E-10,ABS(H158-1)&lt;1E-8,C158&lt;=C157+1E-10,D158&lt;=D157+1E-10),"OK","ERROR")</f>
        <v/>
      </c>
      <c r="J158">
        <f>1/(1+$B$4)^(B158+$B$6/2)</f>
        <v/>
      </c>
      <c r="K158">
        <f>1/(1+$B$5)^(B158+$B$6/2)</f>
        <v/>
      </c>
      <c r="L158" t="inlineStr">
        <is>
          <t>Average endpoints</t>
        </is>
      </c>
      <c r="M158" s="4">
        <f>SUMPRODUCT((E158:G158+E159:G159)/2,$B$17:$D$17)*$B$6</f>
        <v/>
      </c>
      <c r="N158" s="4">
        <f>M158*J158</f>
        <v/>
      </c>
      <c r="O158" s="4">
        <f>SUMPRODUCT((E158:G158+E159:G159)/2,$B$18:$D$18)*$B$6</f>
        <v/>
      </c>
      <c r="P158" s="4">
        <f>O158*J158</f>
        <v/>
      </c>
      <c r="Q158" s="4">
        <f>SUMPRODUCT((E158:G158+E159:G159)/2,$B$19:$D$19)*$B$6</f>
        <v/>
      </c>
      <c r="R158" s="4">
        <f>Q158*J158</f>
        <v/>
      </c>
      <c r="S158" s="4">
        <f>IF(A158=0,SUMPRODUCT((E158:G158+E159:G159)/2,$B$20:$D$20)*$B$6,0)</f>
        <v/>
      </c>
      <c r="T158" s="4">
        <f>S158*J158</f>
        <v/>
      </c>
      <c r="U158" s="4">
        <f>N158+P158+R158+T158</f>
        <v/>
      </c>
      <c r="V158">
        <f>SUMPRODUCT((E158:G158+E159:G159)/2,$B$24:$D$24)*$B$6</f>
        <v/>
      </c>
      <c r="W158" s="5">
        <f>V158*K158</f>
        <v/>
      </c>
      <c r="X158">
        <f>SUMPRODUCT((E158:G158+E159:G159)/2,$B$25:$D$25)*$B$6</f>
        <v/>
      </c>
      <c r="Y158">
        <f>X158*K158</f>
        <v/>
      </c>
    </row>
    <row r="159">
      <c r="A159" t="n">
        <v>130</v>
      </c>
      <c r="B159">
        <f>A159*$B$6</f>
        <v/>
      </c>
      <c r="C159" s="5">
        <f>EXP(-$B$12*B159)</f>
        <v/>
      </c>
      <c r="D159" s="5">
        <f>EXP(-$B$13*B159)</f>
        <v/>
      </c>
      <c r="E159">
        <f>C159</f>
        <v/>
      </c>
      <c r="F159">
        <f>D159-C159</f>
        <v/>
      </c>
      <c r="G159">
        <f>1-D159</f>
        <v/>
      </c>
      <c r="H159">
        <f>SUM(E159:G159)</f>
        <v/>
      </c>
      <c r="I159">
        <f>IF(AND(MIN(C159:D159)&gt;=0,MAX(C159:D159)&lt;=1,MIN(E159:G159)&gt;=-1E-10,ABS(H159-1)&lt;1E-8,C159&lt;=C158+1E-10,D159&lt;=D158+1E-10),"OK","ERROR")</f>
        <v/>
      </c>
      <c r="J159">
        <f>1/(1+$B$4)^(B159+$B$6/2)</f>
        <v/>
      </c>
      <c r="K159">
        <f>1/(1+$B$5)^(B159+$B$6/2)</f>
        <v/>
      </c>
      <c r="L159" t="inlineStr">
        <is>
          <t>Average endpoints</t>
        </is>
      </c>
      <c r="M159" s="4">
        <f>SUMPRODUCT((E159:G159+E160:G160)/2,$B$17:$D$17)*$B$6</f>
        <v/>
      </c>
      <c r="N159" s="4">
        <f>M159*J159</f>
        <v/>
      </c>
      <c r="O159" s="4">
        <f>SUMPRODUCT((E159:G159+E160:G160)/2,$B$18:$D$18)*$B$6</f>
        <v/>
      </c>
      <c r="P159" s="4">
        <f>O159*J159</f>
        <v/>
      </c>
      <c r="Q159" s="4">
        <f>SUMPRODUCT((E159:G159+E160:G160)/2,$B$19:$D$19)*$B$6</f>
        <v/>
      </c>
      <c r="R159" s="4">
        <f>Q159*J159</f>
        <v/>
      </c>
      <c r="S159" s="4">
        <f>IF(A159=0,SUMPRODUCT((E159:G159+E160:G160)/2,$B$20:$D$20)*$B$6,0)</f>
        <v/>
      </c>
      <c r="T159" s="4">
        <f>S159*J159</f>
        <v/>
      </c>
      <c r="U159" s="4">
        <f>N159+P159+R159+T159</f>
        <v/>
      </c>
      <c r="V159">
        <f>SUMPRODUCT((E159:G159+E160:G160)/2,$B$24:$D$24)*$B$6</f>
        <v/>
      </c>
      <c r="W159" s="5">
        <f>V159*K159</f>
        <v/>
      </c>
      <c r="X159">
        <f>SUMPRODUCT((E159:G159+E160:G160)/2,$B$25:$D$25)*$B$6</f>
        <v/>
      </c>
      <c r="Y159">
        <f>X159*K159</f>
        <v/>
      </c>
    </row>
    <row r="160">
      <c r="A160" t="n">
        <v>131</v>
      </c>
      <c r="B160">
        <f>A160*$B$6</f>
        <v/>
      </c>
      <c r="C160" s="5">
        <f>EXP(-$B$12*B160)</f>
        <v/>
      </c>
      <c r="D160" s="5">
        <f>EXP(-$B$13*B160)</f>
        <v/>
      </c>
      <c r="E160">
        <f>C160</f>
        <v/>
      </c>
      <c r="F160">
        <f>D160-C160</f>
        <v/>
      </c>
      <c r="G160">
        <f>1-D160</f>
        <v/>
      </c>
      <c r="H160">
        <f>SUM(E160:G160)</f>
        <v/>
      </c>
      <c r="I160">
        <f>IF(AND(MIN(C160:D160)&gt;=0,MAX(C160:D160)&lt;=1,MIN(E160:G160)&gt;=-1E-10,ABS(H160-1)&lt;1E-8,C160&lt;=C159+1E-10,D160&lt;=D159+1E-10),"OK","ERROR")</f>
        <v/>
      </c>
      <c r="J160">
        <f>1/(1+$B$4)^(B160+$B$6/2)</f>
        <v/>
      </c>
      <c r="K160">
        <f>1/(1+$B$5)^(B160+$B$6/2)</f>
        <v/>
      </c>
      <c r="L160" t="inlineStr">
        <is>
          <t>Average endpoints</t>
        </is>
      </c>
      <c r="M160" s="4">
        <f>SUMPRODUCT((E160:G160+E161:G161)/2,$B$17:$D$17)*$B$6</f>
        <v/>
      </c>
      <c r="N160" s="4">
        <f>M160*J160</f>
        <v/>
      </c>
      <c r="O160" s="4">
        <f>SUMPRODUCT((E160:G160+E161:G161)/2,$B$18:$D$18)*$B$6</f>
        <v/>
      </c>
      <c r="P160" s="4">
        <f>O160*J160</f>
        <v/>
      </c>
      <c r="Q160" s="4">
        <f>SUMPRODUCT((E160:G160+E161:G161)/2,$B$19:$D$19)*$B$6</f>
        <v/>
      </c>
      <c r="R160" s="4">
        <f>Q160*J160</f>
        <v/>
      </c>
      <c r="S160" s="4">
        <f>IF(A160=0,SUMPRODUCT((E160:G160+E161:G161)/2,$B$20:$D$20)*$B$6,0)</f>
        <v/>
      </c>
      <c r="T160" s="4">
        <f>S160*J160</f>
        <v/>
      </c>
      <c r="U160" s="4">
        <f>N160+P160+R160+T160</f>
        <v/>
      </c>
      <c r="V160">
        <f>SUMPRODUCT((E160:G160+E161:G161)/2,$B$24:$D$24)*$B$6</f>
        <v/>
      </c>
      <c r="W160" s="5">
        <f>V160*K160</f>
        <v/>
      </c>
      <c r="X160">
        <f>SUMPRODUCT((E160:G160+E161:G161)/2,$B$25:$D$25)*$B$6</f>
        <v/>
      </c>
      <c r="Y160">
        <f>X160*K160</f>
        <v/>
      </c>
    </row>
    <row r="161">
      <c r="A161" t="n">
        <v>132</v>
      </c>
      <c r="B161">
        <f>A161*$B$6</f>
        <v/>
      </c>
      <c r="C161" s="5">
        <f>EXP(-$B$12*B161)</f>
        <v/>
      </c>
      <c r="D161" s="5">
        <f>EXP(-$B$13*B161)</f>
        <v/>
      </c>
      <c r="E161">
        <f>C161</f>
        <v/>
      </c>
      <c r="F161">
        <f>D161-C161</f>
        <v/>
      </c>
      <c r="G161">
        <f>1-D161</f>
        <v/>
      </c>
      <c r="H161">
        <f>SUM(E161:G161)</f>
        <v/>
      </c>
      <c r="I161">
        <f>IF(AND(MIN(C161:D161)&gt;=0,MAX(C161:D161)&lt;=1,MIN(E161:G161)&gt;=-1E-10,ABS(H161-1)&lt;1E-8,C161&lt;=C160+1E-10,D161&lt;=D160+1E-10),"OK","ERROR")</f>
        <v/>
      </c>
      <c r="J161">
        <f>1/(1+$B$4)^(B161+$B$6/2)</f>
        <v/>
      </c>
      <c r="K161">
        <f>1/(1+$B$5)^(B161+$B$6/2)</f>
        <v/>
      </c>
      <c r="L161" t="inlineStr">
        <is>
          <t>Average endpoints</t>
        </is>
      </c>
      <c r="M161" s="4">
        <f>SUMPRODUCT((E161:G161+E162:G162)/2,$B$17:$D$17)*$B$6</f>
        <v/>
      </c>
      <c r="N161" s="4">
        <f>M161*J161</f>
        <v/>
      </c>
      <c r="O161" s="4">
        <f>SUMPRODUCT((E161:G161+E162:G162)/2,$B$18:$D$18)*$B$6</f>
        <v/>
      </c>
      <c r="P161" s="4">
        <f>O161*J161</f>
        <v/>
      </c>
      <c r="Q161" s="4">
        <f>SUMPRODUCT((E161:G161+E162:G162)/2,$B$19:$D$19)*$B$6</f>
        <v/>
      </c>
      <c r="R161" s="4">
        <f>Q161*J161</f>
        <v/>
      </c>
      <c r="S161" s="4">
        <f>IF(A161=0,SUMPRODUCT((E161:G161+E162:G162)/2,$B$20:$D$20)*$B$6,0)</f>
        <v/>
      </c>
      <c r="T161" s="4">
        <f>S161*J161</f>
        <v/>
      </c>
      <c r="U161" s="4">
        <f>N161+P161+R161+T161</f>
        <v/>
      </c>
      <c r="V161">
        <f>SUMPRODUCT((E161:G161+E162:G162)/2,$B$24:$D$24)*$B$6</f>
        <v/>
      </c>
      <c r="W161" s="5">
        <f>V161*K161</f>
        <v/>
      </c>
      <c r="X161">
        <f>SUMPRODUCT((E161:G161+E162:G162)/2,$B$25:$D$25)*$B$6</f>
        <v/>
      </c>
      <c r="Y161">
        <f>X161*K161</f>
        <v/>
      </c>
    </row>
    <row r="162">
      <c r="A162" t="n">
        <v>133</v>
      </c>
      <c r="B162">
        <f>A162*$B$6</f>
        <v/>
      </c>
      <c r="C162" s="5">
        <f>EXP(-$B$12*B162)</f>
        <v/>
      </c>
      <c r="D162" s="5">
        <f>EXP(-$B$13*B162)</f>
        <v/>
      </c>
      <c r="E162">
        <f>C162</f>
        <v/>
      </c>
      <c r="F162">
        <f>D162-C162</f>
        <v/>
      </c>
      <c r="G162">
        <f>1-D162</f>
        <v/>
      </c>
      <c r="H162">
        <f>SUM(E162:G162)</f>
        <v/>
      </c>
      <c r="I162">
        <f>IF(AND(MIN(C162:D162)&gt;=0,MAX(C162:D162)&lt;=1,MIN(E162:G162)&gt;=-1E-10,ABS(H162-1)&lt;1E-8,C162&lt;=C161+1E-10,D162&lt;=D161+1E-10),"OK","ERROR")</f>
        <v/>
      </c>
      <c r="J162">
        <f>1/(1+$B$4)^(B162+$B$6/2)</f>
        <v/>
      </c>
      <c r="K162">
        <f>1/(1+$B$5)^(B162+$B$6/2)</f>
        <v/>
      </c>
      <c r="L162" t="inlineStr">
        <is>
          <t>Average endpoints</t>
        </is>
      </c>
      <c r="M162" s="4">
        <f>SUMPRODUCT((E162:G162+E163:G163)/2,$B$17:$D$17)*$B$6</f>
        <v/>
      </c>
      <c r="N162" s="4">
        <f>M162*J162</f>
        <v/>
      </c>
      <c r="O162" s="4">
        <f>SUMPRODUCT((E162:G162+E163:G163)/2,$B$18:$D$18)*$B$6</f>
        <v/>
      </c>
      <c r="P162" s="4">
        <f>O162*J162</f>
        <v/>
      </c>
      <c r="Q162" s="4">
        <f>SUMPRODUCT((E162:G162+E163:G163)/2,$B$19:$D$19)*$B$6</f>
        <v/>
      </c>
      <c r="R162" s="4">
        <f>Q162*J162</f>
        <v/>
      </c>
      <c r="S162" s="4">
        <f>IF(A162=0,SUMPRODUCT((E162:G162+E163:G163)/2,$B$20:$D$20)*$B$6,0)</f>
        <v/>
      </c>
      <c r="T162" s="4">
        <f>S162*J162</f>
        <v/>
      </c>
      <c r="U162" s="4">
        <f>N162+P162+R162+T162</f>
        <v/>
      </c>
      <c r="V162">
        <f>SUMPRODUCT((E162:G162+E163:G163)/2,$B$24:$D$24)*$B$6</f>
        <v/>
      </c>
      <c r="W162" s="5">
        <f>V162*K162</f>
        <v/>
      </c>
      <c r="X162">
        <f>SUMPRODUCT((E162:G162+E163:G163)/2,$B$25:$D$25)*$B$6</f>
        <v/>
      </c>
      <c r="Y162">
        <f>X162*K162</f>
        <v/>
      </c>
    </row>
    <row r="163">
      <c r="A163" t="n">
        <v>134</v>
      </c>
      <c r="B163">
        <f>A163*$B$6</f>
        <v/>
      </c>
      <c r="C163" s="5">
        <f>EXP(-$B$12*B163)</f>
        <v/>
      </c>
      <c r="D163" s="5">
        <f>EXP(-$B$13*B163)</f>
        <v/>
      </c>
      <c r="E163">
        <f>C163</f>
        <v/>
      </c>
      <c r="F163">
        <f>D163-C163</f>
        <v/>
      </c>
      <c r="G163">
        <f>1-D163</f>
        <v/>
      </c>
      <c r="H163">
        <f>SUM(E163:G163)</f>
        <v/>
      </c>
      <c r="I163">
        <f>IF(AND(MIN(C163:D163)&gt;=0,MAX(C163:D163)&lt;=1,MIN(E163:G163)&gt;=-1E-10,ABS(H163-1)&lt;1E-8,C163&lt;=C162+1E-10,D163&lt;=D162+1E-10),"OK","ERROR")</f>
        <v/>
      </c>
      <c r="J163">
        <f>1/(1+$B$4)^(B163+$B$6/2)</f>
        <v/>
      </c>
      <c r="K163">
        <f>1/(1+$B$5)^(B163+$B$6/2)</f>
        <v/>
      </c>
      <c r="L163" t="inlineStr">
        <is>
          <t>Average endpoints</t>
        </is>
      </c>
      <c r="M163" s="4">
        <f>SUMPRODUCT((E163:G163+E164:G164)/2,$B$17:$D$17)*$B$6</f>
        <v/>
      </c>
      <c r="N163" s="4">
        <f>M163*J163</f>
        <v/>
      </c>
      <c r="O163" s="4">
        <f>SUMPRODUCT((E163:G163+E164:G164)/2,$B$18:$D$18)*$B$6</f>
        <v/>
      </c>
      <c r="P163" s="4">
        <f>O163*J163</f>
        <v/>
      </c>
      <c r="Q163" s="4">
        <f>SUMPRODUCT((E163:G163+E164:G164)/2,$B$19:$D$19)*$B$6</f>
        <v/>
      </c>
      <c r="R163" s="4">
        <f>Q163*J163</f>
        <v/>
      </c>
      <c r="S163" s="4">
        <f>IF(A163=0,SUMPRODUCT((E163:G163+E164:G164)/2,$B$20:$D$20)*$B$6,0)</f>
        <v/>
      </c>
      <c r="T163" s="4">
        <f>S163*J163</f>
        <v/>
      </c>
      <c r="U163" s="4">
        <f>N163+P163+R163+T163</f>
        <v/>
      </c>
      <c r="V163">
        <f>SUMPRODUCT((E163:G163+E164:G164)/2,$B$24:$D$24)*$B$6</f>
        <v/>
      </c>
      <c r="W163" s="5">
        <f>V163*K163</f>
        <v/>
      </c>
      <c r="X163">
        <f>SUMPRODUCT((E163:G163+E164:G164)/2,$B$25:$D$25)*$B$6</f>
        <v/>
      </c>
      <c r="Y163">
        <f>X163*K163</f>
        <v/>
      </c>
    </row>
    <row r="164">
      <c r="A164" t="n">
        <v>135</v>
      </c>
      <c r="B164">
        <f>A164*$B$6</f>
        <v/>
      </c>
      <c r="C164" s="5">
        <f>EXP(-$B$12*B164)</f>
        <v/>
      </c>
      <c r="D164" s="5">
        <f>EXP(-$B$13*B164)</f>
        <v/>
      </c>
      <c r="E164">
        <f>C164</f>
        <v/>
      </c>
      <c r="F164">
        <f>D164-C164</f>
        <v/>
      </c>
      <c r="G164">
        <f>1-D164</f>
        <v/>
      </c>
      <c r="H164">
        <f>SUM(E164:G164)</f>
        <v/>
      </c>
      <c r="I164">
        <f>IF(AND(MIN(C164:D164)&gt;=0,MAX(C164:D164)&lt;=1,MIN(E164:G164)&gt;=-1E-10,ABS(H164-1)&lt;1E-8,C164&lt;=C163+1E-10,D164&lt;=D163+1E-10),"OK","ERROR")</f>
        <v/>
      </c>
      <c r="J164">
        <f>1/(1+$B$4)^(B164+$B$6/2)</f>
        <v/>
      </c>
      <c r="K164">
        <f>1/(1+$B$5)^(B164+$B$6/2)</f>
        <v/>
      </c>
      <c r="L164" t="inlineStr">
        <is>
          <t>Average endpoints</t>
        </is>
      </c>
      <c r="M164" s="4">
        <f>SUMPRODUCT((E164:G164+E165:G165)/2,$B$17:$D$17)*$B$6</f>
        <v/>
      </c>
      <c r="N164" s="4">
        <f>M164*J164</f>
        <v/>
      </c>
      <c r="O164" s="4">
        <f>SUMPRODUCT((E164:G164+E165:G165)/2,$B$18:$D$18)*$B$6</f>
        <v/>
      </c>
      <c r="P164" s="4">
        <f>O164*J164</f>
        <v/>
      </c>
      <c r="Q164" s="4">
        <f>SUMPRODUCT((E164:G164+E165:G165)/2,$B$19:$D$19)*$B$6</f>
        <v/>
      </c>
      <c r="R164" s="4">
        <f>Q164*J164</f>
        <v/>
      </c>
      <c r="S164" s="4">
        <f>IF(A164=0,SUMPRODUCT((E164:G164+E165:G165)/2,$B$20:$D$20)*$B$6,0)</f>
        <v/>
      </c>
      <c r="T164" s="4">
        <f>S164*J164</f>
        <v/>
      </c>
      <c r="U164" s="4">
        <f>N164+P164+R164+T164</f>
        <v/>
      </c>
      <c r="V164">
        <f>SUMPRODUCT((E164:G164+E165:G165)/2,$B$24:$D$24)*$B$6</f>
        <v/>
      </c>
      <c r="W164" s="5">
        <f>V164*K164</f>
        <v/>
      </c>
      <c r="X164">
        <f>SUMPRODUCT((E164:G164+E165:G165)/2,$B$25:$D$25)*$B$6</f>
        <v/>
      </c>
      <c r="Y164">
        <f>X164*K164</f>
        <v/>
      </c>
    </row>
    <row r="165">
      <c r="A165" t="n">
        <v>136</v>
      </c>
      <c r="B165">
        <f>A165*$B$6</f>
        <v/>
      </c>
      <c r="C165" s="5">
        <f>EXP(-$B$12*B165)</f>
        <v/>
      </c>
      <c r="D165" s="5">
        <f>EXP(-$B$13*B165)</f>
        <v/>
      </c>
      <c r="E165">
        <f>C165</f>
        <v/>
      </c>
      <c r="F165">
        <f>D165-C165</f>
        <v/>
      </c>
      <c r="G165">
        <f>1-D165</f>
        <v/>
      </c>
      <c r="H165">
        <f>SUM(E165:G165)</f>
        <v/>
      </c>
      <c r="I165">
        <f>IF(AND(MIN(C165:D165)&gt;=0,MAX(C165:D165)&lt;=1,MIN(E165:G165)&gt;=-1E-10,ABS(H165-1)&lt;1E-8,C165&lt;=C164+1E-10,D165&lt;=D164+1E-10),"OK","ERROR")</f>
        <v/>
      </c>
      <c r="J165">
        <f>1/(1+$B$4)^(B165+$B$6/2)</f>
        <v/>
      </c>
      <c r="K165">
        <f>1/(1+$B$5)^(B165+$B$6/2)</f>
        <v/>
      </c>
      <c r="L165" t="inlineStr">
        <is>
          <t>Average endpoints</t>
        </is>
      </c>
      <c r="M165" s="4">
        <f>SUMPRODUCT((E165:G165+E166:G166)/2,$B$17:$D$17)*$B$6</f>
        <v/>
      </c>
      <c r="N165" s="4">
        <f>M165*J165</f>
        <v/>
      </c>
      <c r="O165" s="4">
        <f>SUMPRODUCT((E165:G165+E166:G166)/2,$B$18:$D$18)*$B$6</f>
        <v/>
      </c>
      <c r="P165" s="4">
        <f>O165*J165</f>
        <v/>
      </c>
      <c r="Q165" s="4">
        <f>SUMPRODUCT((E165:G165+E166:G166)/2,$B$19:$D$19)*$B$6</f>
        <v/>
      </c>
      <c r="R165" s="4">
        <f>Q165*J165</f>
        <v/>
      </c>
      <c r="S165" s="4">
        <f>IF(A165=0,SUMPRODUCT((E165:G165+E166:G166)/2,$B$20:$D$20)*$B$6,0)</f>
        <v/>
      </c>
      <c r="T165" s="4">
        <f>S165*J165</f>
        <v/>
      </c>
      <c r="U165" s="4">
        <f>N165+P165+R165+T165</f>
        <v/>
      </c>
      <c r="V165">
        <f>SUMPRODUCT((E165:G165+E166:G166)/2,$B$24:$D$24)*$B$6</f>
        <v/>
      </c>
      <c r="W165" s="5">
        <f>V165*K165</f>
        <v/>
      </c>
      <c r="X165">
        <f>SUMPRODUCT((E165:G165+E166:G166)/2,$B$25:$D$25)*$B$6</f>
        <v/>
      </c>
      <c r="Y165">
        <f>X165*K165</f>
        <v/>
      </c>
    </row>
    <row r="166">
      <c r="A166" t="n">
        <v>137</v>
      </c>
      <c r="B166">
        <f>A166*$B$6</f>
        <v/>
      </c>
      <c r="C166" s="5">
        <f>EXP(-$B$12*B166)</f>
        <v/>
      </c>
      <c r="D166" s="5">
        <f>EXP(-$B$13*B166)</f>
        <v/>
      </c>
      <c r="E166">
        <f>C166</f>
        <v/>
      </c>
      <c r="F166">
        <f>D166-C166</f>
        <v/>
      </c>
      <c r="G166">
        <f>1-D166</f>
        <v/>
      </c>
      <c r="H166">
        <f>SUM(E166:G166)</f>
        <v/>
      </c>
      <c r="I166">
        <f>IF(AND(MIN(C166:D166)&gt;=0,MAX(C166:D166)&lt;=1,MIN(E166:G166)&gt;=-1E-10,ABS(H166-1)&lt;1E-8,C166&lt;=C165+1E-10,D166&lt;=D165+1E-10),"OK","ERROR")</f>
        <v/>
      </c>
      <c r="J166">
        <f>1/(1+$B$4)^(B166+$B$6/2)</f>
        <v/>
      </c>
      <c r="K166">
        <f>1/(1+$B$5)^(B166+$B$6/2)</f>
        <v/>
      </c>
      <c r="L166" t="inlineStr">
        <is>
          <t>Average endpoints</t>
        </is>
      </c>
      <c r="M166" s="4">
        <f>SUMPRODUCT((E166:G166+E167:G167)/2,$B$17:$D$17)*$B$6</f>
        <v/>
      </c>
      <c r="N166" s="4">
        <f>M166*J166</f>
        <v/>
      </c>
      <c r="O166" s="4">
        <f>SUMPRODUCT((E166:G166+E167:G167)/2,$B$18:$D$18)*$B$6</f>
        <v/>
      </c>
      <c r="P166" s="4">
        <f>O166*J166</f>
        <v/>
      </c>
      <c r="Q166" s="4">
        <f>SUMPRODUCT((E166:G166+E167:G167)/2,$B$19:$D$19)*$B$6</f>
        <v/>
      </c>
      <c r="R166" s="4">
        <f>Q166*J166</f>
        <v/>
      </c>
      <c r="S166" s="4">
        <f>IF(A166=0,SUMPRODUCT((E166:G166+E167:G167)/2,$B$20:$D$20)*$B$6,0)</f>
        <v/>
      </c>
      <c r="T166" s="4">
        <f>S166*J166</f>
        <v/>
      </c>
      <c r="U166" s="4">
        <f>N166+P166+R166+T166</f>
        <v/>
      </c>
      <c r="V166">
        <f>SUMPRODUCT((E166:G166+E167:G167)/2,$B$24:$D$24)*$B$6</f>
        <v/>
      </c>
      <c r="W166" s="5">
        <f>V166*K166</f>
        <v/>
      </c>
      <c r="X166">
        <f>SUMPRODUCT((E166:G166+E167:G167)/2,$B$25:$D$25)*$B$6</f>
        <v/>
      </c>
      <c r="Y166">
        <f>X166*K166</f>
        <v/>
      </c>
    </row>
    <row r="167">
      <c r="A167" t="n">
        <v>138</v>
      </c>
      <c r="B167">
        <f>A167*$B$6</f>
        <v/>
      </c>
      <c r="C167" s="5">
        <f>EXP(-$B$12*B167)</f>
        <v/>
      </c>
      <c r="D167" s="5">
        <f>EXP(-$B$13*B167)</f>
        <v/>
      </c>
      <c r="E167">
        <f>C167</f>
        <v/>
      </c>
      <c r="F167">
        <f>D167-C167</f>
        <v/>
      </c>
      <c r="G167">
        <f>1-D167</f>
        <v/>
      </c>
      <c r="H167">
        <f>SUM(E167:G167)</f>
        <v/>
      </c>
      <c r="I167">
        <f>IF(AND(MIN(C167:D167)&gt;=0,MAX(C167:D167)&lt;=1,MIN(E167:G167)&gt;=-1E-10,ABS(H167-1)&lt;1E-8,C167&lt;=C166+1E-10,D167&lt;=D166+1E-10),"OK","ERROR")</f>
        <v/>
      </c>
      <c r="J167">
        <f>1/(1+$B$4)^(B167+$B$6/2)</f>
        <v/>
      </c>
      <c r="K167">
        <f>1/(1+$B$5)^(B167+$B$6/2)</f>
        <v/>
      </c>
      <c r="L167" t="inlineStr">
        <is>
          <t>Average endpoints</t>
        </is>
      </c>
      <c r="M167" s="4">
        <f>SUMPRODUCT((E167:G167+E168:G168)/2,$B$17:$D$17)*$B$6</f>
        <v/>
      </c>
      <c r="N167" s="4">
        <f>M167*J167</f>
        <v/>
      </c>
      <c r="O167" s="4">
        <f>SUMPRODUCT((E167:G167+E168:G168)/2,$B$18:$D$18)*$B$6</f>
        <v/>
      </c>
      <c r="P167" s="4">
        <f>O167*J167</f>
        <v/>
      </c>
      <c r="Q167" s="4">
        <f>SUMPRODUCT((E167:G167+E168:G168)/2,$B$19:$D$19)*$B$6</f>
        <v/>
      </c>
      <c r="R167" s="4">
        <f>Q167*J167</f>
        <v/>
      </c>
      <c r="S167" s="4">
        <f>IF(A167=0,SUMPRODUCT((E167:G167+E168:G168)/2,$B$20:$D$20)*$B$6,0)</f>
        <v/>
      </c>
      <c r="T167" s="4">
        <f>S167*J167</f>
        <v/>
      </c>
      <c r="U167" s="4">
        <f>N167+P167+R167+T167</f>
        <v/>
      </c>
      <c r="V167">
        <f>SUMPRODUCT((E167:G167+E168:G168)/2,$B$24:$D$24)*$B$6</f>
        <v/>
      </c>
      <c r="W167" s="5">
        <f>V167*K167</f>
        <v/>
      </c>
      <c r="X167">
        <f>SUMPRODUCT((E167:G167+E168:G168)/2,$B$25:$D$25)*$B$6</f>
        <v/>
      </c>
      <c r="Y167">
        <f>X167*K167</f>
        <v/>
      </c>
    </row>
    <row r="168">
      <c r="A168" t="n">
        <v>139</v>
      </c>
      <c r="B168">
        <f>A168*$B$6</f>
        <v/>
      </c>
      <c r="C168" s="5">
        <f>EXP(-$B$12*B168)</f>
        <v/>
      </c>
      <c r="D168" s="5">
        <f>EXP(-$B$13*B168)</f>
        <v/>
      </c>
      <c r="E168">
        <f>C168</f>
        <v/>
      </c>
      <c r="F168">
        <f>D168-C168</f>
        <v/>
      </c>
      <c r="G168">
        <f>1-D168</f>
        <v/>
      </c>
      <c r="H168">
        <f>SUM(E168:G168)</f>
        <v/>
      </c>
      <c r="I168">
        <f>IF(AND(MIN(C168:D168)&gt;=0,MAX(C168:D168)&lt;=1,MIN(E168:G168)&gt;=-1E-10,ABS(H168-1)&lt;1E-8,C168&lt;=C167+1E-10,D168&lt;=D167+1E-10),"OK","ERROR")</f>
        <v/>
      </c>
      <c r="J168">
        <f>1/(1+$B$4)^(B168+$B$6/2)</f>
        <v/>
      </c>
      <c r="K168">
        <f>1/(1+$B$5)^(B168+$B$6/2)</f>
        <v/>
      </c>
      <c r="L168" t="inlineStr">
        <is>
          <t>Average endpoints</t>
        </is>
      </c>
      <c r="M168" s="4">
        <f>SUMPRODUCT((E168:G168+E169:G169)/2,$B$17:$D$17)*$B$6</f>
        <v/>
      </c>
      <c r="N168" s="4">
        <f>M168*J168</f>
        <v/>
      </c>
      <c r="O168" s="4">
        <f>SUMPRODUCT((E168:G168+E169:G169)/2,$B$18:$D$18)*$B$6</f>
        <v/>
      </c>
      <c r="P168" s="4">
        <f>O168*J168</f>
        <v/>
      </c>
      <c r="Q168" s="4">
        <f>SUMPRODUCT((E168:G168+E169:G169)/2,$B$19:$D$19)*$B$6</f>
        <v/>
      </c>
      <c r="R168" s="4">
        <f>Q168*J168</f>
        <v/>
      </c>
      <c r="S168" s="4">
        <f>IF(A168=0,SUMPRODUCT((E168:G168+E169:G169)/2,$B$20:$D$20)*$B$6,0)</f>
        <v/>
      </c>
      <c r="T168" s="4">
        <f>S168*J168</f>
        <v/>
      </c>
      <c r="U168" s="4">
        <f>N168+P168+R168+T168</f>
        <v/>
      </c>
      <c r="V168">
        <f>SUMPRODUCT((E168:G168+E169:G169)/2,$B$24:$D$24)*$B$6</f>
        <v/>
      </c>
      <c r="W168" s="5">
        <f>V168*K168</f>
        <v/>
      </c>
      <c r="X168">
        <f>SUMPRODUCT((E168:G168+E169:G169)/2,$B$25:$D$25)*$B$6</f>
        <v/>
      </c>
      <c r="Y168">
        <f>X168*K168</f>
        <v/>
      </c>
    </row>
    <row r="169">
      <c r="A169" t="n">
        <v>140</v>
      </c>
      <c r="B169">
        <f>A169*$B$6</f>
        <v/>
      </c>
      <c r="C169" s="5">
        <f>EXP(-$B$12*B169)</f>
        <v/>
      </c>
      <c r="D169" s="5">
        <f>EXP(-$B$13*B169)</f>
        <v/>
      </c>
      <c r="E169">
        <f>C169</f>
        <v/>
      </c>
      <c r="F169">
        <f>D169-C169</f>
        <v/>
      </c>
      <c r="G169">
        <f>1-D169</f>
        <v/>
      </c>
      <c r="H169">
        <f>SUM(E169:G169)</f>
        <v/>
      </c>
      <c r="I169">
        <f>IF(AND(MIN(C169:D169)&gt;=0,MAX(C169:D169)&lt;=1,MIN(E169:G169)&gt;=-1E-10,ABS(H169-1)&lt;1E-8,C169&lt;=C168+1E-10,D169&lt;=D168+1E-10),"OK","ERROR")</f>
        <v/>
      </c>
      <c r="J169">
        <f>1/(1+$B$4)^(B169+$B$6/2)</f>
        <v/>
      </c>
      <c r="K169">
        <f>1/(1+$B$5)^(B169+$B$6/2)</f>
        <v/>
      </c>
      <c r="L169" t="inlineStr">
        <is>
          <t>Average endpoints</t>
        </is>
      </c>
      <c r="M169" s="4">
        <f>SUMPRODUCT((E169:G169+E170:G170)/2,$B$17:$D$17)*$B$6</f>
        <v/>
      </c>
      <c r="N169" s="4">
        <f>M169*J169</f>
        <v/>
      </c>
      <c r="O169" s="4">
        <f>SUMPRODUCT((E169:G169+E170:G170)/2,$B$18:$D$18)*$B$6</f>
        <v/>
      </c>
      <c r="P169" s="4">
        <f>O169*J169</f>
        <v/>
      </c>
      <c r="Q169" s="4">
        <f>SUMPRODUCT((E169:G169+E170:G170)/2,$B$19:$D$19)*$B$6</f>
        <v/>
      </c>
      <c r="R169" s="4">
        <f>Q169*J169</f>
        <v/>
      </c>
      <c r="S169" s="4">
        <f>IF(A169=0,SUMPRODUCT((E169:G169+E170:G170)/2,$B$20:$D$20)*$B$6,0)</f>
        <v/>
      </c>
      <c r="T169" s="4">
        <f>S169*J169</f>
        <v/>
      </c>
      <c r="U169" s="4">
        <f>N169+P169+R169+T169</f>
        <v/>
      </c>
      <c r="V169">
        <f>SUMPRODUCT((E169:G169+E170:G170)/2,$B$24:$D$24)*$B$6</f>
        <v/>
      </c>
      <c r="W169" s="5">
        <f>V169*K169</f>
        <v/>
      </c>
      <c r="X169">
        <f>SUMPRODUCT((E169:G169+E170:G170)/2,$B$25:$D$25)*$B$6</f>
        <v/>
      </c>
      <c r="Y169">
        <f>X169*K169</f>
        <v/>
      </c>
    </row>
    <row r="170">
      <c r="A170" t="n">
        <v>141</v>
      </c>
      <c r="B170">
        <f>A170*$B$6</f>
        <v/>
      </c>
      <c r="C170" s="5">
        <f>EXP(-$B$12*B170)</f>
        <v/>
      </c>
      <c r="D170" s="5">
        <f>EXP(-$B$13*B170)</f>
        <v/>
      </c>
      <c r="E170">
        <f>C170</f>
        <v/>
      </c>
      <c r="F170">
        <f>D170-C170</f>
        <v/>
      </c>
      <c r="G170">
        <f>1-D170</f>
        <v/>
      </c>
      <c r="H170">
        <f>SUM(E170:G170)</f>
        <v/>
      </c>
      <c r="I170">
        <f>IF(AND(MIN(C170:D170)&gt;=0,MAX(C170:D170)&lt;=1,MIN(E170:G170)&gt;=-1E-10,ABS(H170-1)&lt;1E-8,C170&lt;=C169+1E-10,D170&lt;=D169+1E-10),"OK","ERROR")</f>
        <v/>
      </c>
      <c r="J170">
        <f>1/(1+$B$4)^(B170+$B$6/2)</f>
        <v/>
      </c>
      <c r="K170">
        <f>1/(1+$B$5)^(B170+$B$6/2)</f>
        <v/>
      </c>
      <c r="L170" t="inlineStr">
        <is>
          <t>Average endpoints</t>
        </is>
      </c>
      <c r="M170" s="4">
        <f>SUMPRODUCT((E170:G170+E171:G171)/2,$B$17:$D$17)*$B$6</f>
        <v/>
      </c>
      <c r="N170" s="4">
        <f>M170*J170</f>
        <v/>
      </c>
      <c r="O170" s="4">
        <f>SUMPRODUCT((E170:G170+E171:G171)/2,$B$18:$D$18)*$B$6</f>
        <v/>
      </c>
      <c r="P170" s="4">
        <f>O170*J170</f>
        <v/>
      </c>
      <c r="Q170" s="4">
        <f>SUMPRODUCT((E170:G170+E171:G171)/2,$B$19:$D$19)*$B$6</f>
        <v/>
      </c>
      <c r="R170" s="4">
        <f>Q170*J170</f>
        <v/>
      </c>
      <c r="S170" s="4">
        <f>IF(A170=0,SUMPRODUCT((E170:G170+E171:G171)/2,$B$20:$D$20)*$B$6,0)</f>
        <v/>
      </c>
      <c r="T170" s="4">
        <f>S170*J170</f>
        <v/>
      </c>
      <c r="U170" s="4">
        <f>N170+P170+R170+T170</f>
        <v/>
      </c>
      <c r="V170">
        <f>SUMPRODUCT((E170:G170+E171:G171)/2,$B$24:$D$24)*$B$6</f>
        <v/>
      </c>
      <c r="W170" s="5">
        <f>V170*K170</f>
        <v/>
      </c>
      <c r="X170">
        <f>SUMPRODUCT((E170:G170+E171:G171)/2,$B$25:$D$25)*$B$6</f>
        <v/>
      </c>
      <c r="Y170">
        <f>X170*K170</f>
        <v/>
      </c>
    </row>
    <row r="171">
      <c r="A171" t="n">
        <v>142</v>
      </c>
      <c r="B171">
        <f>A171*$B$6</f>
        <v/>
      </c>
      <c r="C171" s="5">
        <f>EXP(-$B$12*B171)</f>
        <v/>
      </c>
      <c r="D171" s="5">
        <f>EXP(-$B$13*B171)</f>
        <v/>
      </c>
      <c r="E171">
        <f>C171</f>
        <v/>
      </c>
      <c r="F171">
        <f>D171-C171</f>
        <v/>
      </c>
      <c r="G171">
        <f>1-D171</f>
        <v/>
      </c>
      <c r="H171">
        <f>SUM(E171:G171)</f>
        <v/>
      </c>
      <c r="I171">
        <f>IF(AND(MIN(C171:D171)&gt;=0,MAX(C171:D171)&lt;=1,MIN(E171:G171)&gt;=-1E-10,ABS(H171-1)&lt;1E-8,C171&lt;=C170+1E-10,D171&lt;=D170+1E-10),"OK","ERROR")</f>
        <v/>
      </c>
      <c r="J171">
        <f>1/(1+$B$4)^(B171+$B$6/2)</f>
        <v/>
      </c>
      <c r="K171">
        <f>1/(1+$B$5)^(B171+$B$6/2)</f>
        <v/>
      </c>
      <c r="L171" t="inlineStr">
        <is>
          <t>Average endpoints</t>
        </is>
      </c>
      <c r="M171" s="4">
        <f>SUMPRODUCT((E171:G171+E172:G172)/2,$B$17:$D$17)*$B$6</f>
        <v/>
      </c>
      <c r="N171" s="4">
        <f>M171*J171</f>
        <v/>
      </c>
      <c r="O171" s="4">
        <f>SUMPRODUCT((E171:G171+E172:G172)/2,$B$18:$D$18)*$B$6</f>
        <v/>
      </c>
      <c r="P171" s="4">
        <f>O171*J171</f>
        <v/>
      </c>
      <c r="Q171" s="4">
        <f>SUMPRODUCT((E171:G171+E172:G172)/2,$B$19:$D$19)*$B$6</f>
        <v/>
      </c>
      <c r="R171" s="4">
        <f>Q171*J171</f>
        <v/>
      </c>
      <c r="S171" s="4">
        <f>IF(A171=0,SUMPRODUCT((E171:G171+E172:G172)/2,$B$20:$D$20)*$B$6,0)</f>
        <v/>
      </c>
      <c r="T171" s="4">
        <f>S171*J171</f>
        <v/>
      </c>
      <c r="U171" s="4">
        <f>N171+P171+R171+T171</f>
        <v/>
      </c>
      <c r="V171">
        <f>SUMPRODUCT((E171:G171+E172:G172)/2,$B$24:$D$24)*$B$6</f>
        <v/>
      </c>
      <c r="W171" s="5">
        <f>V171*K171</f>
        <v/>
      </c>
      <c r="X171">
        <f>SUMPRODUCT((E171:G171+E172:G172)/2,$B$25:$D$25)*$B$6</f>
        <v/>
      </c>
      <c r="Y171">
        <f>X171*K171</f>
        <v/>
      </c>
    </row>
    <row r="172">
      <c r="A172" t="n">
        <v>143</v>
      </c>
      <c r="B172">
        <f>A172*$B$6</f>
        <v/>
      </c>
      <c r="C172" s="5">
        <f>EXP(-$B$12*B172)</f>
        <v/>
      </c>
      <c r="D172" s="5">
        <f>EXP(-$B$13*B172)</f>
        <v/>
      </c>
      <c r="E172">
        <f>C172</f>
        <v/>
      </c>
      <c r="F172">
        <f>D172-C172</f>
        <v/>
      </c>
      <c r="G172">
        <f>1-D172</f>
        <v/>
      </c>
      <c r="H172">
        <f>SUM(E172:G172)</f>
        <v/>
      </c>
      <c r="I172">
        <f>IF(AND(MIN(C172:D172)&gt;=0,MAX(C172:D172)&lt;=1,MIN(E172:G172)&gt;=-1E-10,ABS(H172-1)&lt;1E-8,C172&lt;=C171+1E-10,D172&lt;=D171+1E-10),"OK","ERROR")</f>
        <v/>
      </c>
      <c r="J172">
        <f>1/(1+$B$4)^(B172+$B$6/2)</f>
        <v/>
      </c>
      <c r="K172">
        <f>1/(1+$B$5)^(B172+$B$6/2)</f>
        <v/>
      </c>
      <c r="L172" t="inlineStr">
        <is>
          <t>Average endpoints</t>
        </is>
      </c>
      <c r="M172" s="4">
        <f>SUMPRODUCT((E172:G172+E173:G173)/2,$B$17:$D$17)*$B$6</f>
        <v/>
      </c>
      <c r="N172" s="4">
        <f>M172*J172</f>
        <v/>
      </c>
      <c r="O172" s="4">
        <f>SUMPRODUCT((E172:G172+E173:G173)/2,$B$18:$D$18)*$B$6</f>
        <v/>
      </c>
      <c r="P172" s="4">
        <f>O172*J172</f>
        <v/>
      </c>
      <c r="Q172" s="4">
        <f>SUMPRODUCT((E172:G172+E173:G173)/2,$B$19:$D$19)*$B$6</f>
        <v/>
      </c>
      <c r="R172" s="4">
        <f>Q172*J172</f>
        <v/>
      </c>
      <c r="S172" s="4">
        <f>IF(A172=0,SUMPRODUCT((E172:G172+E173:G173)/2,$B$20:$D$20)*$B$6,0)</f>
        <v/>
      </c>
      <c r="T172" s="4">
        <f>S172*J172</f>
        <v/>
      </c>
      <c r="U172" s="4">
        <f>N172+P172+R172+T172</f>
        <v/>
      </c>
      <c r="V172">
        <f>SUMPRODUCT((E172:G172+E173:G173)/2,$B$24:$D$24)*$B$6</f>
        <v/>
      </c>
      <c r="W172" s="5">
        <f>V172*K172</f>
        <v/>
      </c>
      <c r="X172">
        <f>SUMPRODUCT((E172:G172+E173:G173)/2,$B$25:$D$25)*$B$6</f>
        <v/>
      </c>
      <c r="Y172">
        <f>X172*K172</f>
        <v/>
      </c>
    </row>
    <row r="173">
      <c r="A173" t="n">
        <v>144</v>
      </c>
      <c r="B173">
        <f>A173*$B$6</f>
        <v/>
      </c>
      <c r="C173" s="5">
        <f>EXP(-$B$12*B173)</f>
        <v/>
      </c>
      <c r="D173" s="5">
        <f>EXP(-$B$13*B173)</f>
        <v/>
      </c>
      <c r="E173">
        <f>C173</f>
        <v/>
      </c>
      <c r="F173">
        <f>D173-C173</f>
        <v/>
      </c>
      <c r="G173">
        <f>1-D173</f>
        <v/>
      </c>
      <c r="H173">
        <f>SUM(E173:G173)</f>
        <v/>
      </c>
      <c r="I173">
        <f>IF(AND(MIN(C173:D173)&gt;=0,MAX(C173:D173)&lt;=1,MIN(E173:G173)&gt;=-1E-10,ABS(H173-1)&lt;1E-8,C173&lt;=C172+1E-10,D173&lt;=D172+1E-10),"OK","ERROR")</f>
        <v/>
      </c>
      <c r="J173">
        <f>1/(1+$B$4)^(B173+$B$6/2)</f>
        <v/>
      </c>
      <c r="K173">
        <f>1/(1+$B$5)^(B173+$B$6/2)</f>
        <v/>
      </c>
      <c r="L173" t="inlineStr">
        <is>
          <t>Average endpoints</t>
        </is>
      </c>
      <c r="M173" s="4">
        <f>SUMPRODUCT((E173:G173+E174:G174)/2,$B$17:$D$17)*$B$6</f>
        <v/>
      </c>
      <c r="N173" s="4">
        <f>M173*J173</f>
        <v/>
      </c>
      <c r="O173" s="4">
        <f>SUMPRODUCT((E173:G173+E174:G174)/2,$B$18:$D$18)*$B$6</f>
        <v/>
      </c>
      <c r="P173" s="4">
        <f>O173*J173</f>
        <v/>
      </c>
      <c r="Q173" s="4">
        <f>SUMPRODUCT((E173:G173+E174:G174)/2,$B$19:$D$19)*$B$6</f>
        <v/>
      </c>
      <c r="R173" s="4">
        <f>Q173*J173</f>
        <v/>
      </c>
      <c r="S173" s="4">
        <f>IF(A173=0,SUMPRODUCT((E173:G173+E174:G174)/2,$B$20:$D$20)*$B$6,0)</f>
        <v/>
      </c>
      <c r="T173" s="4">
        <f>S173*J173</f>
        <v/>
      </c>
      <c r="U173" s="4">
        <f>N173+P173+R173+T173</f>
        <v/>
      </c>
      <c r="V173">
        <f>SUMPRODUCT((E173:G173+E174:G174)/2,$B$24:$D$24)*$B$6</f>
        <v/>
      </c>
      <c r="W173" s="5">
        <f>V173*K173</f>
        <v/>
      </c>
      <c r="X173">
        <f>SUMPRODUCT((E173:G173+E174:G174)/2,$B$25:$D$25)*$B$6</f>
        <v/>
      </c>
      <c r="Y173">
        <f>X173*K173</f>
        <v/>
      </c>
    </row>
    <row r="174">
      <c r="A174" t="n">
        <v>145</v>
      </c>
      <c r="B174">
        <f>A174*$B$6</f>
        <v/>
      </c>
      <c r="C174" s="5">
        <f>EXP(-$B$12*B174)</f>
        <v/>
      </c>
      <c r="D174" s="5">
        <f>EXP(-$B$13*B174)</f>
        <v/>
      </c>
      <c r="E174">
        <f>C174</f>
        <v/>
      </c>
      <c r="F174">
        <f>D174-C174</f>
        <v/>
      </c>
      <c r="G174">
        <f>1-D174</f>
        <v/>
      </c>
      <c r="H174">
        <f>SUM(E174:G174)</f>
        <v/>
      </c>
      <c r="I174">
        <f>IF(AND(MIN(C174:D174)&gt;=0,MAX(C174:D174)&lt;=1,MIN(E174:G174)&gt;=-1E-10,ABS(H174-1)&lt;1E-8,C174&lt;=C173+1E-10,D174&lt;=D173+1E-10),"OK","ERROR")</f>
        <v/>
      </c>
      <c r="J174">
        <f>1/(1+$B$4)^(B174+$B$6/2)</f>
        <v/>
      </c>
      <c r="K174">
        <f>1/(1+$B$5)^(B174+$B$6/2)</f>
        <v/>
      </c>
      <c r="L174" t="inlineStr">
        <is>
          <t>Average endpoints</t>
        </is>
      </c>
      <c r="M174" s="4">
        <f>SUMPRODUCT((E174:G174+E175:G175)/2,$B$17:$D$17)*$B$6</f>
        <v/>
      </c>
      <c r="N174" s="4">
        <f>M174*J174</f>
        <v/>
      </c>
      <c r="O174" s="4">
        <f>SUMPRODUCT((E174:G174+E175:G175)/2,$B$18:$D$18)*$B$6</f>
        <v/>
      </c>
      <c r="P174" s="4">
        <f>O174*J174</f>
        <v/>
      </c>
      <c r="Q174" s="4">
        <f>SUMPRODUCT((E174:G174+E175:G175)/2,$B$19:$D$19)*$B$6</f>
        <v/>
      </c>
      <c r="R174" s="4">
        <f>Q174*J174</f>
        <v/>
      </c>
      <c r="S174" s="4">
        <f>IF(A174=0,SUMPRODUCT((E174:G174+E175:G175)/2,$B$20:$D$20)*$B$6,0)</f>
        <v/>
      </c>
      <c r="T174" s="4">
        <f>S174*J174</f>
        <v/>
      </c>
      <c r="U174" s="4">
        <f>N174+P174+R174+T174</f>
        <v/>
      </c>
      <c r="V174">
        <f>SUMPRODUCT((E174:G174+E175:G175)/2,$B$24:$D$24)*$B$6</f>
        <v/>
      </c>
      <c r="W174" s="5">
        <f>V174*K174</f>
        <v/>
      </c>
      <c r="X174">
        <f>SUMPRODUCT((E174:G174+E175:G175)/2,$B$25:$D$25)*$B$6</f>
        <v/>
      </c>
      <c r="Y174">
        <f>X174*K174</f>
        <v/>
      </c>
    </row>
    <row r="175">
      <c r="A175" t="n">
        <v>146</v>
      </c>
      <c r="B175">
        <f>A175*$B$6</f>
        <v/>
      </c>
      <c r="C175" s="5">
        <f>EXP(-$B$12*B175)</f>
        <v/>
      </c>
      <c r="D175" s="5">
        <f>EXP(-$B$13*B175)</f>
        <v/>
      </c>
      <c r="E175">
        <f>C175</f>
        <v/>
      </c>
      <c r="F175">
        <f>D175-C175</f>
        <v/>
      </c>
      <c r="G175">
        <f>1-D175</f>
        <v/>
      </c>
      <c r="H175">
        <f>SUM(E175:G175)</f>
        <v/>
      </c>
      <c r="I175">
        <f>IF(AND(MIN(C175:D175)&gt;=0,MAX(C175:D175)&lt;=1,MIN(E175:G175)&gt;=-1E-10,ABS(H175-1)&lt;1E-8,C175&lt;=C174+1E-10,D175&lt;=D174+1E-10),"OK","ERROR")</f>
        <v/>
      </c>
      <c r="J175">
        <f>1/(1+$B$4)^(B175+$B$6/2)</f>
        <v/>
      </c>
      <c r="K175">
        <f>1/(1+$B$5)^(B175+$B$6/2)</f>
        <v/>
      </c>
      <c r="L175" t="inlineStr">
        <is>
          <t>Average endpoints</t>
        </is>
      </c>
      <c r="M175" s="4">
        <f>SUMPRODUCT((E175:G175+E176:G176)/2,$B$17:$D$17)*$B$6</f>
        <v/>
      </c>
      <c r="N175" s="4">
        <f>M175*J175</f>
        <v/>
      </c>
      <c r="O175" s="4">
        <f>SUMPRODUCT((E175:G175+E176:G176)/2,$B$18:$D$18)*$B$6</f>
        <v/>
      </c>
      <c r="P175" s="4">
        <f>O175*J175</f>
        <v/>
      </c>
      <c r="Q175" s="4">
        <f>SUMPRODUCT((E175:G175+E176:G176)/2,$B$19:$D$19)*$B$6</f>
        <v/>
      </c>
      <c r="R175" s="4">
        <f>Q175*J175</f>
        <v/>
      </c>
      <c r="S175" s="4">
        <f>IF(A175=0,SUMPRODUCT((E175:G175+E176:G176)/2,$B$20:$D$20)*$B$6,0)</f>
        <v/>
      </c>
      <c r="T175" s="4">
        <f>S175*J175</f>
        <v/>
      </c>
      <c r="U175" s="4">
        <f>N175+P175+R175+T175</f>
        <v/>
      </c>
      <c r="V175">
        <f>SUMPRODUCT((E175:G175+E176:G176)/2,$B$24:$D$24)*$B$6</f>
        <v/>
      </c>
      <c r="W175" s="5">
        <f>V175*K175</f>
        <v/>
      </c>
      <c r="X175">
        <f>SUMPRODUCT((E175:G175+E176:G176)/2,$B$25:$D$25)*$B$6</f>
        <v/>
      </c>
      <c r="Y175">
        <f>X175*K175</f>
        <v/>
      </c>
    </row>
    <row r="176">
      <c r="A176" t="n">
        <v>147</v>
      </c>
      <c r="B176">
        <f>A176*$B$6</f>
        <v/>
      </c>
      <c r="C176" s="5">
        <f>EXP(-$B$12*B176)</f>
        <v/>
      </c>
      <c r="D176" s="5">
        <f>EXP(-$B$13*B176)</f>
        <v/>
      </c>
      <c r="E176">
        <f>C176</f>
        <v/>
      </c>
      <c r="F176">
        <f>D176-C176</f>
        <v/>
      </c>
      <c r="G176">
        <f>1-D176</f>
        <v/>
      </c>
      <c r="H176">
        <f>SUM(E176:G176)</f>
        <v/>
      </c>
      <c r="I176">
        <f>IF(AND(MIN(C176:D176)&gt;=0,MAX(C176:D176)&lt;=1,MIN(E176:G176)&gt;=-1E-10,ABS(H176-1)&lt;1E-8,C176&lt;=C175+1E-10,D176&lt;=D175+1E-10),"OK","ERROR")</f>
        <v/>
      </c>
      <c r="J176">
        <f>1/(1+$B$4)^(B176+$B$6/2)</f>
        <v/>
      </c>
      <c r="K176">
        <f>1/(1+$B$5)^(B176+$B$6/2)</f>
        <v/>
      </c>
      <c r="L176" t="inlineStr">
        <is>
          <t>Average endpoints</t>
        </is>
      </c>
      <c r="M176" s="4">
        <f>SUMPRODUCT((E176:G176+E177:G177)/2,$B$17:$D$17)*$B$6</f>
        <v/>
      </c>
      <c r="N176" s="4">
        <f>M176*J176</f>
        <v/>
      </c>
      <c r="O176" s="4">
        <f>SUMPRODUCT((E176:G176+E177:G177)/2,$B$18:$D$18)*$B$6</f>
        <v/>
      </c>
      <c r="P176" s="4">
        <f>O176*J176</f>
        <v/>
      </c>
      <c r="Q176" s="4">
        <f>SUMPRODUCT((E176:G176+E177:G177)/2,$B$19:$D$19)*$B$6</f>
        <v/>
      </c>
      <c r="R176" s="4">
        <f>Q176*J176</f>
        <v/>
      </c>
      <c r="S176" s="4">
        <f>IF(A176=0,SUMPRODUCT((E176:G176+E177:G177)/2,$B$20:$D$20)*$B$6,0)</f>
        <v/>
      </c>
      <c r="T176" s="4">
        <f>S176*J176</f>
        <v/>
      </c>
      <c r="U176" s="4">
        <f>N176+P176+R176+T176</f>
        <v/>
      </c>
      <c r="V176">
        <f>SUMPRODUCT((E176:G176+E177:G177)/2,$B$24:$D$24)*$B$6</f>
        <v/>
      </c>
      <c r="W176" s="5">
        <f>V176*K176</f>
        <v/>
      </c>
      <c r="X176">
        <f>SUMPRODUCT((E176:G176+E177:G177)/2,$B$25:$D$25)*$B$6</f>
        <v/>
      </c>
      <c r="Y176">
        <f>X176*K176</f>
        <v/>
      </c>
    </row>
    <row r="177">
      <c r="A177" t="n">
        <v>148</v>
      </c>
      <c r="B177">
        <f>A177*$B$6</f>
        <v/>
      </c>
      <c r="C177" s="5">
        <f>EXP(-$B$12*B177)</f>
        <v/>
      </c>
      <c r="D177" s="5">
        <f>EXP(-$B$13*B177)</f>
        <v/>
      </c>
      <c r="E177">
        <f>C177</f>
        <v/>
      </c>
      <c r="F177">
        <f>D177-C177</f>
        <v/>
      </c>
      <c r="G177">
        <f>1-D177</f>
        <v/>
      </c>
      <c r="H177">
        <f>SUM(E177:G177)</f>
        <v/>
      </c>
      <c r="I177">
        <f>IF(AND(MIN(C177:D177)&gt;=0,MAX(C177:D177)&lt;=1,MIN(E177:G177)&gt;=-1E-10,ABS(H177-1)&lt;1E-8,C177&lt;=C176+1E-10,D177&lt;=D176+1E-10),"OK","ERROR")</f>
        <v/>
      </c>
      <c r="J177">
        <f>1/(1+$B$4)^(B177+$B$6/2)</f>
        <v/>
      </c>
      <c r="K177">
        <f>1/(1+$B$5)^(B177+$B$6/2)</f>
        <v/>
      </c>
      <c r="L177" t="inlineStr">
        <is>
          <t>Average endpoints</t>
        </is>
      </c>
      <c r="M177" s="4">
        <f>SUMPRODUCT((E177:G177+E178:G178)/2,$B$17:$D$17)*$B$6</f>
        <v/>
      </c>
      <c r="N177" s="4">
        <f>M177*J177</f>
        <v/>
      </c>
      <c r="O177" s="4">
        <f>SUMPRODUCT((E177:G177+E178:G178)/2,$B$18:$D$18)*$B$6</f>
        <v/>
      </c>
      <c r="P177" s="4">
        <f>O177*J177</f>
        <v/>
      </c>
      <c r="Q177" s="4">
        <f>SUMPRODUCT((E177:G177+E178:G178)/2,$B$19:$D$19)*$B$6</f>
        <v/>
      </c>
      <c r="R177" s="4">
        <f>Q177*J177</f>
        <v/>
      </c>
      <c r="S177" s="4">
        <f>IF(A177=0,SUMPRODUCT((E177:G177+E178:G178)/2,$B$20:$D$20)*$B$6,0)</f>
        <v/>
      </c>
      <c r="T177" s="4">
        <f>S177*J177</f>
        <v/>
      </c>
      <c r="U177" s="4">
        <f>N177+P177+R177+T177</f>
        <v/>
      </c>
      <c r="V177">
        <f>SUMPRODUCT((E177:G177+E178:G178)/2,$B$24:$D$24)*$B$6</f>
        <v/>
      </c>
      <c r="W177" s="5">
        <f>V177*K177</f>
        <v/>
      </c>
      <c r="X177">
        <f>SUMPRODUCT((E177:G177+E178:G178)/2,$B$25:$D$25)*$B$6</f>
        <v/>
      </c>
      <c r="Y177">
        <f>X177*K177</f>
        <v/>
      </c>
    </row>
    <row r="178">
      <c r="A178" t="n">
        <v>149</v>
      </c>
      <c r="B178">
        <f>A178*$B$6</f>
        <v/>
      </c>
      <c r="C178" s="5">
        <f>EXP(-$B$12*B178)</f>
        <v/>
      </c>
      <c r="D178" s="5">
        <f>EXP(-$B$13*B178)</f>
        <v/>
      </c>
      <c r="E178">
        <f>C178</f>
        <v/>
      </c>
      <c r="F178">
        <f>D178-C178</f>
        <v/>
      </c>
      <c r="G178">
        <f>1-D178</f>
        <v/>
      </c>
      <c r="H178">
        <f>SUM(E178:G178)</f>
        <v/>
      </c>
      <c r="I178">
        <f>IF(AND(MIN(C178:D178)&gt;=0,MAX(C178:D178)&lt;=1,MIN(E178:G178)&gt;=-1E-10,ABS(H178-1)&lt;1E-8,C178&lt;=C177+1E-10,D178&lt;=D177+1E-10),"OK","ERROR")</f>
        <v/>
      </c>
      <c r="J178">
        <f>1/(1+$B$4)^(B178+$B$6/2)</f>
        <v/>
      </c>
      <c r="K178">
        <f>1/(1+$B$5)^(B178+$B$6/2)</f>
        <v/>
      </c>
      <c r="L178" t="inlineStr">
        <is>
          <t>Average endpoints</t>
        </is>
      </c>
      <c r="M178" s="4">
        <f>SUMPRODUCT((E178:G178+E179:G179)/2,$B$17:$D$17)*$B$6</f>
        <v/>
      </c>
      <c r="N178" s="4">
        <f>M178*J178</f>
        <v/>
      </c>
      <c r="O178" s="4">
        <f>SUMPRODUCT((E178:G178+E179:G179)/2,$B$18:$D$18)*$B$6</f>
        <v/>
      </c>
      <c r="P178" s="4">
        <f>O178*J178</f>
        <v/>
      </c>
      <c r="Q178" s="4">
        <f>SUMPRODUCT((E178:G178+E179:G179)/2,$B$19:$D$19)*$B$6</f>
        <v/>
      </c>
      <c r="R178" s="4">
        <f>Q178*J178</f>
        <v/>
      </c>
      <c r="S178" s="4">
        <f>IF(A178=0,SUMPRODUCT((E178:G178+E179:G179)/2,$B$20:$D$20)*$B$6,0)</f>
        <v/>
      </c>
      <c r="T178" s="4">
        <f>S178*J178</f>
        <v/>
      </c>
      <c r="U178" s="4">
        <f>N178+P178+R178+T178</f>
        <v/>
      </c>
      <c r="V178">
        <f>SUMPRODUCT((E178:G178+E179:G179)/2,$B$24:$D$24)*$B$6</f>
        <v/>
      </c>
      <c r="W178" s="5">
        <f>V178*K178</f>
        <v/>
      </c>
      <c r="X178">
        <f>SUMPRODUCT((E178:G178+E179:G179)/2,$B$25:$D$25)*$B$6</f>
        <v/>
      </c>
      <c r="Y178">
        <f>X178*K178</f>
        <v/>
      </c>
    </row>
    <row r="179">
      <c r="A179" t="n">
        <v>150</v>
      </c>
      <c r="B179">
        <f>A179*$B$6</f>
        <v/>
      </c>
      <c r="C179" s="5">
        <f>EXP(-$B$12*B179)</f>
        <v/>
      </c>
      <c r="D179" s="5">
        <f>EXP(-$B$13*B179)</f>
        <v/>
      </c>
      <c r="E179">
        <f>C179</f>
        <v/>
      </c>
      <c r="F179">
        <f>D179-C179</f>
        <v/>
      </c>
      <c r="G179">
        <f>1-D179</f>
        <v/>
      </c>
      <c r="H179">
        <f>SUM(E179:G179)</f>
        <v/>
      </c>
      <c r="I179">
        <f>IF(AND(MIN(C179:D179)&gt;=0,MAX(C179:D179)&lt;=1,MIN(E179:G179)&gt;=-1E-10,ABS(H179-1)&lt;1E-8,C179&lt;=C178+1E-10,D179&lt;=D178+1E-10),"OK","ERROR")</f>
        <v/>
      </c>
      <c r="J179">
        <f>1/(1+$B$4)^(B179+$B$6/2)</f>
        <v/>
      </c>
      <c r="K179">
        <f>1/(1+$B$5)^(B179+$B$6/2)</f>
        <v/>
      </c>
      <c r="L179" t="inlineStr">
        <is>
          <t>Average endpoints</t>
        </is>
      </c>
      <c r="M179" s="4">
        <f>SUMPRODUCT((E179:G179+E180:G180)/2,$B$17:$D$17)*$B$6</f>
        <v/>
      </c>
      <c r="N179" s="4">
        <f>M179*J179</f>
        <v/>
      </c>
      <c r="O179" s="4">
        <f>SUMPRODUCT((E179:G179+E180:G180)/2,$B$18:$D$18)*$B$6</f>
        <v/>
      </c>
      <c r="P179" s="4">
        <f>O179*J179</f>
        <v/>
      </c>
      <c r="Q179" s="4">
        <f>SUMPRODUCT((E179:G179+E180:G180)/2,$B$19:$D$19)*$B$6</f>
        <v/>
      </c>
      <c r="R179" s="4">
        <f>Q179*J179</f>
        <v/>
      </c>
      <c r="S179" s="4">
        <f>IF(A179=0,SUMPRODUCT((E179:G179+E180:G180)/2,$B$20:$D$20)*$B$6,0)</f>
        <v/>
      </c>
      <c r="T179" s="4">
        <f>S179*J179</f>
        <v/>
      </c>
      <c r="U179" s="4">
        <f>N179+P179+R179+T179</f>
        <v/>
      </c>
      <c r="V179">
        <f>SUMPRODUCT((E179:G179+E180:G180)/2,$B$24:$D$24)*$B$6</f>
        <v/>
      </c>
      <c r="W179" s="5">
        <f>V179*K179</f>
        <v/>
      </c>
      <c r="X179">
        <f>SUMPRODUCT((E179:G179+E180:G180)/2,$B$25:$D$25)*$B$6</f>
        <v/>
      </c>
      <c r="Y179">
        <f>X179*K179</f>
        <v/>
      </c>
    </row>
    <row r="180">
      <c r="A180" t="n">
        <v>151</v>
      </c>
      <c r="B180">
        <f>A180*$B$6</f>
        <v/>
      </c>
      <c r="C180" s="5">
        <f>EXP(-$B$12*B180)</f>
        <v/>
      </c>
      <c r="D180" s="5">
        <f>EXP(-$B$13*B180)</f>
        <v/>
      </c>
      <c r="E180">
        <f>C180</f>
        <v/>
      </c>
      <c r="F180">
        <f>D180-C180</f>
        <v/>
      </c>
      <c r="G180">
        <f>1-D180</f>
        <v/>
      </c>
      <c r="H180">
        <f>SUM(E180:G180)</f>
        <v/>
      </c>
      <c r="I180">
        <f>IF(AND(MIN(C180:D180)&gt;=0,MAX(C180:D180)&lt;=1,MIN(E180:G180)&gt;=-1E-10,ABS(H180-1)&lt;1E-8,C180&lt;=C179+1E-10,D180&lt;=D179+1E-10),"OK","ERROR")</f>
        <v/>
      </c>
      <c r="J180">
        <f>1/(1+$B$4)^(B180+$B$6/2)</f>
        <v/>
      </c>
      <c r="K180">
        <f>1/(1+$B$5)^(B180+$B$6/2)</f>
        <v/>
      </c>
      <c r="L180" t="inlineStr">
        <is>
          <t>Average endpoints</t>
        </is>
      </c>
      <c r="M180" s="4">
        <f>SUMPRODUCT((E180:G180+E181:G181)/2,$B$17:$D$17)*$B$6</f>
        <v/>
      </c>
      <c r="N180" s="4">
        <f>M180*J180</f>
        <v/>
      </c>
      <c r="O180" s="4">
        <f>SUMPRODUCT((E180:G180+E181:G181)/2,$B$18:$D$18)*$B$6</f>
        <v/>
      </c>
      <c r="P180" s="4">
        <f>O180*J180</f>
        <v/>
      </c>
      <c r="Q180" s="4">
        <f>SUMPRODUCT((E180:G180+E181:G181)/2,$B$19:$D$19)*$B$6</f>
        <v/>
      </c>
      <c r="R180" s="4">
        <f>Q180*J180</f>
        <v/>
      </c>
      <c r="S180" s="4">
        <f>IF(A180=0,SUMPRODUCT((E180:G180+E181:G181)/2,$B$20:$D$20)*$B$6,0)</f>
        <v/>
      </c>
      <c r="T180" s="4">
        <f>S180*J180</f>
        <v/>
      </c>
      <c r="U180" s="4">
        <f>N180+P180+R180+T180</f>
        <v/>
      </c>
      <c r="V180">
        <f>SUMPRODUCT((E180:G180+E181:G181)/2,$B$24:$D$24)*$B$6</f>
        <v/>
      </c>
      <c r="W180" s="5">
        <f>V180*K180</f>
        <v/>
      </c>
      <c r="X180">
        <f>SUMPRODUCT((E180:G180+E181:G181)/2,$B$25:$D$25)*$B$6</f>
        <v/>
      </c>
      <c r="Y180">
        <f>X180*K180</f>
        <v/>
      </c>
    </row>
    <row r="181">
      <c r="A181" t="n">
        <v>152</v>
      </c>
      <c r="B181">
        <f>A181*$B$6</f>
        <v/>
      </c>
      <c r="C181" s="5">
        <f>EXP(-$B$12*B181)</f>
        <v/>
      </c>
      <c r="D181" s="5">
        <f>EXP(-$B$13*B181)</f>
        <v/>
      </c>
      <c r="E181">
        <f>C181</f>
        <v/>
      </c>
      <c r="F181">
        <f>D181-C181</f>
        <v/>
      </c>
      <c r="G181">
        <f>1-D181</f>
        <v/>
      </c>
      <c r="H181">
        <f>SUM(E181:G181)</f>
        <v/>
      </c>
      <c r="I181">
        <f>IF(AND(MIN(C181:D181)&gt;=0,MAX(C181:D181)&lt;=1,MIN(E181:G181)&gt;=-1E-10,ABS(H181-1)&lt;1E-8,C181&lt;=C180+1E-10,D181&lt;=D180+1E-10),"OK","ERROR")</f>
        <v/>
      </c>
      <c r="J181">
        <f>1/(1+$B$4)^(B181+$B$6/2)</f>
        <v/>
      </c>
      <c r="K181">
        <f>1/(1+$B$5)^(B181+$B$6/2)</f>
        <v/>
      </c>
      <c r="L181" t="inlineStr">
        <is>
          <t>Average endpoints</t>
        </is>
      </c>
      <c r="M181" s="4">
        <f>SUMPRODUCT((E181:G181+E182:G182)/2,$B$17:$D$17)*$B$6</f>
        <v/>
      </c>
      <c r="N181" s="4">
        <f>M181*J181</f>
        <v/>
      </c>
      <c r="O181" s="4">
        <f>SUMPRODUCT((E181:G181+E182:G182)/2,$B$18:$D$18)*$B$6</f>
        <v/>
      </c>
      <c r="P181" s="4">
        <f>O181*J181</f>
        <v/>
      </c>
      <c r="Q181" s="4">
        <f>SUMPRODUCT((E181:G181+E182:G182)/2,$B$19:$D$19)*$B$6</f>
        <v/>
      </c>
      <c r="R181" s="4">
        <f>Q181*J181</f>
        <v/>
      </c>
      <c r="S181" s="4">
        <f>IF(A181=0,SUMPRODUCT((E181:G181+E182:G182)/2,$B$20:$D$20)*$B$6,0)</f>
        <v/>
      </c>
      <c r="T181" s="4">
        <f>S181*J181</f>
        <v/>
      </c>
      <c r="U181" s="4">
        <f>N181+P181+R181+T181</f>
        <v/>
      </c>
      <c r="V181">
        <f>SUMPRODUCT((E181:G181+E182:G182)/2,$B$24:$D$24)*$B$6</f>
        <v/>
      </c>
      <c r="W181" s="5">
        <f>V181*K181</f>
        <v/>
      </c>
      <c r="X181">
        <f>SUMPRODUCT((E181:G181+E182:G182)/2,$B$25:$D$25)*$B$6</f>
        <v/>
      </c>
      <c r="Y181">
        <f>X181*K181</f>
        <v/>
      </c>
    </row>
    <row r="182">
      <c r="A182" t="n">
        <v>153</v>
      </c>
      <c r="B182">
        <f>A182*$B$6</f>
        <v/>
      </c>
      <c r="C182" s="5">
        <f>EXP(-$B$12*B182)</f>
        <v/>
      </c>
      <c r="D182" s="5">
        <f>EXP(-$B$13*B182)</f>
        <v/>
      </c>
      <c r="E182">
        <f>C182</f>
        <v/>
      </c>
      <c r="F182">
        <f>D182-C182</f>
        <v/>
      </c>
      <c r="G182">
        <f>1-D182</f>
        <v/>
      </c>
      <c r="H182">
        <f>SUM(E182:G182)</f>
        <v/>
      </c>
      <c r="I182">
        <f>IF(AND(MIN(C182:D182)&gt;=0,MAX(C182:D182)&lt;=1,MIN(E182:G182)&gt;=-1E-10,ABS(H182-1)&lt;1E-8,C182&lt;=C181+1E-10,D182&lt;=D181+1E-10),"OK","ERROR")</f>
        <v/>
      </c>
      <c r="J182">
        <f>1/(1+$B$4)^(B182+$B$6/2)</f>
        <v/>
      </c>
      <c r="K182">
        <f>1/(1+$B$5)^(B182+$B$6/2)</f>
        <v/>
      </c>
      <c r="L182" t="inlineStr">
        <is>
          <t>Average endpoints</t>
        </is>
      </c>
      <c r="M182" s="4">
        <f>SUMPRODUCT((E182:G182+E183:G183)/2,$B$17:$D$17)*$B$6</f>
        <v/>
      </c>
      <c r="N182" s="4">
        <f>M182*J182</f>
        <v/>
      </c>
      <c r="O182" s="4">
        <f>SUMPRODUCT((E182:G182+E183:G183)/2,$B$18:$D$18)*$B$6</f>
        <v/>
      </c>
      <c r="P182" s="4">
        <f>O182*J182</f>
        <v/>
      </c>
      <c r="Q182" s="4">
        <f>SUMPRODUCT((E182:G182+E183:G183)/2,$B$19:$D$19)*$B$6</f>
        <v/>
      </c>
      <c r="R182" s="4">
        <f>Q182*J182</f>
        <v/>
      </c>
      <c r="S182" s="4">
        <f>IF(A182=0,SUMPRODUCT((E182:G182+E183:G183)/2,$B$20:$D$20)*$B$6,0)</f>
        <v/>
      </c>
      <c r="T182" s="4">
        <f>S182*J182</f>
        <v/>
      </c>
      <c r="U182" s="4">
        <f>N182+P182+R182+T182</f>
        <v/>
      </c>
      <c r="V182">
        <f>SUMPRODUCT((E182:G182+E183:G183)/2,$B$24:$D$24)*$B$6</f>
        <v/>
      </c>
      <c r="W182" s="5">
        <f>V182*K182</f>
        <v/>
      </c>
      <c r="X182">
        <f>SUMPRODUCT((E182:G182+E183:G183)/2,$B$25:$D$25)*$B$6</f>
        <v/>
      </c>
      <c r="Y182">
        <f>X182*K182</f>
        <v/>
      </c>
    </row>
    <row r="183">
      <c r="A183" t="n">
        <v>154</v>
      </c>
      <c r="B183">
        <f>A183*$B$6</f>
        <v/>
      </c>
      <c r="C183" s="5">
        <f>EXP(-$B$12*B183)</f>
        <v/>
      </c>
      <c r="D183" s="5">
        <f>EXP(-$B$13*B183)</f>
        <v/>
      </c>
      <c r="E183">
        <f>C183</f>
        <v/>
      </c>
      <c r="F183">
        <f>D183-C183</f>
        <v/>
      </c>
      <c r="G183">
        <f>1-D183</f>
        <v/>
      </c>
      <c r="H183">
        <f>SUM(E183:G183)</f>
        <v/>
      </c>
      <c r="I183">
        <f>IF(AND(MIN(C183:D183)&gt;=0,MAX(C183:D183)&lt;=1,MIN(E183:G183)&gt;=-1E-10,ABS(H183-1)&lt;1E-8,C183&lt;=C182+1E-10,D183&lt;=D182+1E-10),"OK","ERROR")</f>
        <v/>
      </c>
      <c r="J183">
        <f>1/(1+$B$4)^(B183+$B$6/2)</f>
        <v/>
      </c>
      <c r="K183">
        <f>1/(1+$B$5)^(B183+$B$6/2)</f>
        <v/>
      </c>
      <c r="L183" t="inlineStr">
        <is>
          <t>Average endpoints</t>
        </is>
      </c>
      <c r="M183" s="4">
        <f>SUMPRODUCT((E183:G183+E184:G184)/2,$B$17:$D$17)*$B$6</f>
        <v/>
      </c>
      <c r="N183" s="4">
        <f>M183*J183</f>
        <v/>
      </c>
      <c r="O183" s="4">
        <f>SUMPRODUCT((E183:G183+E184:G184)/2,$B$18:$D$18)*$B$6</f>
        <v/>
      </c>
      <c r="P183" s="4">
        <f>O183*J183</f>
        <v/>
      </c>
      <c r="Q183" s="4">
        <f>SUMPRODUCT((E183:G183+E184:G184)/2,$B$19:$D$19)*$B$6</f>
        <v/>
      </c>
      <c r="R183" s="4">
        <f>Q183*J183</f>
        <v/>
      </c>
      <c r="S183" s="4">
        <f>IF(A183=0,SUMPRODUCT((E183:G183+E184:G184)/2,$B$20:$D$20)*$B$6,0)</f>
        <v/>
      </c>
      <c r="T183" s="4">
        <f>S183*J183</f>
        <v/>
      </c>
      <c r="U183" s="4">
        <f>N183+P183+R183+T183</f>
        <v/>
      </c>
      <c r="V183">
        <f>SUMPRODUCT((E183:G183+E184:G184)/2,$B$24:$D$24)*$B$6</f>
        <v/>
      </c>
      <c r="W183" s="5">
        <f>V183*K183</f>
        <v/>
      </c>
      <c r="X183">
        <f>SUMPRODUCT((E183:G183+E184:G184)/2,$B$25:$D$25)*$B$6</f>
        <v/>
      </c>
      <c r="Y183">
        <f>X183*K183</f>
        <v/>
      </c>
    </row>
    <row r="184">
      <c r="A184" t="n">
        <v>155</v>
      </c>
      <c r="B184">
        <f>A184*$B$6</f>
        <v/>
      </c>
      <c r="C184" s="5">
        <f>EXP(-$B$12*B184)</f>
        <v/>
      </c>
      <c r="D184" s="5">
        <f>EXP(-$B$13*B184)</f>
        <v/>
      </c>
      <c r="E184">
        <f>C184</f>
        <v/>
      </c>
      <c r="F184">
        <f>D184-C184</f>
        <v/>
      </c>
      <c r="G184">
        <f>1-D184</f>
        <v/>
      </c>
      <c r="H184">
        <f>SUM(E184:G184)</f>
        <v/>
      </c>
      <c r="I184">
        <f>IF(AND(MIN(C184:D184)&gt;=0,MAX(C184:D184)&lt;=1,MIN(E184:G184)&gt;=-1E-10,ABS(H184-1)&lt;1E-8,C184&lt;=C183+1E-10,D184&lt;=D183+1E-10),"OK","ERROR")</f>
        <v/>
      </c>
      <c r="J184">
        <f>1/(1+$B$4)^(B184+$B$6/2)</f>
        <v/>
      </c>
      <c r="K184">
        <f>1/(1+$B$5)^(B184+$B$6/2)</f>
        <v/>
      </c>
      <c r="L184" t="inlineStr">
        <is>
          <t>Average endpoints</t>
        </is>
      </c>
      <c r="M184" s="4">
        <f>SUMPRODUCT((E184:G184+E185:G185)/2,$B$17:$D$17)*$B$6</f>
        <v/>
      </c>
      <c r="N184" s="4">
        <f>M184*J184</f>
        <v/>
      </c>
      <c r="O184" s="4">
        <f>SUMPRODUCT((E184:G184+E185:G185)/2,$B$18:$D$18)*$B$6</f>
        <v/>
      </c>
      <c r="P184" s="4">
        <f>O184*J184</f>
        <v/>
      </c>
      <c r="Q184" s="4">
        <f>SUMPRODUCT((E184:G184+E185:G185)/2,$B$19:$D$19)*$B$6</f>
        <v/>
      </c>
      <c r="R184" s="4">
        <f>Q184*J184</f>
        <v/>
      </c>
      <c r="S184" s="4">
        <f>IF(A184=0,SUMPRODUCT((E184:G184+E185:G185)/2,$B$20:$D$20)*$B$6,0)</f>
        <v/>
      </c>
      <c r="T184" s="4">
        <f>S184*J184</f>
        <v/>
      </c>
      <c r="U184" s="4">
        <f>N184+P184+R184+T184</f>
        <v/>
      </c>
      <c r="V184">
        <f>SUMPRODUCT((E184:G184+E185:G185)/2,$B$24:$D$24)*$B$6</f>
        <v/>
      </c>
      <c r="W184" s="5">
        <f>V184*K184</f>
        <v/>
      </c>
      <c r="X184">
        <f>SUMPRODUCT((E184:G184+E185:G185)/2,$B$25:$D$25)*$B$6</f>
        <v/>
      </c>
      <c r="Y184">
        <f>X184*K184</f>
        <v/>
      </c>
    </row>
    <row r="185">
      <c r="A185" t="n">
        <v>156</v>
      </c>
      <c r="B185">
        <f>A185*$B$6</f>
        <v/>
      </c>
      <c r="C185" s="5">
        <f>EXP(-$B$12*B185)</f>
        <v/>
      </c>
      <c r="D185" s="5">
        <f>EXP(-$B$13*B185)</f>
        <v/>
      </c>
      <c r="E185">
        <f>C185</f>
        <v/>
      </c>
      <c r="F185">
        <f>D185-C185</f>
        <v/>
      </c>
      <c r="G185">
        <f>1-D185</f>
        <v/>
      </c>
      <c r="H185">
        <f>SUM(E185:G185)</f>
        <v/>
      </c>
      <c r="I185">
        <f>IF(AND(MIN(C185:D185)&gt;=0,MAX(C185:D185)&lt;=1,MIN(E185:G185)&gt;=-1E-10,ABS(H185-1)&lt;1E-8,C185&lt;=C184+1E-10,D185&lt;=D184+1E-10),"OK","ERROR")</f>
        <v/>
      </c>
      <c r="J185">
        <f>1/(1+$B$4)^(B185+$B$6/2)</f>
        <v/>
      </c>
      <c r="K185">
        <f>1/(1+$B$5)^(B185+$B$6/2)</f>
        <v/>
      </c>
      <c r="L185" t="inlineStr">
        <is>
          <t>Average endpoints</t>
        </is>
      </c>
      <c r="M185" s="4">
        <f>SUMPRODUCT((E185:G185+E186:G186)/2,$B$17:$D$17)*$B$6</f>
        <v/>
      </c>
      <c r="N185" s="4">
        <f>M185*J185</f>
        <v/>
      </c>
      <c r="O185" s="4">
        <f>SUMPRODUCT((E185:G185+E186:G186)/2,$B$18:$D$18)*$B$6</f>
        <v/>
      </c>
      <c r="P185" s="4">
        <f>O185*J185</f>
        <v/>
      </c>
      <c r="Q185" s="4">
        <f>SUMPRODUCT((E185:G185+E186:G186)/2,$B$19:$D$19)*$B$6</f>
        <v/>
      </c>
      <c r="R185" s="4">
        <f>Q185*J185</f>
        <v/>
      </c>
      <c r="S185" s="4">
        <f>IF(A185=0,SUMPRODUCT((E185:G185+E186:G186)/2,$B$20:$D$20)*$B$6,0)</f>
        <v/>
      </c>
      <c r="T185" s="4">
        <f>S185*J185</f>
        <v/>
      </c>
      <c r="U185" s="4">
        <f>N185+P185+R185+T185</f>
        <v/>
      </c>
      <c r="V185">
        <f>SUMPRODUCT((E185:G185+E186:G186)/2,$B$24:$D$24)*$B$6</f>
        <v/>
      </c>
      <c r="W185" s="5">
        <f>V185*K185</f>
        <v/>
      </c>
      <c r="X185">
        <f>SUMPRODUCT((E185:G185+E186:G186)/2,$B$25:$D$25)*$B$6</f>
        <v/>
      </c>
      <c r="Y185">
        <f>X185*K185</f>
        <v/>
      </c>
    </row>
    <row r="186">
      <c r="A186" t="n">
        <v>157</v>
      </c>
      <c r="B186">
        <f>A186*$B$6</f>
        <v/>
      </c>
      <c r="C186" s="5">
        <f>EXP(-$B$12*B186)</f>
        <v/>
      </c>
      <c r="D186" s="5">
        <f>EXP(-$B$13*B186)</f>
        <v/>
      </c>
      <c r="E186">
        <f>C186</f>
        <v/>
      </c>
      <c r="F186">
        <f>D186-C186</f>
        <v/>
      </c>
      <c r="G186">
        <f>1-D186</f>
        <v/>
      </c>
      <c r="H186">
        <f>SUM(E186:G186)</f>
        <v/>
      </c>
      <c r="I186">
        <f>IF(AND(MIN(C186:D186)&gt;=0,MAX(C186:D186)&lt;=1,MIN(E186:G186)&gt;=-1E-10,ABS(H186-1)&lt;1E-8,C186&lt;=C185+1E-10,D186&lt;=D185+1E-10),"OK","ERROR")</f>
        <v/>
      </c>
      <c r="J186">
        <f>1/(1+$B$4)^(B186+$B$6/2)</f>
        <v/>
      </c>
      <c r="K186">
        <f>1/(1+$B$5)^(B186+$B$6/2)</f>
        <v/>
      </c>
      <c r="L186" t="inlineStr">
        <is>
          <t>Average endpoints</t>
        </is>
      </c>
      <c r="M186" s="4">
        <f>SUMPRODUCT((E186:G186+E187:G187)/2,$B$17:$D$17)*$B$6</f>
        <v/>
      </c>
      <c r="N186" s="4">
        <f>M186*J186</f>
        <v/>
      </c>
      <c r="O186" s="4">
        <f>SUMPRODUCT((E186:G186+E187:G187)/2,$B$18:$D$18)*$B$6</f>
        <v/>
      </c>
      <c r="P186" s="4">
        <f>O186*J186</f>
        <v/>
      </c>
      <c r="Q186" s="4">
        <f>SUMPRODUCT((E186:G186+E187:G187)/2,$B$19:$D$19)*$B$6</f>
        <v/>
      </c>
      <c r="R186" s="4">
        <f>Q186*J186</f>
        <v/>
      </c>
      <c r="S186" s="4">
        <f>IF(A186=0,SUMPRODUCT((E186:G186+E187:G187)/2,$B$20:$D$20)*$B$6,0)</f>
        <v/>
      </c>
      <c r="T186" s="4">
        <f>S186*J186</f>
        <v/>
      </c>
      <c r="U186" s="4">
        <f>N186+P186+R186+T186</f>
        <v/>
      </c>
      <c r="V186">
        <f>SUMPRODUCT((E186:G186+E187:G187)/2,$B$24:$D$24)*$B$6</f>
        <v/>
      </c>
      <c r="W186" s="5">
        <f>V186*K186</f>
        <v/>
      </c>
      <c r="X186">
        <f>SUMPRODUCT((E186:G186+E187:G187)/2,$B$25:$D$25)*$B$6</f>
        <v/>
      </c>
      <c r="Y186">
        <f>X186*K186</f>
        <v/>
      </c>
    </row>
    <row r="187">
      <c r="A187" t="n">
        <v>158</v>
      </c>
      <c r="B187">
        <f>A187*$B$6</f>
        <v/>
      </c>
      <c r="C187" s="5">
        <f>EXP(-$B$12*B187)</f>
        <v/>
      </c>
      <c r="D187" s="5">
        <f>EXP(-$B$13*B187)</f>
        <v/>
      </c>
      <c r="E187">
        <f>C187</f>
        <v/>
      </c>
      <c r="F187">
        <f>D187-C187</f>
        <v/>
      </c>
      <c r="G187">
        <f>1-D187</f>
        <v/>
      </c>
      <c r="H187">
        <f>SUM(E187:G187)</f>
        <v/>
      </c>
      <c r="I187">
        <f>IF(AND(MIN(C187:D187)&gt;=0,MAX(C187:D187)&lt;=1,MIN(E187:G187)&gt;=-1E-10,ABS(H187-1)&lt;1E-8,C187&lt;=C186+1E-10,D187&lt;=D186+1E-10),"OK","ERROR")</f>
        <v/>
      </c>
      <c r="J187">
        <f>1/(1+$B$4)^(B187+$B$6/2)</f>
        <v/>
      </c>
      <c r="K187">
        <f>1/(1+$B$5)^(B187+$B$6/2)</f>
        <v/>
      </c>
      <c r="L187" t="inlineStr">
        <is>
          <t>Average endpoints</t>
        </is>
      </c>
      <c r="M187" s="4">
        <f>SUMPRODUCT((E187:G187+E188:G188)/2,$B$17:$D$17)*$B$6</f>
        <v/>
      </c>
      <c r="N187" s="4">
        <f>M187*J187</f>
        <v/>
      </c>
      <c r="O187" s="4">
        <f>SUMPRODUCT((E187:G187+E188:G188)/2,$B$18:$D$18)*$B$6</f>
        <v/>
      </c>
      <c r="P187" s="4">
        <f>O187*J187</f>
        <v/>
      </c>
      <c r="Q187" s="4">
        <f>SUMPRODUCT((E187:G187+E188:G188)/2,$B$19:$D$19)*$B$6</f>
        <v/>
      </c>
      <c r="R187" s="4">
        <f>Q187*J187</f>
        <v/>
      </c>
      <c r="S187" s="4">
        <f>IF(A187=0,SUMPRODUCT((E187:G187+E188:G188)/2,$B$20:$D$20)*$B$6,0)</f>
        <v/>
      </c>
      <c r="T187" s="4">
        <f>S187*J187</f>
        <v/>
      </c>
      <c r="U187" s="4">
        <f>N187+P187+R187+T187</f>
        <v/>
      </c>
      <c r="V187">
        <f>SUMPRODUCT((E187:G187+E188:G188)/2,$B$24:$D$24)*$B$6</f>
        <v/>
      </c>
      <c r="W187" s="5">
        <f>V187*K187</f>
        <v/>
      </c>
      <c r="X187">
        <f>SUMPRODUCT((E187:G187+E188:G188)/2,$B$25:$D$25)*$B$6</f>
        <v/>
      </c>
      <c r="Y187">
        <f>X187*K187</f>
        <v/>
      </c>
    </row>
    <row r="188">
      <c r="A188" t="n">
        <v>159</v>
      </c>
      <c r="B188">
        <f>A188*$B$6</f>
        <v/>
      </c>
      <c r="C188" s="5">
        <f>EXP(-$B$12*B188)</f>
        <v/>
      </c>
      <c r="D188" s="5">
        <f>EXP(-$B$13*B188)</f>
        <v/>
      </c>
      <c r="E188">
        <f>C188</f>
        <v/>
      </c>
      <c r="F188">
        <f>D188-C188</f>
        <v/>
      </c>
      <c r="G188">
        <f>1-D188</f>
        <v/>
      </c>
      <c r="H188">
        <f>SUM(E188:G188)</f>
        <v/>
      </c>
      <c r="I188">
        <f>IF(AND(MIN(C188:D188)&gt;=0,MAX(C188:D188)&lt;=1,MIN(E188:G188)&gt;=-1E-10,ABS(H188-1)&lt;1E-8,C188&lt;=C187+1E-10,D188&lt;=D187+1E-10),"OK","ERROR")</f>
        <v/>
      </c>
      <c r="J188">
        <f>1/(1+$B$4)^(B188+$B$6/2)</f>
        <v/>
      </c>
      <c r="K188">
        <f>1/(1+$B$5)^(B188+$B$6/2)</f>
        <v/>
      </c>
      <c r="L188" t="inlineStr">
        <is>
          <t>Average endpoints</t>
        </is>
      </c>
      <c r="M188" s="4">
        <f>SUMPRODUCT((E188:G188+E189:G189)/2,$B$17:$D$17)*$B$6</f>
        <v/>
      </c>
      <c r="N188" s="4">
        <f>M188*J188</f>
        <v/>
      </c>
      <c r="O188" s="4">
        <f>SUMPRODUCT((E188:G188+E189:G189)/2,$B$18:$D$18)*$B$6</f>
        <v/>
      </c>
      <c r="P188" s="4">
        <f>O188*J188</f>
        <v/>
      </c>
      <c r="Q188" s="4">
        <f>SUMPRODUCT((E188:G188+E189:G189)/2,$B$19:$D$19)*$B$6</f>
        <v/>
      </c>
      <c r="R188" s="4">
        <f>Q188*J188</f>
        <v/>
      </c>
      <c r="S188" s="4">
        <f>IF(A188=0,SUMPRODUCT((E188:G188+E189:G189)/2,$B$20:$D$20)*$B$6,0)</f>
        <v/>
      </c>
      <c r="T188" s="4">
        <f>S188*J188</f>
        <v/>
      </c>
      <c r="U188" s="4">
        <f>N188+P188+R188+T188</f>
        <v/>
      </c>
      <c r="V188">
        <f>SUMPRODUCT((E188:G188+E189:G189)/2,$B$24:$D$24)*$B$6</f>
        <v/>
      </c>
      <c r="W188" s="5">
        <f>V188*K188</f>
        <v/>
      </c>
      <c r="X188">
        <f>SUMPRODUCT((E188:G188+E189:G189)/2,$B$25:$D$25)*$B$6</f>
        <v/>
      </c>
      <c r="Y188">
        <f>X188*K188</f>
        <v/>
      </c>
    </row>
    <row r="189">
      <c r="A189" t="n">
        <v>160</v>
      </c>
      <c r="B189">
        <f>A189*$B$6</f>
        <v/>
      </c>
      <c r="C189" s="5">
        <f>EXP(-$B$12*B189)</f>
        <v/>
      </c>
      <c r="D189" s="5">
        <f>EXP(-$B$13*B189)</f>
        <v/>
      </c>
      <c r="E189">
        <f>C189</f>
        <v/>
      </c>
      <c r="F189">
        <f>D189-C189</f>
        <v/>
      </c>
      <c r="G189">
        <f>1-D189</f>
        <v/>
      </c>
      <c r="H189">
        <f>SUM(E189:G189)</f>
        <v/>
      </c>
      <c r="I189">
        <f>IF(AND(MIN(C189:D189)&gt;=0,MAX(C189:D189)&lt;=1,MIN(E189:G189)&gt;=-1E-10,ABS(H189-1)&lt;1E-8,C189&lt;=C188+1E-10,D189&lt;=D188+1E-10),"OK","ERROR")</f>
        <v/>
      </c>
      <c r="J189">
        <f>1/(1+$B$4)^(B189+$B$6/2)</f>
        <v/>
      </c>
      <c r="K189">
        <f>1/(1+$B$5)^(B189+$B$6/2)</f>
        <v/>
      </c>
      <c r="L189" t="inlineStr">
        <is>
          <t>Average endpoints</t>
        </is>
      </c>
      <c r="M189" s="4">
        <f>SUMPRODUCT((E189:G189+E190:G190)/2,$B$17:$D$17)*$B$6</f>
        <v/>
      </c>
      <c r="N189" s="4">
        <f>M189*J189</f>
        <v/>
      </c>
      <c r="O189" s="4">
        <f>SUMPRODUCT((E189:G189+E190:G190)/2,$B$18:$D$18)*$B$6</f>
        <v/>
      </c>
      <c r="P189" s="4">
        <f>O189*J189</f>
        <v/>
      </c>
      <c r="Q189" s="4">
        <f>SUMPRODUCT((E189:G189+E190:G190)/2,$B$19:$D$19)*$B$6</f>
        <v/>
      </c>
      <c r="R189" s="4">
        <f>Q189*J189</f>
        <v/>
      </c>
      <c r="S189" s="4">
        <f>IF(A189=0,SUMPRODUCT((E189:G189+E190:G190)/2,$B$20:$D$20)*$B$6,0)</f>
        <v/>
      </c>
      <c r="T189" s="4">
        <f>S189*J189</f>
        <v/>
      </c>
      <c r="U189" s="4">
        <f>N189+P189+R189+T189</f>
        <v/>
      </c>
      <c r="V189">
        <f>SUMPRODUCT((E189:G189+E190:G190)/2,$B$24:$D$24)*$B$6</f>
        <v/>
      </c>
      <c r="W189" s="5">
        <f>V189*K189</f>
        <v/>
      </c>
      <c r="X189">
        <f>SUMPRODUCT((E189:G189+E190:G190)/2,$B$25:$D$25)*$B$6</f>
        <v/>
      </c>
      <c r="Y189">
        <f>X189*K189</f>
        <v/>
      </c>
    </row>
    <row r="190">
      <c r="A190" t="n">
        <v>161</v>
      </c>
      <c r="B190">
        <f>A190*$B$6</f>
        <v/>
      </c>
      <c r="C190" s="5">
        <f>EXP(-$B$12*B190)</f>
        <v/>
      </c>
      <c r="D190" s="5">
        <f>EXP(-$B$13*B190)</f>
        <v/>
      </c>
      <c r="E190">
        <f>C190</f>
        <v/>
      </c>
      <c r="F190">
        <f>D190-C190</f>
        <v/>
      </c>
      <c r="G190">
        <f>1-D190</f>
        <v/>
      </c>
      <c r="H190">
        <f>SUM(E190:G190)</f>
        <v/>
      </c>
      <c r="I190">
        <f>IF(AND(MIN(C190:D190)&gt;=0,MAX(C190:D190)&lt;=1,MIN(E190:G190)&gt;=-1E-10,ABS(H190-1)&lt;1E-8,C190&lt;=C189+1E-10,D190&lt;=D189+1E-10),"OK","ERROR")</f>
        <v/>
      </c>
      <c r="J190">
        <f>1/(1+$B$4)^(B190+$B$6/2)</f>
        <v/>
      </c>
      <c r="K190">
        <f>1/(1+$B$5)^(B190+$B$6/2)</f>
        <v/>
      </c>
      <c r="L190" t="inlineStr">
        <is>
          <t>Average endpoints</t>
        </is>
      </c>
      <c r="M190" s="4">
        <f>SUMPRODUCT((E190:G190+E191:G191)/2,$B$17:$D$17)*$B$6</f>
        <v/>
      </c>
      <c r="N190" s="4">
        <f>M190*J190</f>
        <v/>
      </c>
      <c r="O190" s="4">
        <f>SUMPRODUCT((E190:G190+E191:G191)/2,$B$18:$D$18)*$B$6</f>
        <v/>
      </c>
      <c r="P190" s="4">
        <f>O190*J190</f>
        <v/>
      </c>
      <c r="Q190" s="4">
        <f>SUMPRODUCT((E190:G190+E191:G191)/2,$B$19:$D$19)*$B$6</f>
        <v/>
      </c>
      <c r="R190" s="4">
        <f>Q190*J190</f>
        <v/>
      </c>
      <c r="S190" s="4">
        <f>IF(A190=0,SUMPRODUCT((E190:G190+E191:G191)/2,$B$20:$D$20)*$B$6,0)</f>
        <v/>
      </c>
      <c r="T190" s="4">
        <f>S190*J190</f>
        <v/>
      </c>
      <c r="U190" s="4">
        <f>N190+P190+R190+T190</f>
        <v/>
      </c>
      <c r="V190">
        <f>SUMPRODUCT((E190:G190+E191:G191)/2,$B$24:$D$24)*$B$6</f>
        <v/>
      </c>
      <c r="W190" s="5">
        <f>V190*K190</f>
        <v/>
      </c>
      <c r="X190">
        <f>SUMPRODUCT((E190:G190+E191:G191)/2,$B$25:$D$25)*$B$6</f>
        <v/>
      </c>
      <c r="Y190">
        <f>X190*K190</f>
        <v/>
      </c>
    </row>
    <row r="191">
      <c r="A191" t="n">
        <v>162</v>
      </c>
      <c r="B191">
        <f>A191*$B$6</f>
        <v/>
      </c>
      <c r="C191" s="5">
        <f>EXP(-$B$12*B191)</f>
        <v/>
      </c>
      <c r="D191" s="5">
        <f>EXP(-$B$13*B191)</f>
        <v/>
      </c>
      <c r="E191">
        <f>C191</f>
        <v/>
      </c>
      <c r="F191">
        <f>D191-C191</f>
        <v/>
      </c>
      <c r="G191">
        <f>1-D191</f>
        <v/>
      </c>
      <c r="H191">
        <f>SUM(E191:G191)</f>
        <v/>
      </c>
      <c r="I191">
        <f>IF(AND(MIN(C191:D191)&gt;=0,MAX(C191:D191)&lt;=1,MIN(E191:G191)&gt;=-1E-10,ABS(H191-1)&lt;1E-8,C191&lt;=C190+1E-10,D191&lt;=D190+1E-10),"OK","ERROR")</f>
        <v/>
      </c>
      <c r="J191">
        <f>1/(1+$B$4)^(B191+$B$6/2)</f>
        <v/>
      </c>
      <c r="K191">
        <f>1/(1+$B$5)^(B191+$B$6/2)</f>
        <v/>
      </c>
      <c r="L191" t="inlineStr">
        <is>
          <t>Average endpoints</t>
        </is>
      </c>
      <c r="M191" s="4">
        <f>SUMPRODUCT((E191:G191+E192:G192)/2,$B$17:$D$17)*$B$6</f>
        <v/>
      </c>
      <c r="N191" s="4">
        <f>M191*J191</f>
        <v/>
      </c>
      <c r="O191" s="4">
        <f>SUMPRODUCT((E191:G191+E192:G192)/2,$B$18:$D$18)*$B$6</f>
        <v/>
      </c>
      <c r="P191" s="4">
        <f>O191*J191</f>
        <v/>
      </c>
      <c r="Q191" s="4">
        <f>SUMPRODUCT((E191:G191+E192:G192)/2,$B$19:$D$19)*$B$6</f>
        <v/>
      </c>
      <c r="R191" s="4">
        <f>Q191*J191</f>
        <v/>
      </c>
      <c r="S191" s="4">
        <f>IF(A191=0,SUMPRODUCT((E191:G191+E192:G192)/2,$B$20:$D$20)*$B$6,0)</f>
        <v/>
      </c>
      <c r="T191" s="4">
        <f>S191*J191</f>
        <v/>
      </c>
      <c r="U191" s="4">
        <f>N191+P191+R191+T191</f>
        <v/>
      </c>
      <c r="V191">
        <f>SUMPRODUCT((E191:G191+E192:G192)/2,$B$24:$D$24)*$B$6</f>
        <v/>
      </c>
      <c r="W191" s="5">
        <f>V191*K191</f>
        <v/>
      </c>
      <c r="X191">
        <f>SUMPRODUCT((E191:G191+E192:G192)/2,$B$25:$D$25)*$B$6</f>
        <v/>
      </c>
      <c r="Y191">
        <f>X191*K191</f>
        <v/>
      </c>
    </row>
    <row r="192">
      <c r="A192" t="n">
        <v>163</v>
      </c>
      <c r="B192">
        <f>A192*$B$6</f>
        <v/>
      </c>
      <c r="C192" s="5">
        <f>EXP(-$B$12*B192)</f>
        <v/>
      </c>
      <c r="D192" s="5">
        <f>EXP(-$B$13*B192)</f>
        <v/>
      </c>
      <c r="E192">
        <f>C192</f>
        <v/>
      </c>
      <c r="F192">
        <f>D192-C192</f>
        <v/>
      </c>
      <c r="G192">
        <f>1-D192</f>
        <v/>
      </c>
      <c r="H192">
        <f>SUM(E192:G192)</f>
        <v/>
      </c>
      <c r="I192">
        <f>IF(AND(MIN(C192:D192)&gt;=0,MAX(C192:D192)&lt;=1,MIN(E192:G192)&gt;=-1E-10,ABS(H192-1)&lt;1E-8,C192&lt;=C191+1E-10,D192&lt;=D191+1E-10),"OK","ERROR")</f>
        <v/>
      </c>
      <c r="J192">
        <f>1/(1+$B$4)^(B192+$B$6/2)</f>
        <v/>
      </c>
      <c r="K192">
        <f>1/(1+$B$5)^(B192+$B$6/2)</f>
        <v/>
      </c>
      <c r="L192" t="inlineStr">
        <is>
          <t>Average endpoints</t>
        </is>
      </c>
      <c r="M192" s="4">
        <f>SUMPRODUCT((E192:G192+E193:G193)/2,$B$17:$D$17)*$B$6</f>
        <v/>
      </c>
      <c r="N192" s="4">
        <f>M192*J192</f>
        <v/>
      </c>
      <c r="O192" s="4">
        <f>SUMPRODUCT((E192:G192+E193:G193)/2,$B$18:$D$18)*$B$6</f>
        <v/>
      </c>
      <c r="P192" s="4">
        <f>O192*J192</f>
        <v/>
      </c>
      <c r="Q192" s="4">
        <f>SUMPRODUCT((E192:G192+E193:G193)/2,$B$19:$D$19)*$B$6</f>
        <v/>
      </c>
      <c r="R192" s="4">
        <f>Q192*J192</f>
        <v/>
      </c>
      <c r="S192" s="4">
        <f>IF(A192=0,SUMPRODUCT((E192:G192+E193:G193)/2,$B$20:$D$20)*$B$6,0)</f>
        <v/>
      </c>
      <c r="T192" s="4">
        <f>S192*J192</f>
        <v/>
      </c>
      <c r="U192" s="4">
        <f>N192+P192+R192+T192</f>
        <v/>
      </c>
      <c r="V192">
        <f>SUMPRODUCT((E192:G192+E193:G193)/2,$B$24:$D$24)*$B$6</f>
        <v/>
      </c>
      <c r="W192" s="5">
        <f>V192*K192</f>
        <v/>
      </c>
      <c r="X192">
        <f>SUMPRODUCT((E192:G192+E193:G193)/2,$B$25:$D$25)*$B$6</f>
        <v/>
      </c>
      <c r="Y192">
        <f>X192*K192</f>
        <v/>
      </c>
    </row>
    <row r="193">
      <c r="A193" t="n">
        <v>164</v>
      </c>
      <c r="B193">
        <f>A193*$B$6</f>
        <v/>
      </c>
      <c r="C193" s="5">
        <f>EXP(-$B$12*B193)</f>
        <v/>
      </c>
      <c r="D193" s="5">
        <f>EXP(-$B$13*B193)</f>
        <v/>
      </c>
      <c r="E193">
        <f>C193</f>
        <v/>
      </c>
      <c r="F193">
        <f>D193-C193</f>
        <v/>
      </c>
      <c r="G193">
        <f>1-D193</f>
        <v/>
      </c>
      <c r="H193">
        <f>SUM(E193:G193)</f>
        <v/>
      </c>
      <c r="I193">
        <f>IF(AND(MIN(C193:D193)&gt;=0,MAX(C193:D193)&lt;=1,MIN(E193:G193)&gt;=-1E-10,ABS(H193-1)&lt;1E-8,C193&lt;=C192+1E-10,D193&lt;=D192+1E-10),"OK","ERROR")</f>
        <v/>
      </c>
      <c r="J193">
        <f>1/(1+$B$4)^(B193+$B$6/2)</f>
        <v/>
      </c>
      <c r="K193">
        <f>1/(1+$B$5)^(B193+$B$6/2)</f>
        <v/>
      </c>
      <c r="L193" t="inlineStr">
        <is>
          <t>Average endpoints</t>
        </is>
      </c>
      <c r="M193" s="4">
        <f>SUMPRODUCT((E193:G193+E194:G194)/2,$B$17:$D$17)*$B$6</f>
        <v/>
      </c>
      <c r="N193" s="4">
        <f>M193*J193</f>
        <v/>
      </c>
      <c r="O193" s="4">
        <f>SUMPRODUCT((E193:G193+E194:G194)/2,$B$18:$D$18)*$B$6</f>
        <v/>
      </c>
      <c r="P193" s="4">
        <f>O193*J193</f>
        <v/>
      </c>
      <c r="Q193" s="4">
        <f>SUMPRODUCT((E193:G193+E194:G194)/2,$B$19:$D$19)*$B$6</f>
        <v/>
      </c>
      <c r="R193" s="4">
        <f>Q193*J193</f>
        <v/>
      </c>
      <c r="S193" s="4">
        <f>IF(A193=0,SUMPRODUCT((E193:G193+E194:G194)/2,$B$20:$D$20)*$B$6,0)</f>
        <v/>
      </c>
      <c r="T193" s="4">
        <f>S193*J193</f>
        <v/>
      </c>
      <c r="U193" s="4">
        <f>N193+P193+R193+T193</f>
        <v/>
      </c>
      <c r="V193">
        <f>SUMPRODUCT((E193:G193+E194:G194)/2,$B$24:$D$24)*$B$6</f>
        <v/>
      </c>
      <c r="W193" s="5">
        <f>V193*K193</f>
        <v/>
      </c>
      <c r="X193">
        <f>SUMPRODUCT((E193:G193+E194:G194)/2,$B$25:$D$25)*$B$6</f>
        <v/>
      </c>
      <c r="Y193">
        <f>X193*K193</f>
        <v/>
      </c>
    </row>
    <row r="194">
      <c r="A194" t="n">
        <v>165</v>
      </c>
      <c r="B194">
        <f>A194*$B$6</f>
        <v/>
      </c>
      <c r="C194" s="5">
        <f>EXP(-$B$12*B194)</f>
        <v/>
      </c>
      <c r="D194" s="5">
        <f>EXP(-$B$13*B194)</f>
        <v/>
      </c>
      <c r="E194">
        <f>C194</f>
        <v/>
      </c>
      <c r="F194">
        <f>D194-C194</f>
        <v/>
      </c>
      <c r="G194">
        <f>1-D194</f>
        <v/>
      </c>
      <c r="H194">
        <f>SUM(E194:G194)</f>
        <v/>
      </c>
      <c r="I194">
        <f>IF(AND(MIN(C194:D194)&gt;=0,MAX(C194:D194)&lt;=1,MIN(E194:G194)&gt;=-1E-10,ABS(H194-1)&lt;1E-8,C194&lt;=C193+1E-10,D194&lt;=D193+1E-10),"OK","ERROR")</f>
        <v/>
      </c>
      <c r="J194">
        <f>1/(1+$B$4)^(B194+$B$6/2)</f>
        <v/>
      </c>
      <c r="K194">
        <f>1/(1+$B$5)^(B194+$B$6/2)</f>
        <v/>
      </c>
      <c r="L194" t="inlineStr">
        <is>
          <t>Average endpoints</t>
        </is>
      </c>
      <c r="M194" s="4">
        <f>SUMPRODUCT((E194:G194+E195:G195)/2,$B$17:$D$17)*$B$6</f>
        <v/>
      </c>
      <c r="N194" s="4">
        <f>M194*J194</f>
        <v/>
      </c>
      <c r="O194" s="4">
        <f>SUMPRODUCT((E194:G194+E195:G195)/2,$B$18:$D$18)*$B$6</f>
        <v/>
      </c>
      <c r="P194" s="4">
        <f>O194*J194</f>
        <v/>
      </c>
      <c r="Q194" s="4">
        <f>SUMPRODUCT((E194:G194+E195:G195)/2,$B$19:$D$19)*$B$6</f>
        <v/>
      </c>
      <c r="R194" s="4">
        <f>Q194*J194</f>
        <v/>
      </c>
      <c r="S194" s="4">
        <f>IF(A194=0,SUMPRODUCT((E194:G194+E195:G195)/2,$B$20:$D$20)*$B$6,0)</f>
        <v/>
      </c>
      <c r="T194" s="4">
        <f>S194*J194</f>
        <v/>
      </c>
      <c r="U194" s="4">
        <f>N194+P194+R194+T194</f>
        <v/>
      </c>
      <c r="V194">
        <f>SUMPRODUCT((E194:G194+E195:G195)/2,$B$24:$D$24)*$B$6</f>
        <v/>
      </c>
      <c r="W194" s="5">
        <f>V194*K194</f>
        <v/>
      </c>
      <c r="X194">
        <f>SUMPRODUCT((E194:G194+E195:G195)/2,$B$25:$D$25)*$B$6</f>
        <v/>
      </c>
      <c r="Y194">
        <f>X194*K194</f>
        <v/>
      </c>
    </row>
    <row r="195">
      <c r="A195" t="n">
        <v>166</v>
      </c>
      <c r="B195">
        <f>A195*$B$6</f>
        <v/>
      </c>
      <c r="C195" s="5">
        <f>EXP(-$B$12*B195)</f>
        <v/>
      </c>
      <c r="D195" s="5">
        <f>EXP(-$B$13*B195)</f>
        <v/>
      </c>
      <c r="E195">
        <f>C195</f>
        <v/>
      </c>
      <c r="F195">
        <f>D195-C195</f>
        <v/>
      </c>
      <c r="G195">
        <f>1-D195</f>
        <v/>
      </c>
      <c r="H195">
        <f>SUM(E195:G195)</f>
        <v/>
      </c>
      <c r="I195">
        <f>IF(AND(MIN(C195:D195)&gt;=0,MAX(C195:D195)&lt;=1,MIN(E195:G195)&gt;=-1E-10,ABS(H195-1)&lt;1E-8,C195&lt;=C194+1E-10,D195&lt;=D194+1E-10),"OK","ERROR")</f>
        <v/>
      </c>
      <c r="J195">
        <f>1/(1+$B$4)^(B195+$B$6/2)</f>
        <v/>
      </c>
      <c r="K195">
        <f>1/(1+$B$5)^(B195+$B$6/2)</f>
        <v/>
      </c>
      <c r="L195" t="inlineStr">
        <is>
          <t>Average endpoints</t>
        </is>
      </c>
      <c r="M195" s="4">
        <f>SUMPRODUCT((E195:G195+E196:G196)/2,$B$17:$D$17)*$B$6</f>
        <v/>
      </c>
      <c r="N195" s="4">
        <f>M195*J195</f>
        <v/>
      </c>
      <c r="O195" s="4">
        <f>SUMPRODUCT((E195:G195+E196:G196)/2,$B$18:$D$18)*$B$6</f>
        <v/>
      </c>
      <c r="P195" s="4">
        <f>O195*J195</f>
        <v/>
      </c>
      <c r="Q195" s="4">
        <f>SUMPRODUCT((E195:G195+E196:G196)/2,$B$19:$D$19)*$B$6</f>
        <v/>
      </c>
      <c r="R195" s="4">
        <f>Q195*J195</f>
        <v/>
      </c>
      <c r="S195" s="4">
        <f>IF(A195=0,SUMPRODUCT((E195:G195+E196:G196)/2,$B$20:$D$20)*$B$6,0)</f>
        <v/>
      </c>
      <c r="T195" s="4">
        <f>S195*J195</f>
        <v/>
      </c>
      <c r="U195" s="4">
        <f>N195+P195+R195+T195</f>
        <v/>
      </c>
      <c r="V195">
        <f>SUMPRODUCT((E195:G195+E196:G196)/2,$B$24:$D$24)*$B$6</f>
        <v/>
      </c>
      <c r="W195" s="5">
        <f>V195*K195</f>
        <v/>
      </c>
      <c r="X195">
        <f>SUMPRODUCT((E195:G195+E196:G196)/2,$B$25:$D$25)*$B$6</f>
        <v/>
      </c>
      <c r="Y195">
        <f>X195*K195</f>
        <v/>
      </c>
    </row>
    <row r="196">
      <c r="A196" t="n">
        <v>167</v>
      </c>
      <c r="B196">
        <f>A196*$B$6</f>
        <v/>
      </c>
      <c r="C196" s="5">
        <f>EXP(-$B$12*B196)</f>
        <v/>
      </c>
      <c r="D196" s="5">
        <f>EXP(-$B$13*B196)</f>
        <v/>
      </c>
      <c r="E196">
        <f>C196</f>
        <v/>
      </c>
      <c r="F196">
        <f>D196-C196</f>
        <v/>
      </c>
      <c r="G196">
        <f>1-D196</f>
        <v/>
      </c>
      <c r="H196">
        <f>SUM(E196:G196)</f>
        <v/>
      </c>
      <c r="I196">
        <f>IF(AND(MIN(C196:D196)&gt;=0,MAX(C196:D196)&lt;=1,MIN(E196:G196)&gt;=-1E-10,ABS(H196-1)&lt;1E-8,C196&lt;=C195+1E-10,D196&lt;=D195+1E-10),"OK","ERROR")</f>
        <v/>
      </c>
      <c r="J196">
        <f>1/(1+$B$4)^(B196+$B$6/2)</f>
        <v/>
      </c>
      <c r="K196">
        <f>1/(1+$B$5)^(B196+$B$6/2)</f>
        <v/>
      </c>
      <c r="L196" t="inlineStr">
        <is>
          <t>Average endpoints</t>
        </is>
      </c>
      <c r="M196" s="4">
        <f>SUMPRODUCT((E196:G196+E197:G197)/2,$B$17:$D$17)*$B$6</f>
        <v/>
      </c>
      <c r="N196" s="4">
        <f>M196*J196</f>
        <v/>
      </c>
      <c r="O196" s="4">
        <f>SUMPRODUCT((E196:G196+E197:G197)/2,$B$18:$D$18)*$B$6</f>
        <v/>
      </c>
      <c r="P196" s="4">
        <f>O196*J196</f>
        <v/>
      </c>
      <c r="Q196" s="4">
        <f>SUMPRODUCT((E196:G196+E197:G197)/2,$B$19:$D$19)*$B$6</f>
        <v/>
      </c>
      <c r="R196" s="4">
        <f>Q196*J196</f>
        <v/>
      </c>
      <c r="S196" s="4">
        <f>IF(A196=0,SUMPRODUCT((E196:G196+E197:G197)/2,$B$20:$D$20)*$B$6,0)</f>
        <v/>
      </c>
      <c r="T196" s="4">
        <f>S196*J196</f>
        <v/>
      </c>
      <c r="U196" s="4">
        <f>N196+P196+R196+T196</f>
        <v/>
      </c>
      <c r="V196">
        <f>SUMPRODUCT((E196:G196+E197:G197)/2,$B$24:$D$24)*$B$6</f>
        <v/>
      </c>
      <c r="W196" s="5">
        <f>V196*K196</f>
        <v/>
      </c>
      <c r="X196">
        <f>SUMPRODUCT((E196:G196+E197:G197)/2,$B$25:$D$25)*$B$6</f>
        <v/>
      </c>
      <c r="Y196">
        <f>X196*K196</f>
        <v/>
      </c>
    </row>
    <row r="197">
      <c r="A197" t="n">
        <v>168</v>
      </c>
      <c r="B197">
        <f>A197*$B$6</f>
        <v/>
      </c>
      <c r="C197" s="5">
        <f>EXP(-$B$12*B197)</f>
        <v/>
      </c>
      <c r="D197" s="5">
        <f>EXP(-$B$13*B197)</f>
        <v/>
      </c>
      <c r="E197">
        <f>C197</f>
        <v/>
      </c>
      <c r="F197">
        <f>D197-C197</f>
        <v/>
      </c>
      <c r="G197">
        <f>1-D197</f>
        <v/>
      </c>
      <c r="H197">
        <f>SUM(E197:G197)</f>
        <v/>
      </c>
      <c r="I197">
        <f>IF(AND(MIN(C197:D197)&gt;=0,MAX(C197:D197)&lt;=1,MIN(E197:G197)&gt;=-1E-10,ABS(H197-1)&lt;1E-8,C197&lt;=C196+1E-10,D197&lt;=D196+1E-10),"OK","ERROR")</f>
        <v/>
      </c>
      <c r="J197">
        <f>1/(1+$B$4)^(B197+$B$6/2)</f>
        <v/>
      </c>
      <c r="K197">
        <f>1/(1+$B$5)^(B197+$B$6/2)</f>
        <v/>
      </c>
      <c r="L197" t="inlineStr">
        <is>
          <t>Average endpoints</t>
        </is>
      </c>
      <c r="M197" s="4">
        <f>SUMPRODUCT((E197:G197+E198:G198)/2,$B$17:$D$17)*$B$6</f>
        <v/>
      </c>
      <c r="N197" s="4">
        <f>M197*J197</f>
        <v/>
      </c>
      <c r="O197" s="4">
        <f>SUMPRODUCT((E197:G197+E198:G198)/2,$B$18:$D$18)*$B$6</f>
        <v/>
      </c>
      <c r="P197" s="4">
        <f>O197*J197</f>
        <v/>
      </c>
      <c r="Q197" s="4">
        <f>SUMPRODUCT((E197:G197+E198:G198)/2,$B$19:$D$19)*$B$6</f>
        <v/>
      </c>
      <c r="R197" s="4">
        <f>Q197*J197</f>
        <v/>
      </c>
      <c r="S197" s="4">
        <f>IF(A197=0,SUMPRODUCT((E197:G197+E198:G198)/2,$B$20:$D$20)*$B$6,0)</f>
        <v/>
      </c>
      <c r="T197" s="4">
        <f>S197*J197</f>
        <v/>
      </c>
      <c r="U197" s="4">
        <f>N197+P197+R197+T197</f>
        <v/>
      </c>
      <c r="V197">
        <f>SUMPRODUCT((E197:G197+E198:G198)/2,$B$24:$D$24)*$B$6</f>
        <v/>
      </c>
      <c r="W197" s="5">
        <f>V197*K197</f>
        <v/>
      </c>
      <c r="X197">
        <f>SUMPRODUCT((E197:G197+E198:G198)/2,$B$25:$D$25)*$B$6</f>
        <v/>
      </c>
      <c r="Y197">
        <f>X197*K197</f>
        <v/>
      </c>
    </row>
    <row r="198">
      <c r="A198" t="n">
        <v>169</v>
      </c>
      <c r="B198">
        <f>A198*$B$6</f>
        <v/>
      </c>
      <c r="C198" s="5">
        <f>EXP(-$B$12*B198)</f>
        <v/>
      </c>
      <c r="D198" s="5">
        <f>EXP(-$B$13*B198)</f>
        <v/>
      </c>
      <c r="E198">
        <f>C198</f>
        <v/>
      </c>
      <c r="F198">
        <f>D198-C198</f>
        <v/>
      </c>
      <c r="G198">
        <f>1-D198</f>
        <v/>
      </c>
      <c r="H198">
        <f>SUM(E198:G198)</f>
        <v/>
      </c>
      <c r="I198">
        <f>IF(AND(MIN(C198:D198)&gt;=0,MAX(C198:D198)&lt;=1,MIN(E198:G198)&gt;=-1E-10,ABS(H198-1)&lt;1E-8,C198&lt;=C197+1E-10,D198&lt;=D197+1E-10),"OK","ERROR")</f>
        <v/>
      </c>
      <c r="J198">
        <f>1/(1+$B$4)^(B198+$B$6/2)</f>
        <v/>
      </c>
      <c r="K198">
        <f>1/(1+$B$5)^(B198+$B$6/2)</f>
        <v/>
      </c>
      <c r="L198" t="inlineStr">
        <is>
          <t>Average endpoints</t>
        </is>
      </c>
      <c r="M198" s="4">
        <f>SUMPRODUCT((E198:G198+E199:G199)/2,$B$17:$D$17)*$B$6</f>
        <v/>
      </c>
      <c r="N198" s="4">
        <f>M198*J198</f>
        <v/>
      </c>
      <c r="O198" s="4">
        <f>SUMPRODUCT((E198:G198+E199:G199)/2,$B$18:$D$18)*$B$6</f>
        <v/>
      </c>
      <c r="P198" s="4">
        <f>O198*J198</f>
        <v/>
      </c>
      <c r="Q198" s="4">
        <f>SUMPRODUCT((E198:G198+E199:G199)/2,$B$19:$D$19)*$B$6</f>
        <v/>
      </c>
      <c r="R198" s="4">
        <f>Q198*J198</f>
        <v/>
      </c>
      <c r="S198" s="4">
        <f>IF(A198=0,SUMPRODUCT((E198:G198+E199:G199)/2,$B$20:$D$20)*$B$6,0)</f>
        <v/>
      </c>
      <c r="T198" s="4">
        <f>S198*J198</f>
        <v/>
      </c>
      <c r="U198" s="4">
        <f>N198+P198+R198+T198</f>
        <v/>
      </c>
      <c r="V198">
        <f>SUMPRODUCT((E198:G198+E199:G199)/2,$B$24:$D$24)*$B$6</f>
        <v/>
      </c>
      <c r="W198" s="5">
        <f>V198*K198</f>
        <v/>
      </c>
      <c r="X198">
        <f>SUMPRODUCT((E198:G198+E199:G199)/2,$B$25:$D$25)*$B$6</f>
        <v/>
      </c>
      <c r="Y198">
        <f>X198*K198</f>
        <v/>
      </c>
    </row>
    <row r="199">
      <c r="A199" t="n">
        <v>170</v>
      </c>
      <c r="B199">
        <f>A199*$B$6</f>
        <v/>
      </c>
      <c r="C199" s="5">
        <f>EXP(-$B$12*B199)</f>
        <v/>
      </c>
      <c r="D199" s="5">
        <f>EXP(-$B$13*B199)</f>
        <v/>
      </c>
      <c r="E199">
        <f>C199</f>
        <v/>
      </c>
      <c r="F199">
        <f>D199-C199</f>
        <v/>
      </c>
      <c r="G199">
        <f>1-D199</f>
        <v/>
      </c>
      <c r="H199">
        <f>SUM(E199:G199)</f>
        <v/>
      </c>
      <c r="I199">
        <f>IF(AND(MIN(C199:D199)&gt;=0,MAX(C199:D199)&lt;=1,MIN(E199:G199)&gt;=-1E-10,ABS(H199-1)&lt;1E-8,C199&lt;=C198+1E-10,D199&lt;=D198+1E-10),"OK","ERROR")</f>
        <v/>
      </c>
      <c r="J199">
        <f>1/(1+$B$4)^(B199+$B$6/2)</f>
        <v/>
      </c>
      <c r="K199">
        <f>1/(1+$B$5)^(B199+$B$6/2)</f>
        <v/>
      </c>
      <c r="L199" t="inlineStr">
        <is>
          <t>Average endpoints</t>
        </is>
      </c>
      <c r="M199" s="4">
        <f>SUMPRODUCT((E199:G199+E200:G200)/2,$B$17:$D$17)*$B$6</f>
        <v/>
      </c>
      <c r="N199" s="4">
        <f>M199*J199</f>
        <v/>
      </c>
      <c r="O199" s="4">
        <f>SUMPRODUCT((E199:G199+E200:G200)/2,$B$18:$D$18)*$B$6</f>
        <v/>
      </c>
      <c r="P199" s="4">
        <f>O199*J199</f>
        <v/>
      </c>
      <c r="Q199" s="4">
        <f>SUMPRODUCT((E199:G199+E200:G200)/2,$B$19:$D$19)*$B$6</f>
        <v/>
      </c>
      <c r="R199" s="4">
        <f>Q199*J199</f>
        <v/>
      </c>
      <c r="S199" s="4">
        <f>IF(A199=0,SUMPRODUCT((E199:G199+E200:G200)/2,$B$20:$D$20)*$B$6,0)</f>
        <v/>
      </c>
      <c r="T199" s="4">
        <f>S199*J199</f>
        <v/>
      </c>
      <c r="U199" s="4">
        <f>N199+P199+R199+T199</f>
        <v/>
      </c>
      <c r="V199">
        <f>SUMPRODUCT((E199:G199+E200:G200)/2,$B$24:$D$24)*$B$6</f>
        <v/>
      </c>
      <c r="W199" s="5">
        <f>V199*K199</f>
        <v/>
      </c>
      <c r="X199">
        <f>SUMPRODUCT((E199:G199+E200:G200)/2,$B$25:$D$25)*$B$6</f>
        <v/>
      </c>
      <c r="Y199">
        <f>X199*K199</f>
        <v/>
      </c>
    </row>
    <row r="200">
      <c r="A200" t="n">
        <v>171</v>
      </c>
      <c r="B200">
        <f>A200*$B$6</f>
        <v/>
      </c>
      <c r="C200" s="5">
        <f>EXP(-$B$12*B200)</f>
        <v/>
      </c>
      <c r="D200" s="5">
        <f>EXP(-$B$13*B200)</f>
        <v/>
      </c>
      <c r="E200">
        <f>C200</f>
        <v/>
      </c>
      <c r="F200">
        <f>D200-C200</f>
        <v/>
      </c>
      <c r="G200">
        <f>1-D200</f>
        <v/>
      </c>
      <c r="H200">
        <f>SUM(E200:G200)</f>
        <v/>
      </c>
      <c r="I200">
        <f>IF(AND(MIN(C200:D200)&gt;=0,MAX(C200:D200)&lt;=1,MIN(E200:G200)&gt;=-1E-10,ABS(H200-1)&lt;1E-8,C200&lt;=C199+1E-10,D200&lt;=D199+1E-10),"OK","ERROR")</f>
        <v/>
      </c>
      <c r="J200">
        <f>1/(1+$B$4)^(B200+$B$6/2)</f>
        <v/>
      </c>
      <c r="K200">
        <f>1/(1+$B$5)^(B200+$B$6/2)</f>
        <v/>
      </c>
      <c r="L200" t="inlineStr">
        <is>
          <t>Average endpoints</t>
        </is>
      </c>
      <c r="M200" s="4">
        <f>SUMPRODUCT((E200:G200+E201:G201)/2,$B$17:$D$17)*$B$6</f>
        <v/>
      </c>
      <c r="N200" s="4">
        <f>M200*J200</f>
        <v/>
      </c>
      <c r="O200" s="4">
        <f>SUMPRODUCT((E200:G200+E201:G201)/2,$B$18:$D$18)*$B$6</f>
        <v/>
      </c>
      <c r="P200" s="4">
        <f>O200*J200</f>
        <v/>
      </c>
      <c r="Q200" s="4">
        <f>SUMPRODUCT((E200:G200+E201:G201)/2,$B$19:$D$19)*$B$6</f>
        <v/>
      </c>
      <c r="R200" s="4">
        <f>Q200*J200</f>
        <v/>
      </c>
      <c r="S200" s="4">
        <f>IF(A200=0,SUMPRODUCT((E200:G200+E201:G201)/2,$B$20:$D$20)*$B$6,0)</f>
        <v/>
      </c>
      <c r="T200" s="4">
        <f>S200*J200</f>
        <v/>
      </c>
      <c r="U200" s="4">
        <f>N200+P200+R200+T200</f>
        <v/>
      </c>
      <c r="V200">
        <f>SUMPRODUCT((E200:G200+E201:G201)/2,$B$24:$D$24)*$B$6</f>
        <v/>
      </c>
      <c r="W200" s="5">
        <f>V200*K200</f>
        <v/>
      </c>
      <c r="X200">
        <f>SUMPRODUCT((E200:G200+E201:G201)/2,$B$25:$D$25)*$B$6</f>
        <v/>
      </c>
      <c r="Y200">
        <f>X200*K200</f>
        <v/>
      </c>
    </row>
    <row r="201">
      <c r="A201" t="n">
        <v>172</v>
      </c>
      <c r="B201">
        <f>A201*$B$6</f>
        <v/>
      </c>
      <c r="C201" s="5">
        <f>EXP(-$B$12*B201)</f>
        <v/>
      </c>
      <c r="D201" s="5">
        <f>EXP(-$B$13*B201)</f>
        <v/>
      </c>
      <c r="E201">
        <f>C201</f>
        <v/>
      </c>
      <c r="F201">
        <f>D201-C201</f>
        <v/>
      </c>
      <c r="G201">
        <f>1-D201</f>
        <v/>
      </c>
      <c r="H201">
        <f>SUM(E201:G201)</f>
        <v/>
      </c>
      <c r="I201">
        <f>IF(AND(MIN(C201:D201)&gt;=0,MAX(C201:D201)&lt;=1,MIN(E201:G201)&gt;=-1E-10,ABS(H201-1)&lt;1E-8,C201&lt;=C200+1E-10,D201&lt;=D200+1E-10),"OK","ERROR")</f>
        <v/>
      </c>
      <c r="J201">
        <f>1/(1+$B$4)^(B201+$B$6/2)</f>
        <v/>
      </c>
      <c r="K201">
        <f>1/(1+$B$5)^(B201+$B$6/2)</f>
        <v/>
      </c>
      <c r="L201" t="inlineStr">
        <is>
          <t>Average endpoints</t>
        </is>
      </c>
      <c r="M201" s="4">
        <f>SUMPRODUCT((E201:G201+E202:G202)/2,$B$17:$D$17)*$B$6</f>
        <v/>
      </c>
      <c r="N201" s="4">
        <f>M201*J201</f>
        <v/>
      </c>
      <c r="O201" s="4">
        <f>SUMPRODUCT((E201:G201+E202:G202)/2,$B$18:$D$18)*$B$6</f>
        <v/>
      </c>
      <c r="P201" s="4">
        <f>O201*J201</f>
        <v/>
      </c>
      <c r="Q201" s="4">
        <f>SUMPRODUCT((E201:G201+E202:G202)/2,$B$19:$D$19)*$B$6</f>
        <v/>
      </c>
      <c r="R201" s="4">
        <f>Q201*J201</f>
        <v/>
      </c>
      <c r="S201" s="4">
        <f>IF(A201=0,SUMPRODUCT((E201:G201+E202:G202)/2,$B$20:$D$20)*$B$6,0)</f>
        <v/>
      </c>
      <c r="T201" s="4">
        <f>S201*J201</f>
        <v/>
      </c>
      <c r="U201" s="4">
        <f>N201+P201+R201+T201</f>
        <v/>
      </c>
      <c r="V201">
        <f>SUMPRODUCT((E201:G201+E202:G202)/2,$B$24:$D$24)*$B$6</f>
        <v/>
      </c>
      <c r="W201" s="5">
        <f>V201*K201</f>
        <v/>
      </c>
      <c r="X201">
        <f>SUMPRODUCT((E201:G201+E202:G202)/2,$B$25:$D$25)*$B$6</f>
        <v/>
      </c>
      <c r="Y201">
        <f>X201*K201</f>
        <v/>
      </c>
    </row>
    <row r="202">
      <c r="A202" t="n">
        <v>173</v>
      </c>
      <c r="B202">
        <f>A202*$B$6</f>
        <v/>
      </c>
      <c r="C202" s="5">
        <f>EXP(-$B$12*B202)</f>
        <v/>
      </c>
      <c r="D202" s="5">
        <f>EXP(-$B$13*B202)</f>
        <v/>
      </c>
      <c r="E202">
        <f>C202</f>
        <v/>
      </c>
      <c r="F202">
        <f>D202-C202</f>
        <v/>
      </c>
      <c r="G202">
        <f>1-D202</f>
        <v/>
      </c>
      <c r="H202">
        <f>SUM(E202:G202)</f>
        <v/>
      </c>
      <c r="I202">
        <f>IF(AND(MIN(C202:D202)&gt;=0,MAX(C202:D202)&lt;=1,MIN(E202:G202)&gt;=-1E-10,ABS(H202-1)&lt;1E-8,C202&lt;=C201+1E-10,D202&lt;=D201+1E-10),"OK","ERROR")</f>
        <v/>
      </c>
      <c r="J202">
        <f>1/(1+$B$4)^(B202+$B$6/2)</f>
        <v/>
      </c>
      <c r="K202">
        <f>1/(1+$B$5)^(B202+$B$6/2)</f>
        <v/>
      </c>
      <c r="L202" t="inlineStr">
        <is>
          <t>Average endpoints</t>
        </is>
      </c>
      <c r="M202" s="4">
        <f>SUMPRODUCT((E202:G202+E203:G203)/2,$B$17:$D$17)*$B$6</f>
        <v/>
      </c>
      <c r="N202" s="4">
        <f>M202*J202</f>
        <v/>
      </c>
      <c r="O202" s="4">
        <f>SUMPRODUCT((E202:G202+E203:G203)/2,$B$18:$D$18)*$B$6</f>
        <v/>
      </c>
      <c r="P202" s="4">
        <f>O202*J202</f>
        <v/>
      </c>
      <c r="Q202" s="4">
        <f>SUMPRODUCT((E202:G202+E203:G203)/2,$B$19:$D$19)*$B$6</f>
        <v/>
      </c>
      <c r="R202" s="4">
        <f>Q202*J202</f>
        <v/>
      </c>
      <c r="S202" s="4">
        <f>IF(A202=0,SUMPRODUCT((E202:G202+E203:G203)/2,$B$20:$D$20)*$B$6,0)</f>
        <v/>
      </c>
      <c r="T202" s="4">
        <f>S202*J202</f>
        <v/>
      </c>
      <c r="U202" s="4">
        <f>N202+P202+R202+T202</f>
        <v/>
      </c>
      <c r="V202">
        <f>SUMPRODUCT((E202:G202+E203:G203)/2,$B$24:$D$24)*$B$6</f>
        <v/>
      </c>
      <c r="W202" s="5">
        <f>V202*K202</f>
        <v/>
      </c>
      <c r="X202">
        <f>SUMPRODUCT((E202:G202+E203:G203)/2,$B$25:$D$25)*$B$6</f>
        <v/>
      </c>
      <c r="Y202">
        <f>X202*K202</f>
        <v/>
      </c>
    </row>
    <row r="203">
      <c r="A203" t="n">
        <v>174</v>
      </c>
      <c r="B203">
        <f>A203*$B$6</f>
        <v/>
      </c>
      <c r="C203" s="5">
        <f>EXP(-$B$12*B203)</f>
        <v/>
      </c>
      <c r="D203" s="5">
        <f>EXP(-$B$13*B203)</f>
        <v/>
      </c>
      <c r="E203">
        <f>C203</f>
        <v/>
      </c>
      <c r="F203">
        <f>D203-C203</f>
        <v/>
      </c>
      <c r="G203">
        <f>1-D203</f>
        <v/>
      </c>
      <c r="H203">
        <f>SUM(E203:G203)</f>
        <v/>
      </c>
      <c r="I203">
        <f>IF(AND(MIN(C203:D203)&gt;=0,MAX(C203:D203)&lt;=1,MIN(E203:G203)&gt;=-1E-10,ABS(H203-1)&lt;1E-8,C203&lt;=C202+1E-10,D203&lt;=D202+1E-10),"OK","ERROR")</f>
        <v/>
      </c>
      <c r="J203">
        <f>1/(1+$B$4)^(B203+$B$6/2)</f>
        <v/>
      </c>
      <c r="K203">
        <f>1/(1+$B$5)^(B203+$B$6/2)</f>
        <v/>
      </c>
      <c r="L203" t="inlineStr">
        <is>
          <t>Average endpoints</t>
        </is>
      </c>
      <c r="M203" s="4">
        <f>SUMPRODUCT((E203:G203+E204:G204)/2,$B$17:$D$17)*$B$6</f>
        <v/>
      </c>
      <c r="N203" s="4">
        <f>M203*J203</f>
        <v/>
      </c>
      <c r="O203" s="4">
        <f>SUMPRODUCT((E203:G203+E204:G204)/2,$B$18:$D$18)*$B$6</f>
        <v/>
      </c>
      <c r="P203" s="4">
        <f>O203*J203</f>
        <v/>
      </c>
      <c r="Q203" s="4">
        <f>SUMPRODUCT((E203:G203+E204:G204)/2,$B$19:$D$19)*$B$6</f>
        <v/>
      </c>
      <c r="R203" s="4">
        <f>Q203*J203</f>
        <v/>
      </c>
      <c r="S203" s="4">
        <f>IF(A203=0,SUMPRODUCT((E203:G203+E204:G204)/2,$B$20:$D$20)*$B$6,0)</f>
        <v/>
      </c>
      <c r="T203" s="4">
        <f>S203*J203</f>
        <v/>
      </c>
      <c r="U203" s="4">
        <f>N203+P203+R203+T203</f>
        <v/>
      </c>
      <c r="V203">
        <f>SUMPRODUCT((E203:G203+E204:G204)/2,$B$24:$D$24)*$B$6</f>
        <v/>
      </c>
      <c r="W203" s="5">
        <f>V203*K203</f>
        <v/>
      </c>
      <c r="X203">
        <f>SUMPRODUCT((E203:G203+E204:G204)/2,$B$25:$D$25)*$B$6</f>
        <v/>
      </c>
      <c r="Y203">
        <f>X203*K203</f>
        <v/>
      </c>
    </row>
    <row r="204">
      <c r="A204" t="n">
        <v>175</v>
      </c>
      <c r="B204">
        <f>A204*$B$6</f>
        <v/>
      </c>
      <c r="C204" s="5">
        <f>EXP(-$B$12*B204)</f>
        <v/>
      </c>
      <c r="D204" s="5">
        <f>EXP(-$B$13*B204)</f>
        <v/>
      </c>
      <c r="E204">
        <f>C204</f>
        <v/>
      </c>
      <c r="F204">
        <f>D204-C204</f>
        <v/>
      </c>
      <c r="G204">
        <f>1-D204</f>
        <v/>
      </c>
      <c r="H204">
        <f>SUM(E204:G204)</f>
        <v/>
      </c>
      <c r="I204">
        <f>IF(AND(MIN(C204:D204)&gt;=0,MAX(C204:D204)&lt;=1,MIN(E204:G204)&gt;=-1E-10,ABS(H204-1)&lt;1E-8,C204&lt;=C203+1E-10,D204&lt;=D203+1E-10),"OK","ERROR")</f>
        <v/>
      </c>
      <c r="J204">
        <f>1/(1+$B$4)^(B204+$B$6/2)</f>
        <v/>
      </c>
      <c r="K204">
        <f>1/(1+$B$5)^(B204+$B$6/2)</f>
        <v/>
      </c>
      <c r="L204" t="inlineStr">
        <is>
          <t>Average endpoints</t>
        </is>
      </c>
      <c r="M204" s="4">
        <f>SUMPRODUCT((E204:G204+E205:G205)/2,$B$17:$D$17)*$B$6</f>
        <v/>
      </c>
      <c r="N204" s="4">
        <f>M204*J204</f>
        <v/>
      </c>
      <c r="O204" s="4">
        <f>SUMPRODUCT((E204:G204+E205:G205)/2,$B$18:$D$18)*$B$6</f>
        <v/>
      </c>
      <c r="P204" s="4">
        <f>O204*J204</f>
        <v/>
      </c>
      <c r="Q204" s="4">
        <f>SUMPRODUCT((E204:G204+E205:G205)/2,$B$19:$D$19)*$B$6</f>
        <v/>
      </c>
      <c r="R204" s="4">
        <f>Q204*J204</f>
        <v/>
      </c>
      <c r="S204" s="4">
        <f>IF(A204=0,SUMPRODUCT((E204:G204+E205:G205)/2,$B$20:$D$20)*$B$6,0)</f>
        <v/>
      </c>
      <c r="T204" s="4">
        <f>S204*J204</f>
        <v/>
      </c>
      <c r="U204" s="4">
        <f>N204+P204+R204+T204</f>
        <v/>
      </c>
      <c r="V204">
        <f>SUMPRODUCT((E204:G204+E205:G205)/2,$B$24:$D$24)*$B$6</f>
        <v/>
      </c>
      <c r="W204" s="5">
        <f>V204*K204</f>
        <v/>
      </c>
      <c r="X204">
        <f>SUMPRODUCT((E204:G204+E205:G205)/2,$B$25:$D$25)*$B$6</f>
        <v/>
      </c>
      <c r="Y204">
        <f>X204*K204</f>
        <v/>
      </c>
    </row>
    <row r="205">
      <c r="A205" t="n">
        <v>176</v>
      </c>
      <c r="B205">
        <f>A205*$B$6</f>
        <v/>
      </c>
      <c r="C205" s="5">
        <f>EXP(-$B$12*B205)</f>
        <v/>
      </c>
      <c r="D205" s="5">
        <f>EXP(-$B$13*B205)</f>
        <v/>
      </c>
      <c r="E205">
        <f>C205</f>
        <v/>
      </c>
      <c r="F205">
        <f>D205-C205</f>
        <v/>
      </c>
      <c r="G205">
        <f>1-D205</f>
        <v/>
      </c>
      <c r="H205">
        <f>SUM(E205:G205)</f>
        <v/>
      </c>
      <c r="I205">
        <f>IF(AND(MIN(C205:D205)&gt;=0,MAX(C205:D205)&lt;=1,MIN(E205:G205)&gt;=-1E-10,ABS(H205-1)&lt;1E-8,C205&lt;=C204+1E-10,D205&lt;=D204+1E-10),"OK","ERROR")</f>
        <v/>
      </c>
      <c r="J205">
        <f>1/(1+$B$4)^(B205+$B$6/2)</f>
        <v/>
      </c>
      <c r="K205">
        <f>1/(1+$B$5)^(B205+$B$6/2)</f>
        <v/>
      </c>
      <c r="L205" t="inlineStr">
        <is>
          <t>Average endpoints</t>
        </is>
      </c>
      <c r="M205" s="4">
        <f>SUMPRODUCT((E205:G205+E206:G206)/2,$B$17:$D$17)*$B$6</f>
        <v/>
      </c>
      <c r="N205" s="4">
        <f>M205*J205</f>
        <v/>
      </c>
      <c r="O205" s="4">
        <f>SUMPRODUCT((E205:G205+E206:G206)/2,$B$18:$D$18)*$B$6</f>
        <v/>
      </c>
      <c r="P205" s="4">
        <f>O205*J205</f>
        <v/>
      </c>
      <c r="Q205" s="4">
        <f>SUMPRODUCT((E205:G205+E206:G206)/2,$B$19:$D$19)*$B$6</f>
        <v/>
      </c>
      <c r="R205" s="4">
        <f>Q205*J205</f>
        <v/>
      </c>
      <c r="S205" s="4">
        <f>IF(A205=0,SUMPRODUCT((E205:G205+E206:G206)/2,$B$20:$D$20)*$B$6,0)</f>
        <v/>
      </c>
      <c r="T205" s="4">
        <f>S205*J205</f>
        <v/>
      </c>
      <c r="U205" s="4">
        <f>N205+P205+R205+T205</f>
        <v/>
      </c>
      <c r="V205">
        <f>SUMPRODUCT((E205:G205+E206:G206)/2,$B$24:$D$24)*$B$6</f>
        <v/>
      </c>
      <c r="W205" s="5">
        <f>V205*K205</f>
        <v/>
      </c>
      <c r="X205">
        <f>SUMPRODUCT((E205:G205+E206:G206)/2,$B$25:$D$25)*$B$6</f>
        <v/>
      </c>
      <c r="Y205">
        <f>X205*K205</f>
        <v/>
      </c>
    </row>
    <row r="206">
      <c r="A206" t="n">
        <v>177</v>
      </c>
      <c r="B206">
        <f>A206*$B$6</f>
        <v/>
      </c>
      <c r="C206" s="5">
        <f>EXP(-$B$12*B206)</f>
        <v/>
      </c>
      <c r="D206" s="5">
        <f>EXP(-$B$13*B206)</f>
        <v/>
      </c>
      <c r="E206">
        <f>C206</f>
        <v/>
      </c>
      <c r="F206">
        <f>D206-C206</f>
        <v/>
      </c>
      <c r="G206">
        <f>1-D206</f>
        <v/>
      </c>
      <c r="H206">
        <f>SUM(E206:G206)</f>
        <v/>
      </c>
      <c r="I206">
        <f>IF(AND(MIN(C206:D206)&gt;=0,MAX(C206:D206)&lt;=1,MIN(E206:G206)&gt;=-1E-10,ABS(H206-1)&lt;1E-8,C206&lt;=C205+1E-10,D206&lt;=D205+1E-10),"OK","ERROR")</f>
        <v/>
      </c>
      <c r="J206">
        <f>1/(1+$B$4)^(B206+$B$6/2)</f>
        <v/>
      </c>
      <c r="K206">
        <f>1/(1+$B$5)^(B206+$B$6/2)</f>
        <v/>
      </c>
      <c r="L206" t="inlineStr">
        <is>
          <t>Average endpoints</t>
        </is>
      </c>
      <c r="M206" s="4">
        <f>SUMPRODUCT((E206:G206+E207:G207)/2,$B$17:$D$17)*$B$6</f>
        <v/>
      </c>
      <c r="N206" s="4">
        <f>M206*J206</f>
        <v/>
      </c>
      <c r="O206" s="4">
        <f>SUMPRODUCT((E206:G206+E207:G207)/2,$B$18:$D$18)*$B$6</f>
        <v/>
      </c>
      <c r="P206" s="4">
        <f>O206*J206</f>
        <v/>
      </c>
      <c r="Q206" s="4">
        <f>SUMPRODUCT((E206:G206+E207:G207)/2,$B$19:$D$19)*$B$6</f>
        <v/>
      </c>
      <c r="R206" s="4">
        <f>Q206*J206</f>
        <v/>
      </c>
      <c r="S206" s="4">
        <f>IF(A206=0,SUMPRODUCT((E206:G206+E207:G207)/2,$B$20:$D$20)*$B$6,0)</f>
        <v/>
      </c>
      <c r="T206" s="4">
        <f>S206*J206</f>
        <v/>
      </c>
      <c r="U206" s="4">
        <f>N206+P206+R206+T206</f>
        <v/>
      </c>
      <c r="V206">
        <f>SUMPRODUCT((E206:G206+E207:G207)/2,$B$24:$D$24)*$B$6</f>
        <v/>
      </c>
      <c r="W206" s="5">
        <f>V206*K206</f>
        <v/>
      </c>
      <c r="X206">
        <f>SUMPRODUCT((E206:G206+E207:G207)/2,$B$25:$D$25)*$B$6</f>
        <v/>
      </c>
      <c r="Y206">
        <f>X206*K206</f>
        <v/>
      </c>
    </row>
    <row r="207">
      <c r="A207" t="n">
        <v>178</v>
      </c>
      <c r="B207">
        <f>A207*$B$6</f>
        <v/>
      </c>
      <c r="C207" s="5">
        <f>EXP(-$B$12*B207)</f>
        <v/>
      </c>
      <c r="D207" s="5">
        <f>EXP(-$B$13*B207)</f>
        <v/>
      </c>
      <c r="E207">
        <f>C207</f>
        <v/>
      </c>
      <c r="F207">
        <f>D207-C207</f>
        <v/>
      </c>
      <c r="G207">
        <f>1-D207</f>
        <v/>
      </c>
      <c r="H207">
        <f>SUM(E207:G207)</f>
        <v/>
      </c>
      <c r="I207">
        <f>IF(AND(MIN(C207:D207)&gt;=0,MAX(C207:D207)&lt;=1,MIN(E207:G207)&gt;=-1E-10,ABS(H207-1)&lt;1E-8,C207&lt;=C206+1E-10,D207&lt;=D206+1E-10),"OK","ERROR")</f>
        <v/>
      </c>
      <c r="J207">
        <f>1/(1+$B$4)^(B207+$B$6/2)</f>
        <v/>
      </c>
      <c r="K207">
        <f>1/(1+$B$5)^(B207+$B$6/2)</f>
        <v/>
      </c>
      <c r="L207" t="inlineStr">
        <is>
          <t>Average endpoints</t>
        </is>
      </c>
      <c r="M207" s="4">
        <f>SUMPRODUCT((E207:G207+E208:G208)/2,$B$17:$D$17)*$B$6</f>
        <v/>
      </c>
      <c r="N207" s="4">
        <f>M207*J207</f>
        <v/>
      </c>
      <c r="O207" s="4">
        <f>SUMPRODUCT((E207:G207+E208:G208)/2,$B$18:$D$18)*$B$6</f>
        <v/>
      </c>
      <c r="P207" s="4">
        <f>O207*J207</f>
        <v/>
      </c>
      <c r="Q207" s="4">
        <f>SUMPRODUCT((E207:G207+E208:G208)/2,$B$19:$D$19)*$B$6</f>
        <v/>
      </c>
      <c r="R207" s="4">
        <f>Q207*J207</f>
        <v/>
      </c>
      <c r="S207" s="4">
        <f>IF(A207=0,SUMPRODUCT((E207:G207+E208:G208)/2,$B$20:$D$20)*$B$6,0)</f>
        <v/>
      </c>
      <c r="T207" s="4">
        <f>S207*J207</f>
        <v/>
      </c>
      <c r="U207" s="4">
        <f>N207+P207+R207+T207</f>
        <v/>
      </c>
      <c r="V207">
        <f>SUMPRODUCT((E207:G207+E208:G208)/2,$B$24:$D$24)*$B$6</f>
        <v/>
      </c>
      <c r="W207" s="5">
        <f>V207*K207</f>
        <v/>
      </c>
      <c r="X207">
        <f>SUMPRODUCT((E207:G207+E208:G208)/2,$B$25:$D$25)*$B$6</f>
        <v/>
      </c>
      <c r="Y207">
        <f>X207*K207</f>
        <v/>
      </c>
    </row>
    <row r="208">
      <c r="A208" t="n">
        <v>179</v>
      </c>
      <c r="B208">
        <f>A208*$B$6</f>
        <v/>
      </c>
      <c r="C208" s="5">
        <f>EXP(-$B$12*B208)</f>
        <v/>
      </c>
      <c r="D208" s="5">
        <f>EXP(-$B$13*B208)</f>
        <v/>
      </c>
      <c r="E208">
        <f>C208</f>
        <v/>
      </c>
      <c r="F208">
        <f>D208-C208</f>
        <v/>
      </c>
      <c r="G208">
        <f>1-D208</f>
        <v/>
      </c>
      <c r="H208">
        <f>SUM(E208:G208)</f>
        <v/>
      </c>
      <c r="I208">
        <f>IF(AND(MIN(C208:D208)&gt;=0,MAX(C208:D208)&lt;=1,MIN(E208:G208)&gt;=-1E-10,ABS(H208-1)&lt;1E-8,C208&lt;=C207+1E-10,D208&lt;=D207+1E-10),"OK","ERROR")</f>
        <v/>
      </c>
      <c r="J208">
        <f>1/(1+$B$4)^(B208+$B$6/2)</f>
        <v/>
      </c>
      <c r="K208">
        <f>1/(1+$B$5)^(B208+$B$6/2)</f>
        <v/>
      </c>
      <c r="L208" t="inlineStr">
        <is>
          <t>Average endpoints</t>
        </is>
      </c>
      <c r="M208" s="4">
        <f>SUMPRODUCT((E208:G208+E209:G209)/2,$B$17:$D$17)*$B$6</f>
        <v/>
      </c>
      <c r="N208" s="4">
        <f>M208*J208</f>
        <v/>
      </c>
      <c r="O208" s="4">
        <f>SUMPRODUCT((E208:G208+E209:G209)/2,$B$18:$D$18)*$B$6</f>
        <v/>
      </c>
      <c r="P208" s="4">
        <f>O208*J208</f>
        <v/>
      </c>
      <c r="Q208" s="4">
        <f>SUMPRODUCT((E208:G208+E209:G209)/2,$B$19:$D$19)*$B$6</f>
        <v/>
      </c>
      <c r="R208" s="4">
        <f>Q208*J208</f>
        <v/>
      </c>
      <c r="S208" s="4">
        <f>IF(A208=0,SUMPRODUCT((E208:G208+E209:G209)/2,$B$20:$D$20)*$B$6,0)</f>
        <v/>
      </c>
      <c r="T208" s="4">
        <f>S208*J208</f>
        <v/>
      </c>
      <c r="U208" s="4">
        <f>N208+P208+R208+T208</f>
        <v/>
      </c>
      <c r="V208">
        <f>SUMPRODUCT((E208:G208+E209:G209)/2,$B$24:$D$24)*$B$6</f>
        <v/>
      </c>
      <c r="W208" s="5">
        <f>V208*K208</f>
        <v/>
      </c>
      <c r="X208">
        <f>SUMPRODUCT((E208:G208+E209:G209)/2,$B$25:$D$25)*$B$6</f>
        <v/>
      </c>
      <c r="Y208">
        <f>X208*K208</f>
        <v/>
      </c>
    </row>
    <row r="209">
      <c r="A209" t="n">
        <v>180</v>
      </c>
      <c r="B209">
        <f>A209*$B$6</f>
        <v/>
      </c>
      <c r="C209" s="5">
        <f>EXP(-$B$12*B209)</f>
        <v/>
      </c>
      <c r="D209" s="5">
        <f>EXP(-$B$13*B209)</f>
        <v/>
      </c>
      <c r="E209">
        <f>C209</f>
        <v/>
      </c>
      <c r="F209">
        <f>D209-C209</f>
        <v/>
      </c>
      <c r="G209">
        <f>1-D209</f>
        <v/>
      </c>
      <c r="H209">
        <f>SUM(E209:G209)</f>
        <v/>
      </c>
      <c r="I209">
        <f>IF(AND(MIN(C209:D209)&gt;=0,MAX(C209:D209)&lt;=1,MIN(E209:G209)&gt;=-1E-10,ABS(H209-1)&lt;1E-8,C209&lt;=C208+1E-10,D209&lt;=D208+1E-10),"OK","ERROR")</f>
        <v/>
      </c>
      <c r="J209">
        <f>1/(1+$B$4)^(B209+$B$6/2)</f>
        <v/>
      </c>
      <c r="K209">
        <f>1/(1+$B$5)^(B209+$B$6/2)</f>
        <v/>
      </c>
      <c r="L209" t="inlineStr">
        <is>
          <t>Average endpoints</t>
        </is>
      </c>
      <c r="M209" s="4">
        <f>SUMPRODUCT((E209:G209+E210:G210)/2,$B$17:$D$17)*$B$6</f>
        <v/>
      </c>
      <c r="N209" s="4">
        <f>M209*J209</f>
        <v/>
      </c>
      <c r="O209" s="4">
        <f>SUMPRODUCT((E209:G209+E210:G210)/2,$B$18:$D$18)*$B$6</f>
        <v/>
      </c>
      <c r="P209" s="4">
        <f>O209*J209</f>
        <v/>
      </c>
      <c r="Q209" s="4">
        <f>SUMPRODUCT((E209:G209+E210:G210)/2,$B$19:$D$19)*$B$6</f>
        <v/>
      </c>
      <c r="R209" s="4">
        <f>Q209*J209</f>
        <v/>
      </c>
      <c r="S209" s="4">
        <f>IF(A209=0,SUMPRODUCT((E209:G209+E210:G210)/2,$B$20:$D$20)*$B$6,0)</f>
        <v/>
      </c>
      <c r="T209" s="4">
        <f>S209*J209</f>
        <v/>
      </c>
      <c r="U209" s="4">
        <f>N209+P209+R209+T209</f>
        <v/>
      </c>
      <c r="V209">
        <f>SUMPRODUCT((E209:G209+E210:G210)/2,$B$24:$D$24)*$B$6</f>
        <v/>
      </c>
      <c r="W209" s="5">
        <f>V209*K209</f>
        <v/>
      </c>
      <c r="X209">
        <f>SUMPRODUCT((E209:G209+E210:G210)/2,$B$25:$D$25)*$B$6</f>
        <v/>
      </c>
      <c r="Y209">
        <f>X209*K209</f>
        <v/>
      </c>
    </row>
    <row r="210">
      <c r="A210" t="n">
        <v>181</v>
      </c>
      <c r="B210">
        <f>A210*$B$6</f>
        <v/>
      </c>
      <c r="C210" s="5">
        <f>EXP(-$B$12*B210)</f>
        <v/>
      </c>
      <c r="D210" s="5">
        <f>EXP(-$B$13*B210)</f>
        <v/>
      </c>
      <c r="E210">
        <f>C210</f>
        <v/>
      </c>
      <c r="F210">
        <f>D210-C210</f>
        <v/>
      </c>
      <c r="G210">
        <f>1-D210</f>
        <v/>
      </c>
      <c r="H210">
        <f>SUM(E210:G210)</f>
        <v/>
      </c>
      <c r="I210">
        <f>IF(AND(MIN(C210:D210)&gt;=0,MAX(C210:D210)&lt;=1,MIN(E210:G210)&gt;=-1E-10,ABS(H210-1)&lt;1E-8,C210&lt;=C209+1E-10,D210&lt;=D209+1E-10),"OK","ERROR")</f>
        <v/>
      </c>
      <c r="J210">
        <f>1/(1+$B$4)^(B210+$B$6/2)</f>
        <v/>
      </c>
      <c r="K210">
        <f>1/(1+$B$5)^(B210+$B$6/2)</f>
        <v/>
      </c>
      <c r="L210" t="inlineStr">
        <is>
          <t>Average endpoints</t>
        </is>
      </c>
      <c r="M210" s="4">
        <f>SUMPRODUCT((E210:G210+E211:G211)/2,$B$17:$D$17)*$B$6</f>
        <v/>
      </c>
      <c r="N210" s="4">
        <f>M210*J210</f>
        <v/>
      </c>
      <c r="O210" s="4">
        <f>SUMPRODUCT((E210:G210+E211:G211)/2,$B$18:$D$18)*$B$6</f>
        <v/>
      </c>
      <c r="P210" s="4">
        <f>O210*J210</f>
        <v/>
      </c>
      <c r="Q210" s="4">
        <f>SUMPRODUCT((E210:G210+E211:G211)/2,$B$19:$D$19)*$B$6</f>
        <v/>
      </c>
      <c r="R210" s="4">
        <f>Q210*J210</f>
        <v/>
      </c>
      <c r="S210" s="4">
        <f>IF(A210=0,SUMPRODUCT((E210:G210+E211:G211)/2,$B$20:$D$20)*$B$6,0)</f>
        <v/>
      </c>
      <c r="T210" s="4">
        <f>S210*J210</f>
        <v/>
      </c>
      <c r="U210" s="4">
        <f>N210+P210+R210+T210</f>
        <v/>
      </c>
      <c r="V210">
        <f>SUMPRODUCT((E210:G210+E211:G211)/2,$B$24:$D$24)*$B$6</f>
        <v/>
      </c>
      <c r="W210" s="5">
        <f>V210*K210</f>
        <v/>
      </c>
      <c r="X210">
        <f>SUMPRODUCT((E210:G210+E211:G211)/2,$B$25:$D$25)*$B$6</f>
        <v/>
      </c>
      <c r="Y210">
        <f>X210*K210</f>
        <v/>
      </c>
    </row>
    <row r="211">
      <c r="A211" t="n">
        <v>182</v>
      </c>
      <c r="B211">
        <f>A211*$B$6</f>
        <v/>
      </c>
      <c r="C211" s="5">
        <f>EXP(-$B$12*B211)</f>
        <v/>
      </c>
      <c r="D211" s="5">
        <f>EXP(-$B$13*B211)</f>
        <v/>
      </c>
      <c r="E211">
        <f>C211</f>
        <v/>
      </c>
      <c r="F211">
        <f>D211-C211</f>
        <v/>
      </c>
      <c r="G211">
        <f>1-D211</f>
        <v/>
      </c>
      <c r="H211">
        <f>SUM(E211:G211)</f>
        <v/>
      </c>
      <c r="I211">
        <f>IF(AND(MIN(C211:D211)&gt;=0,MAX(C211:D211)&lt;=1,MIN(E211:G211)&gt;=-1E-10,ABS(H211-1)&lt;1E-8,C211&lt;=C210+1E-10,D211&lt;=D210+1E-10),"OK","ERROR")</f>
        <v/>
      </c>
      <c r="J211">
        <f>1/(1+$B$4)^(B211+$B$6/2)</f>
        <v/>
      </c>
      <c r="K211">
        <f>1/(1+$B$5)^(B211+$B$6/2)</f>
        <v/>
      </c>
      <c r="L211" t="inlineStr">
        <is>
          <t>Average endpoints</t>
        </is>
      </c>
      <c r="M211" s="4">
        <f>SUMPRODUCT((E211:G211+E212:G212)/2,$B$17:$D$17)*$B$6</f>
        <v/>
      </c>
      <c r="N211" s="4">
        <f>M211*J211</f>
        <v/>
      </c>
      <c r="O211" s="4">
        <f>SUMPRODUCT((E211:G211+E212:G212)/2,$B$18:$D$18)*$B$6</f>
        <v/>
      </c>
      <c r="P211" s="4">
        <f>O211*J211</f>
        <v/>
      </c>
      <c r="Q211" s="4">
        <f>SUMPRODUCT((E211:G211+E212:G212)/2,$B$19:$D$19)*$B$6</f>
        <v/>
      </c>
      <c r="R211" s="4">
        <f>Q211*J211</f>
        <v/>
      </c>
      <c r="S211" s="4">
        <f>IF(A211=0,SUMPRODUCT((E211:G211+E212:G212)/2,$B$20:$D$20)*$B$6,0)</f>
        <v/>
      </c>
      <c r="T211" s="4">
        <f>S211*J211</f>
        <v/>
      </c>
      <c r="U211" s="4">
        <f>N211+P211+R211+T211</f>
        <v/>
      </c>
      <c r="V211">
        <f>SUMPRODUCT((E211:G211+E212:G212)/2,$B$24:$D$24)*$B$6</f>
        <v/>
      </c>
      <c r="W211" s="5">
        <f>V211*K211</f>
        <v/>
      </c>
      <c r="X211">
        <f>SUMPRODUCT((E211:G211+E212:G212)/2,$B$25:$D$25)*$B$6</f>
        <v/>
      </c>
      <c r="Y211">
        <f>X211*K211</f>
        <v/>
      </c>
    </row>
    <row r="212">
      <c r="A212" t="n">
        <v>183</v>
      </c>
      <c r="B212">
        <f>A212*$B$6</f>
        <v/>
      </c>
      <c r="C212" s="5">
        <f>EXP(-$B$12*B212)</f>
        <v/>
      </c>
      <c r="D212" s="5">
        <f>EXP(-$B$13*B212)</f>
        <v/>
      </c>
      <c r="E212">
        <f>C212</f>
        <v/>
      </c>
      <c r="F212">
        <f>D212-C212</f>
        <v/>
      </c>
      <c r="G212">
        <f>1-D212</f>
        <v/>
      </c>
      <c r="H212">
        <f>SUM(E212:G212)</f>
        <v/>
      </c>
      <c r="I212">
        <f>IF(AND(MIN(C212:D212)&gt;=0,MAX(C212:D212)&lt;=1,MIN(E212:G212)&gt;=-1E-10,ABS(H212-1)&lt;1E-8,C212&lt;=C211+1E-10,D212&lt;=D211+1E-10),"OK","ERROR")</f>
        <v/>
      </c>
      <c r="J212">
        <f>1/(1+$B$4)^(B212+$B$6/2)</f>
        <v/>
      </c>
      <c r="K212">
        <f>1/(1+$B$5)^(B212+$B$6/2)</f>
        <v/>
      </c>
      <c r="L212" t="inlineStr">
        <is>
          <t>Average endpoints</t>
        </is>
      </c>
      <c r="M212" s="4">
        <f>SUMPRODUCT((E212:G212+E213:G213)/2,$B$17:$D$17)*$B$6</f>
        <v/>
      </c>
      <c r="N212" s="4">
        <f>M212*J212</f>
        <v/>
      </c>
      <c r="O212" s="4">
        <f>SUMPRODUCT((E212:G212+E213:G213)/2,$B$18:$D$18)*$B$6</f>
        <v/>
      </c>
      <c r="P212" s="4">
        <f>O212*J212</f>
        <v/>
      </c>
      <c r="Q212" s="4">
        <f>SUMPRODUCT((E212:G212+E213:G213)/2,$B$19:$D$19)*$B$6</f>
        <v/>
      </c>
      <c r="R212" s="4">
        <f>Q212*J212</f>
        <v/>
      </c>
      <c r="S212" s="4">
        <f>IF(A212=0,SUMPRODUCT((E212:G212+E213:G213)/2,$B$20:$D$20)*$B$6,0)</f>
        <v/>
      </c>
      <c r="T212" s="4">
        <f>S212*J212</f>
        <v/>
      </c>
      <c r="U212" s="4">
        <f>N212+P212+R212+T212</f>
        <v/>
      </c>
      <c r="V212">
        <f>SUMPRODUCT((E212:G212+E213:G213)/2,$B$24:$D$24)*$B$6</f>
        <v/>
      </c>
      <c r="W212" s="5">
        <f>V212*K212</f>
        <v/>
      </c>
      <c r="X212">
        <f>SUMPRODUCT((E212:G212+E213:G213)/2,$B$25:$D$25)*$B$6</f>
        <v/>
      </c>
      <c r="Y212">
        <f>X212*K212</f>
        <v/>
      </c>
    </row>
    <row r="213">
      <c r="A213" t="n">
        <v>184</v>
      </c>
      <c r="B213">
        <f>A213*$B$6</f>
        <v/>
      </c>
      <c r="C213" s="5">
        <f>EXP(-$B$12*B213)</f>
        <v/>
      </c>
      <c r="D213" s="5">
        <f>EXP(-$B$13*B213)</f>
        <v/>
      </c>
      <c r="E213">
        <f>C213</f>
        <v/>
      </c>
      <c r="F213">
        <f>D213-C213</f>
        <v/>
      </c>
      <c r="G213">
        <f>1-D213</f>
        <v/>
      </c>
      <c r="H213">
        <f>SUM(E213:G213)</f>
        <v/>
      </c>
      <c r="I213">
        <f>IF(AND(MIN(C213:D213)&gt;=0,MAX(C213:D213)&lt;=1,MIN(E213:G213)&gt;=-1E-10,ABS(H213-1)&lt;1E-8,C213&lt;=C212+1E-10,D213&lt;=D212+1E-10),"OK","ERROR")</f>
        <v/>
      </c>
      <c r="J213">
        <f>1/(1+$B$4)^(B213+$B$6/2)</f>
        <v/>
      </c>
      <c r="K213">
        <f>1/(1+$B$5)^(B213+$B$6/2)</f>
        <v/>
      </c>
      <c r="L213" t="inlineStr">
        <is>
          <t>Average endpoints</t>
        </is>
      </c>
      <c r="M213" s="4">
        <f>SUMPRODUCT((E213:G213+E214:G214)/2,$B$17:$D$17)*$B$6</f>
        <v/>
      </c>
      <c r="N213" s="4">
        <f>M213*J213</f>
        <v/>
      </c>
      <c r="O213" s="4">
        <f>SUMPRODUCT((E213:G213+E214:G214)/2,$B$18:$D$18)*$B$6</f>
        <v/>
      </c>
      <c r="P213" s="4">
        <f>O213*J213</f>
        <v/>
      </c>
      <c r="Q213" s="4">
        <f>SUMPRODUCT((E213:G213+E214:G214)/2,$B$19:$D$19)*$B$6</f>
        <v/>
      </c>
      <c r="R213" s="4">
        <f>Q213*J213</f>
        <v/>
      </c>
      <c r="S213" s="4">
        <f>IF(A213=0,SUMPRODUCT((E213:G213+E214:G214)/2,$B$20:$D$20)*$B$6,0)</f>
        <v/>
      </c>
      <c r="T213" s="4">
        <f>S213*J213</f>
        <v/>
      </c>
      <c r="U213" s="4">
        <f>N213+P213+R213+T213</f>
        <v/>
      </c>
      <c r="V213">
        <f>SUMPRODUCT((E213:G213+E214:G214)/2,$B$24:$D$24)*$B$6</f>
        <v/>
      </c>
      <c r="W213" s="5">
        <f>V213*K213</f>
        <v/>
      </c>
      <c r="X213">
        <f>SUMPRODUCT((E213:G213+E214:G214)/2,$B$25:$D$25)*$B$6</f>
        <v/>
      </c>
      <c r="Y213">
        <f>X213*K213</f>
        <v/>
      </c>
    </row>
    <row r="214">
      <c r="A214" t="n">
        <v>185</v>
      </c>
      <c r="B214">
        <f>A214*$B$6</f>
        <v/>
      </c>
      <c r="C214" s="5">
        <f>EXP(-$B$12*B214)</f>
        <v/>
      </c>
      <c r="D214" s="5">
        <f>EXP(-$B$13*B214)</f>
        <v/>
      </c>
      <c r="E214">
        <f>C214</f>
        <v/>
      </c>
      <c r="F214">
        <f>D214-C214</f>
        <v/>
      </c>
      <c r="G214">
        <f>1-D214</f>
        <v/>
      </c>
      <c r="H214">
        <f>SUM(E214:G214)</f>
        <v/>
      </c>
      <c r="I214">
        <f>IF(AND(MIN(C214:D214)&gt;=0,MAX(C214:D214)&lt;=1,MIN(E214:G214)&gt;=-1E-10,ABS(H214-1)&lt;1E-8,C214&lt;=C213+1E-10,D214&lt;=D213+1E-10),"OK","ERROR")</f>
        <v/>
      </c>
      <c r="J214">
        <f>1/(1+$B$4)^(B214+$B$6/2)</f>
        <v/>
      </c>
      <c r="K214">
        <f>1/(1+$B$5)^(B214+$B$6/2)</f>
        <v/>
      </c>
      <c r="L214" t="inlineStr">
        <is>
          <t>Average endpoints</t>
        </is>
      </c>
      <c r="M214" s="4">
        <f>SUMPRODUCT((E214:G214+E215:G215)/2,$B$17:$D$17)*$B$6</f>
        <v/>
      </c>
      <c r="N214" s="4">
        <f>M214*J214</f>
        <v/>
      </c>
      <c r="O214" s="4">
        <f>SUMPRODUCT((E214:G214+E215:G215)/2,$B$18:$D$18)*$B$6</f>
        <v/>
      </c>
      <c r="P214" s="4">
        <f>O214*J214</f>
        <v/>
      </c>
      <c r="Q214" s="4">
        <f>SUMPRODUCT((E214:G214+E215:G215)/2,$B$19:$D$19)*$B$6</f>
        <v/>
      </c>
      <c r="R214" s="4">
        <f>Q214*J214</f>
        <v/>
      </c>
      <c r="S214" s="4">
        <f>IF(A214=0,SUMPRODUCT((E214:G214+E215:G215)/2,$B$20:$D$20)*$B$6,0)</f>
        <v/>
      </c>
      <c r="T214" s="4">
        <f>S214*J214</f>
        <v/>
      </c>
      <c r="U214" s="4">
        <f>N214+P214+R214+T214</f>
        <v/>
      </c>
      <c r="V214">
        <f>SUMPRODUCT((E214:G214+E215:G215)/2,$B$24:$D$24)*$B$6</f>
        <v/>
      </c>
      <c r="W214" s="5">
        <f>V214*K214</f>
        <v/>
      </c>
      <c r="X214">
        <f>SUMPRODUCT((E214:G214+E215:G215)/2,$B$25:$D$25)*$B$6</f>
        <v/>
      </c>
      <c r="Y214">
        <f>X214*K214</f>
        <v/>
      </c>
    </row>
    <row r="215">
      <c r="A215" t="n">
        <v>186</v>
      </c>
      <c r="B215">
        <f>A215*$B$6</f>
        <v/>
      </c>
      <c r="C215" s="5">
        <f>EXP(-$B$12*B215)</f>
        <v/>
      </c>
      <c r="D215" s="5">
        <f>EXP(-$B$13*B215)</f>
        <v/>
      </c>
      <c r="E215">
        <f>C215</f>
        <v/>
      </c>
      <c r="F215">
        <f>D215-C215</f>
        <v/>
      </c>
      <c r="G215">
        <f>1-D215</f>
        <v/>
      </c>
      <c r="H215">
        <f>SUM(E215:G215)</f>
        <v/>
      </c>
      <c r="I215">
        <f>IF(AND(MIN(C215:D215)&gt;=0,MAX(C215:D215)&lt;=1,MIN(E215:G215)&gt;=-1E-10,ABS(H215-1)&lt;1E-8,C215&lt;=C214+1E-10,D215&lt;=D214+1E-10),"OK","ERROR")</f>
        <v/>
      </c>
      <c r="J215">
        <f>1/(1+$B$4)^(B215+$B$6/2)</f>
        <v/>
      </c>
      <c r="K215">
        <f>1/(1+$B$5)^(B215+$B$6/2)</f>
        <v/>
      </c>
      <c r="L215" t="inlineStr">
        <is>
          <t>Average endpoints</t>
        </is>
      </c>
      <c r="M215" s="4">
        <f>SUMPRODUCT((E215:G215+E216:G216)/2,$B$17:$D$17)*$B$6</f>
        <v/>
      </c>
      <c r="N215" s="4">
        <f>M215*J215</f>
        <v/>
      </c>
      <c r="O215" s="4">
        <f>SUMPRODUCT((E215:G215+E216:G216)/2,$B$18:$D$18)*$B$6</f>
        <v/>
      </c>
      <c r="P215" s="4">
        <f>O215*J215</f>
        <v/>
      </c>
      <c r="Q215" s="4">
        <f>SUMPRODUCT((E215:G215+E216:G216)/2,$B$19:$D$19)*$B$6</f>
        <v/>
      </c>
      <c r="R215" s="4">
        <f>Q215*J215</f>
        <v/>
      </c>
      <c r="S215" s="4">
        <f>IF(A215=0,SUMPRODUCT((E215:G215+E216:G216)/2,$B$20:$D$20)*$B$6,0)</f>
        <v/>
      </c>
      <c r="T215" s="4">
        <f>S215*J215</f>
        <v/>
      </c>
      <c r="U215" s="4">
        <f>N215+P215+R215+T215</f>
        <v/>
      </c>
      <c r="V215">
        <f>SUMPRODUCT((E215:G215+E216:G216)/2,$B$24:$D$24)*$B$6</f>
        <v/>
      </c>
      <c r="W215" s="5">
        <f>V215*K215</f>
        <v/>
      </c>
      <c r="X215">
        <f>SUMPRODUCT((E215:G215+E216:G216)/2,$B$25:$D$25)*$B$6</f>
        <v/>
      </c>
      <c r="Y215">
        <f>X215*K215</f>
        <v/>
      </c>
    </row>
    <row r="216">
      <c r="A216" t="n">
        <v>187</v>
      </c>
      <c r="B216">
        <f>A216*$B$6</f>
        <v/>
      </c>
      <c r="C216" s="5">
        <f>EXP(-$B$12*B216)</f>
        <v/>
      </c>
      <c r="D216" s="5">
        <f>EXP(-$B$13*B216)</f>
        <v/>
      </c>
      <c r="E216">
        <f>C216</f>
        <v/>
      </c>
      <c r="F216">
        <f>D216-C216</f>
        <v/>
      </c>
      <c r="G216">
        <f>1-D216</f>
        <v/>
      </c>
      <c r="H216">
        <f>SUM(E216:G216)</f>
        <v/>
      </c>
      <c r="I216">
        <f>IF(AND(MIN(C216:D216)&gt;=0,MAX(C216:D216)&lt;=1,MIN(E216:G216)&gt;=-1E-10,ABS(H216-1)&lt;1E-8,C216&lt;=C215+1E-10,D216&lt;=D215+1E-10),"OK","ERROR")</f>
        <v/>
      </c>
      <c r="J216">
        <f>1/(1+$B$4)^(B216+$B$6/2)</f>
        <v/>
      </c>
      <c r="K216">
        <f>1/(1+$B$5)^(B216+$B$6/2)</f>
        <v/>
      </c>
      <c r="L216" t="inlineStr">
        <is>
          <t>Average endpoints</t>
        </is>
      </c>
      <c r="M216" s="4">
        <f>SUMPRODUCT((E216:G216+E217:G217)/2,$B$17:$D$17)*$B$6</f>
        <v/>
      </c>
      <c r="N216" s="4">
        <f>M216*J216</f>
        <v/>
      </c>
      <c r="O216" s="4">
        <f>SUMPRODUCT((E216:G216+E217:G217)/2,$B$18:$D$18)*$B$6</f>
        <v/>
      </c>
      <c r="P216" s="4">
        <f>O216*J216</f>
        <v/>
      </c>
      <c r="Q216" s="4">
        <f>SUMPRODUCT((E216:G216+E217:G217)/2,$B$19:$D$19)*$B$6</f>
        <v/>
      </c>
      <c r="R216" s="4">
        <f>Q216*J216</f>
        <v/>
      </c>
      <c r="S216" s="4">
        <f>IF(A216=0,SUMPRODUCT((E216:G216+E217:G217)/2,$B$20:$D$20)*$B$6,0)</f>
        <v/>
      </c>
      <c r="T216" s="4">
        <f>S216*J216</f>
        <v/>
      </c>
      <c r="U216" s="4">
        <f>N216+P216+R216+T216</f>
        <v/>
      </c>
      <c r="V216">
        <f>SUMPRODUCT((E216:G216+E217:G217)/2,$B$24:$D$24)*$B$6</f>
        <v/>
      </c>
      <c r="W216" s="5">
        <f>V216*K216</f>
        <v/>
      </c>
      <c r="X216">
        <f>SUMPRODUCT((E216:G216+E217:G217)/2,$B$25:$D$25)*$B$6</f>
        <v/>
      </c>
      <c r="Y216">
        <f>X216*K216</f>
        <v/>
      </c>
    </row>
    <row r="217">
      <c r="A217" t="n">
        <v>188</v>
      </c>
      <c r="B217">
        <f>A217*$B$6</f>
        <v/>
      </c>
      <c r="C217" s="5">
        <f>EXP(-$B$12*B217)</f>
        <v/>
      </c>
      <c r="D217" s="5">
        <f>EXP(-$B$13*B217)</f>
        <v/>
      </c>
      <c r="E217">
        <f>C217</f>
        <v/>
      </c>
      <c r="F217">
        <f>D217-C217</f>
        <v/>
      </c>
      <c r="G217">
        <f>1-D217</f>
        <v/>
      </c>
      <c r="H217">
        <f>SUM(E217:G217)</f>
        <v/>
      </c>
      <c r="I217">
        <f>IF(AND(MIN(C217:D217)&gt;=0,MAX(C217:D217)&lt;=1,MIN(E217:G217)&gt;=-1E-10,ABS(H217-1)&lt;1E-8,C217&lt;=C216+1E-10,D217&lt;=D216+1E-10),"OK","ERROR")</f>
        <v/>
      </c>
      <c r="J217">
        <f>1/(1+$B$4)^(B217+$B$6/2)</f>
        <v/>
      </c>
      <c r="K217">
        <f>1/(1+$B$5)^(B217+$B$6/2)</f>
        <v/>
      </c>
      <c r="L217" t="inlineStr">
        <is>
          <t>Average endpoints</t>
        </is>
      </c>
      <c r="M217" s="4">
        <f>SUMPRODUCT((E217:G217+E218:G218)/2,$B$17:$D$17)*$B$6</f>
        <v/>
      </c>
      <c r="N217" s="4">
        <f>M217*J217</f>
        <v/>
      </c>
      <c r="O217" s="4">
        <f>SUMPRODUCT((E217:G217+E218:G218)/2,$B$18:$D$18)*$B$6</f>
        <v/>
      </c>
      <c r="P217" s="4">
        <f>O217*J217</f>
        <v/>
      </c>
      <c r="Q217" s="4">
        <f>SUMPRODUCT((E217:G217+E218:G218)/2,$B$19:$D$19)*$B$6</f>
        <v/>
      </c>
      <c r="R217" s="4">
        <f>Q217*J217</f>
        <v/>
      </c>
      <c r="S217" s="4">
        <f>IF(A217=0,SUMPRODUCT((E217:G217+E218:G218)/2,$B$20:$D$20)*$B$6,0)</f>
        <v/>
      </c>
      <c r="T217" s="4">
        <f>S217*J217</f>
        <v/>
      </c>
      <c r="U217" s="4">
        <f>N217+P217+R217+T217</f>
        <v/>
      </c>
      <c r="V217">
        <f>SUMPRODUCT((E217:G217+E218:G218)/2,$B$24:$D$24)*$B$6</f>
        <v/>
      </c>
      <c r="W217" s="5">
        <f>V217*K217</f>
        <v/>
      </c>
      <c r="X217">
        <f>SUMPRODUCT((E217:G217+E218:G218)/2,$B$25:$D$25)*$B$6</f>
        <v/>
      </c>
      <c r="Y217">
        <f>X217*K217</f>
        <v/>
      </c>
    </row>
    <row r="218">
      <c r="A218" t="n">
        <v>189</v>
      </c>
      <c r="B218">
        <f>A218*$B$6</f>
        <v/>
      </c>
      <c r="C218" s="5">
        <f>EXP(-$B$12*B218)</f>
        <v/>
      </c>
      <c r="D218" s="5">
        <f>EXP(-$B$13*B218)</f>
        <v/>
      </c>
      <c r="E218">
        <f>C218</f>
        <v/>
      </c>
      <c r="F218">
        <f>D218-C218</f>
        <v/>
      </c>
      <c r="G218">
        <f>1-D218</f>
        <v/>
      </c>
      <c r="H218">
        <f>SUM(E218:G218)</f>
        <v/>
      </c>
      <c r="I218">
        <f>IF(AND(MIN(C218:D218)&gt;=0,MAX(C218:D218)&lt;=1,MIN(E218:G218)&gt;=-1E-10,ABS(H218-1)&lt;1E-8,C218&lt;=C217+1E-10,D218&lt;=D217+1E-10),"OK","ERROR")</f>
        <v/>
      </c>
      <c r="J218">
        <f>1/(1+$B$4)^(B218+$B$6/2)</f>
        <v/>
      </c>
      <c r="K218">
        <f>1/(1+$B$5)^(B218+$B$6/2)</f>
        <v/>
      </c>
      <c r="L218" t="inlineStr">
        <is>
          <t>Average endpoints</t>
        </is>
      </c>
      <c r="M218" s="4">
        <f>SUMPRODUCT((E218:G218+E219:G219)/2,$B$17:$D$17)*$B$6</f>
        <v/>
      </c>
      <c r="N218" s="4">
        <f>M218*J218</f>
        <v/>
      </c>
      <c r="O218" s="4">
        <f>SUMPRODUCT((E218:G218+E219:G219)/2,$B$18:$D$18)*$B$6</f>
        <v/>
      </c>
      <c r="P218" s="4">
        <f>O218*J218</f>
        <v/>
      </c>
      <c r="Q218" s="4">
        <f>SUMPRODUCT((E218:G218+E219:G219)/2,$B$19:$D$19)*$B$6</f>
        <v/>
      </c>
      <c r="R218" s="4">
        <f>Q218*J218</f>
        <v/>
      </c>
      <c r="S218" s="4">
        <f>IF(A218=0,SUMPRODUCT((E218:G218+E219:G219)/2,$B$20:$D$20)*$B$6,0)</f>
        <v/>
      </c>
      <c r="T218" s="4">
        <f>S218*J218</f>
        <v/>
      </c>
      <c r="U218" s="4">
        <f>N218+P218+R218+T218</f>
        <v/>
      </c>
      <c r="V218">
        <f>SUMPRODUCT((E218:G218+E219:G219)/2,$B$24:$D$24)*$B$6</f>
        <v/>
      </c>
      <c r="W218" s="5">
        <f>V218*K218</f>
        <v/>
      </c>
      <c r="X218">
        <f>SUMPRODUCT((E218:G218+E219:G219)/2,$B$25:$D$25)*$B$6</f>
        <v/>
      </c>
      <c r="Y218">
        <f>X218*K218</f>
        <v/>
      </c>
    </row>
    <row r="219">
      <c r="A219" t="n">
        <v>190</v>
      </c>
      <c r="B219">
        <f>A219*$B$6</f>
        <v/>
      </c>
      <c r="C219" s="5">
        <f>EXP(-$B$12*B219)</f>
        <v/>
      </c>
      <c r="D219" s="5">
        <f>EXP(-$B$13*B219)</f>
        <v/>
      </c>
      <c r="E219">
        <f>C219</f>
        <v/>
      </c>
      <c r="F219">
        <f>D219-C219</f>
        <v/>
      </c>
      <c r="G219">
        <f>1-D219</f>
        <v/>
      </c>
      <c r="H219">
        <f>SUM(E219:G219)</f>
        <v/>
      </c>
      <c r="I219">
        <f>IF(AND(MIN(C219:D219)&gt;=0,MAX(C219:D219)&lt;=1,MIN(E219:G219)&gt;=-1E-10,ABS(H219-1)&lt;1E-8,C219&lt;=C218+1E-10,D219&lt;=D218+1E-10),"OK","ERROR")</f>
        <v/>
      </c>
      <c r="J219">
        <f>1/(1+$B$4)^(B219+$B$6/2)</f>
        <v/>
      </c>
      <c r="K219">
        <f>1/(1+$B$5)^(B219+$B$6/2)</f>
        <v/>
      </c>
      <c r="L219" t="inlineStr">
        <is>
          <t>Average endpoints</t>
        </is>
      </c>
      <c r="M219" s="4">
        <f>SUMPRODUCT((E219:G219+E220:G220)/2,$B$17:$D$17)*$B$6</f>
        <v/>
      </c>
      <c r="N219" s="4">
        <f>M219*J219</f>
        <v/>
      </c>
      <c r="O219" s="4">
        <f>SUMPRODUCT((E219:G219+E220:G220)/2,$B$18:$D$18)*$B$6</f>
        <v/>
      </c>
      <c r="P219" s="4">
        <f>O219*J219</f>
        <v/>
      </c>
      <c r="Q219" s="4">
        <f>SUMPRODUCT((E219:G219+E220:G220)/2,$B$19:$D$19)*$B$6</f>
        <v/>
      </c>
      <c r="R219" s="4">
        <f>Q219*J219</f>
        <v/>
      </c>
      <c r="S219" s="4">
        <f>IF(A219=0,SUMPRODUCT((E219:G219+E220:G220)/2,$B$20:$D$20)*$B$6,0)</f>
        <v/>
      </c>
      <c r="T219" s="4">
        <f>S219*J219</f>
        <v/>
      </c>
      <c r="U219" s="4">
        <f>N219+P219+R219+T219</f>
        <v/>
      </c>
      <c r="V219">
        <f>SUMPRODUCT((E219:G219+E220:G220)/2,$B$24:$D$24)*$B$6</f>
        <v/>
      </c>
      <c r="W219" s="5">
        <f>V219*K219</f>
        <v/>
      </c>
      <c r="X219">
        <f>SUMPRODUCT((E219:G219+E220:G220)/2,$B$25:$D$25)*$B$6</f>
        <v/>
      </c>
      <c r="Y219">
        <f>X219*K219</f>
        <v/>
      </c>
    </row>
    <row r="220">
      <c r="A220" t="n">
        <v>191</v>
      </c>
      <c r="B220">
        <f>A220*$B$6</f>
        <v/>
      </c>
      <c r="C220" s="5">
        <f>EXP(-$B$12*B220)</f>
        <v/>
      </c>
      <c r="D220" s="5">
        <f>EXP(-$B$13*B220)</f>
        <v/>
      </c>
      <c r="E220">
        <f>C220</f>
        <v/>
      </c>
      <c r="F220">
        <f>D220-C220</f>
        <v/>
      </c>
      <c r="G220">
        <f>1-D220</f>
        <v/>
      </c>
      <c r="H220">
        <f>SUM(E220:G220)</f>
        <v/>
      </c>
      <c r="I220">
        <f>IF(AND(MIN(C220:D220)&gt;=0,MAX(C220:D220)&lt;=1,MIN(E220:G220)&gt;=-1E-10,ABS(H220-1)&lt;1E-8,C220&lt;=C219+1E-10,D220&lt;=D219+1E-10),"OK","ERROR")</f>
        <v/>
      </c>
      <c r="J220">
        <f>1/(1+$B$4)^(B220+$B$6/2)</f>
        <v/>
      </c>
      <c r="K220">
        <f>1/(1+$B$5)^(B220+$B$6/2)</f>
        <v/>
      </c>
      <c r="L220" t="inlineStr">
        <is>
          <t>Average endpoints</t>
        </is>
      </c>
      <c r="M220" s="4">
        <f>SUMPRODUCT((E220:G220+E221:G221)/2,$B$17:$D$17)*$B$6</f>
        <v/>
      </c>
      <c r="N220" s="4">
        <f>M220*J220</f>
        <v/>
      </c>
      <c r="O220" s="4">
        <f>SUMPRODUCT((E220:G220+E221:G221)/2,$B$18:$D$18)*$B$6</f>
        <v/>
      </c>
      <c r="P220" s="4">
        <f>O220*J220</f>
        <v/>
      </c>
      <c r="Q220" s="4">
        <f>SUMPRODUCT((E220:G220+E221:G221)/2,$B$19:$D$19)*$B$6</f>
        <v/>
      </c>
      <c r="R220" s="4">
        <f>Q220*J220</f>
        <v/>
      </c>
      <c r="S220" s="4">
        <f>IF(A220=0,SUMPRODUCT((E220:G220+E221:G221)/2,$B$20:$D$20)*$B$6,0)</f>
        <v/>
      </c>
      <c r="T220" s="4">
        <f>S220*J220</f>
        <v/>
      </c>
      <c r="U220" s="4">
        <f>N220+P220+R220+T220</f>
        <v/>
      </c>
      <c r="V220">
        <f>SUMPRODUCT((E220:G220+E221:G221)/2,$B$24:$D$24)*$B$6</f>
        <v/>
      </c>
      <c r="W220" s="5">
        <f>V220*K220</f>
        <v/>
      </c>
      <c r="X220">
        <f>SUMPRODUCT((E220:G220+E221:G221)/2,$B$25:$D$25)*$B$6</f>
        <v/>
      </c>
      <c r="Y220">
        <f>X220*K220</f>
        <v/>
      </c>
    </row>
    <row r="221">
      <c r="A221" t="n">
        <v>192</v>
      </c>
      <c r="B221">
        <f>A221*$B$6</f>
        <v/>
      </c>
      <c r="C221" s="5">
        <f>EXP(-$B$12*B221)</f>
        <v/>
      </c>
      <c r="D221" s="5">
        <f>EXP(-$B$13*B221)</f>
        <v/>
      </c>
      <c r="E221">
        <f>C221</f>
        <v/>
      </c>
      <c r="F221">
        <f>D221-C221</f>
        <v/>
      </c>
      <c r="G221">
        <f>1-D221</f>
        <v/>
      </c>
      <c r="H221">
        <f>SUM(E221:G221)</f>
        <v/>
      </c>
      <c r="I221">
        <f>IF(AND(MIN(C221:D221)&gt;=0,MAX(C221:D221)&lt;=1,MIN(E221:G221)&gt;=-1E-10,ABS(H221-1)&lt;1E-8,C221&lt;=C220+1E-10,D221&lt;=D220+1E-10),"OK","ERROR")</f>
        <v/>
      </c>
      <c r="J221">
        <f>1/(1+$B$4)^(B221+$B$6/2)</f>
        <v/>
      </c>
      <c r="K221">
        <f>1/(1+$B$5)^(B221+$B$6/2)</f>
        <v/>
      </c>
      <c r="L221" t="inlineStr">
        <is>
          <t>Average endpoints</t>
        </is>
      </c>
      <c r="M221" s="4">
        <f>SUMPRODUCT((E221:G221+E222:G222)/2,$B$17:$D$17)*$B$6</f>
        <v/>
      </c>
      <c r="N221" s="4">
        <f>M221*J221</f>
        <v/>
      </c>
      <c r="O221" s="4">
        <f>SUMPRODUCT((E221:G221+E222:G222)/2,$B$18:$D$18)*$B$6</f>
        <v/>
      </c>
      <c r="P221" s="4">
        <f>O221*J221</f>
        <v/>
      </c>
      <c r="Q221" s="4">
        <f>SUMPRODUCT((E221:G221+E222:G222)/2,$B$19:$D$19)*$B$6</f>
        <v/>
      </c>
      <c r="R221" s="4">
        <f>Q221*J221</f>
        <v/>
      </c>
      <c r="S221" s="4">
        <f>IF(A221=0,SUMPRODUCT((E221:G221+E222:G222)/2,$B$20:$D$20)*$B$6,0)</f>
        <v/>
      </c>
      <c r="T221" s="4">
        <f>S221*J221</f>
        <v/>
      </c>
      <c r="U221" s="4">
        <f>N221+P221+R221+T221</f>
        <v/>
      </c>
      <c r="V221">
        <f>SUMPRODUCT((E221:G221+E222:G222)/2,$B$24:$D$24)*$B$6</f>
        <v/>
      </c>
      <c r="W221" s="5">
        <f>V221*K221</f>
        <v/>
      </c>
      <c r="X221">
        <f>SUMPRODUCT((E221:G221+E222:G222)/2,$B$25:$D$25)*$B$6</f>
        <v/>
      </c>
      <c r="Y221">
        <f>X221*K221</f>
        <v/>
      </c>
    </row>
    <row r="222">
      <c r="A222" t="n">
        <v>193</v>
      </c>
      <c r="B222">
        <f>A222*$B$6</f>
        <v/>
      </c>
      <c r="C222" s="5">
        <f>EXP(-$B$12*B222)</f>
        <v/>
      </c>
      <c r="D222" s="5">
        <f>EXP(-$B$13*B222)</f>
        <v/>
      </c>
      <c r="E222">
        <f>C222</f>
        <v/>
      </c>
      <c r="F222">
        <f>D222-C222</f>
        <v/>
      </c>
      <c r="G222">
        <f>1-D222</f>
        <v/>
      </c>
      <c r="H222">
        <f>SUM(E222:G222)</f>
        <v/>
      </c>
      <c r="I222">
        <f>IF(AND(MIN(C222:D222)&gt;=0,MAX(C222:D222)&lt;=1,MIN(E222:G222)&gt;=-1E-10,ABS(H222-1)&lt;1E-8,C222&lt;=C221+1E-10,D222&lt;=D221+1E-10),"OK","ERROR")</f>
        <v/>
      </c>
      <c r="J222">
        <f>1/(1+$B$4)^(B222+$B$6/2)</f>
        <v/>
      </c>
      <c r="K222">
        <f>1/(1+$B$5)^(B222+$B$6/2)</f>
        <v/>
      </c>
      <c r="L222" t="inlineStr">
        <is>
          <t>Average endpoints</t>
        </is>
      </c>
      <c r="M222" s="4">
        <f>SUMPRODUCT((E222:G222+E223:G223)/2,$B$17:$D$17)*$B$6</f>
        <v/>
      </c>
      <c r="N222" s="4">
        <f>M222*J222</f>
        <v/>
      </c>
      <c r="O222" s="4">
        <f>SUMPRODUCT((E222:G222+E223:G223)/2,$B$18:$D$18)*$B$6</f>
        <v/>
      </c>
      <c r="P222" s="4">
        <f>O222*J222</f>
        <v/>
      </c>
      <c r="Q222" s="4">
        <f>SUMPRODUCT((E222:G222+E223:G223)/2,$B$19:$D$19)*$B$6</f>
        <v/>
      </c>
      <c r="R222" s="4">
        <f>Q222*J222</f>
        <v/>
      </c>
      <c r="S222" s="4">
        <f>IF(A222=0,SUMPRODUCT((E222:G222+E223:G223)/2,$B$20:$D$20)*$B$6,0)</f>
        <v/>
      </c>
      <c r="T222" s="4">
        <f>S222*J222</f>
        <v/>
      </c>
      <c r="U222" s="4">
        <f>N222+P222+R222+T222</f>
        <v/>
      </c>
      <c r="V222">
        <f>SUMPRODUCT((E222:G222+E223:G223)/2,$B$24:$D$24)*$B$6</f>
        <v/>
      </c>
      <c r="W222" s="5">
        <f>V222*K222</f>
        <v/>
      </c>
      <c r="X222">
        <f>SUMPRODUCT((E222:G222+E223:G223)/2,$B$25:$D$25)*$B$6</f>
        <v/>
      </c>
      <c r="Y222">
        <f>X222*K222</f>
        <v/>
      </c>
    </row>
    <row r="223">
      <c r="A223" t="n">
        <v>194</v>
      </c>
      <c r="B223">
        <f>A223*$B$6</f>
        <v/>
      </c>
      <c r="C223" s="5">
        <f>EXP(-$B$12*B223)</f>
        <v/>
      </c>
      <c r="D223" s="5">
        <f>EXP(-$B$13*B223)</f>
        <v/>
      </c>
      <c r="E223">
        <f>C223</f>
        <v/>
      </c>
      <c r="F223">
        <f>D223-C223</f>
        <v/>
      </c>
      <c r="G223">
        <f>1-D223</f>
        <v/>
      </c>
      <c r="H223">
        <f>SUM(E223:G223)</f>
        <v/>
      </c>
      <c r="I223">
        <f>IF(AND(MIN(C223:D223)&gt;=0,MAX(C223:D223)&lt;=1,MIN(E223:G223)&gt;=-1E-10,ABS(H223-1)&lt;1E-8,C223&lt;=C222+1E-10,D223&lt;=D222+1E-10),"OK","ERROR")</f>
        <v/>
      </c>
      <c r="J223">
        <f>1/(1+$B$4)^(B223+$B$6/2)</f>
        <v/>
      </c>
      <c r="K223">
        <f>1/(1+$B$5)^(B223+$B$6/2)</f>
        <v/>
      </c>
      <c r="L223" t="inlineStr">
        <is>
          <t>Average endpoints</t>
        </is>
      </c>
      <c r="M223" s="4">
        <f>SUMPRODUCT((E223:G223+E224:G224)/2,$B$17:$D$17)*$B$6</f>
        <v/>
      </c>
      <c r="N223" s="4">
        <f>M223*J223</f>
        <v/>
      </c>
      <c r="O223" s="4">
        <f>SUMPRODUCT((E223:G223+E224:G224)/2,$B$18:$D$18)*$B$6</f>
        <v/>
      </c>
      <c r="P223" s="4">
        <f>O223*J223</f>
        <v/>
      </c>
      <c r="Q223" s="4">
        <f>SUMPRODUCT((E223:G223+E224:G224)/2,$B$19:$D$19)*$B$6</f>
        <v/>
      </c>
      <c r="R223" s="4">
        <f>Q223*J223</f>
        <v/>
      </c>
      <c r="S223" s="4">
        <f>IF(A223=0,SUMPRODUCT((E223:G223+E224:G224)/2,$B$20:$D$20)*$B$6,0)</f>
        <v/>
      </c>
      <c r="T223" s="4">
        <f>S223*J223</f>
        <v/>
      </c>
      <c r="U223" s="4">
        <f>N223+P223+R223+T223</f>
        <v/>
      </c>
      <c r="V223">
        <f>SUMPRODUCT((E223:G223+E224:G224)/2,$B$24:$D$24)*$B$6</f>
        <v/>
      </c>
      <c r="W223" s="5">
        <f>V223*K223</f>
        <v/>
      </c>
      <c r="X223">
        <f>SUMPRODUCT((E223:G223+E224:G224)/2,$B$25:$D$25)*$B$6</f>
        <v/>
      </c>
      <c r="Y223">
        <f>X223*K223</f>
        <v/>
      </c>
    </row>
    <row r="224">
      <c r="A224" t="n">
        <v>195</v>
      </c>
      <c r="B224">
        <f>A224*$B$6</f>
        <v/>
      </c>
      <c r="C224" s="5">
        <f>EXP(-$B$12*B224)</f>
        <v/>
      </c>
      <c r="D224" s="5">
        <f>EXP(-$B$13*B224)</f>
        <v/>
      </c>
      <c r="E224">
        <f>C224</f>
        <v/>
      </c>
      <c r="F224">
        <f>D224-C224</f>
        <v/>
      </c>
      <c r="G224">
        <f>1-D224</f>
        <v/>
      </c>
      <c r="H224">
        <f>SUM(E224:G224)</f>
        <v/>
      </c>
      <c r="I224">
        <f>IF(AND(MIN(C224:D224)&gt;=0,MAX(C224:D224)&lt;=1,MIN(E224:G224)&gt;=-1E-10,ABS(H224-1)&lt;1E-8,C224&lt;=C223+1E-10,D224&lt;=D223+1E-10),"OK","ERROR")</f>
        <v/>
      </c>
      <c r="J224">
        <f>1/(1+$B$4)^(B224+$B$6/2)</f>
        <v/>
      </c>
      <c r="K224">
        <f>1/(1+$B$5)^(B224+$B$6/2)</f>
        <v/>
      </c>
      <c r="L224" t="inlineStr">
        <is>
          <t>Average endpoints</t>
        </is>
      </c>
      <c r="M224" s="4">
        <f>SUMPRODUCT((E224:G224+E225:G225)/2,$B$17:$D$17)*$B$6</f>
        <v/>
      </c>
      <c r="N224" s="4">
        <f>M224*J224</f>
        <v/>
      </c>
      <c r="O224" s="4">
        <f>SUMPRODUCT((E224:G224+E225:G225)/2,$B$18:$D$18)*$B$6</f>
        <v/>
      </c>
      <c r="P224" s="4">
        <f>O224*J224</f>
        <v/>
      </c>
      <c r="Q224" s="4">
        <f>SUMPRODUCT((E224:G224+E225:G225)/2,$B$19:$D$19)*$B$6</f>
        <v/>
      </c>
      <c r="R224" s="4">
        <f>Q224*J224</f>
        <v/>
      </c>
      <c r="S224" s="4">
        <f>IF(A224=0,SUMPRODUCT((E224:G224+E225:G225)/2,$B$20:$D$20)*$B$6,0)</f>
        <v/>
      </c>
      <c r="T224" s="4">
        <f>S224*J224</f>
        <v/>
      </c>
      <c r="U224" s="4">
        <f>N224+P224+R224+T224</f>
        <v/>
      </c>
      <c r="V224">
        <f>SUMPRODUCT((E224:G224+E225:G225)/2,$B$24:$D$24)*$B$6</f>
        <v/>
      </c>
      <c r="W224" s="5">
        <f>V224*K224</f>
        <v/>
      </c>
      <c r="X224">
        <f>SUMPRODUCT((E224:G224+E225:G225)/2,$B$25:$D$25)*$B$6</f>
        <v/>
      </c>
      <c r="Y224">
        <f>X224*K224</f>
        <v/>
      </c>
    </row>
    <row r="225">
      <c r="A225" t="n">
        <v>196</v>
      </c>
      <c r="B225">
        <f>A225*$B$6</f>
        <v/>
      </c>
      <c r="C225" s="5">
        <f>EXP(-$B$12*B225)</f>
        <v/>
      </c>
      <c r="D225" s="5">
        <f>EXP(-$B$13*B225)</f>
        <v/>
      </c>
      <c r="E225">
        <f>C225</f>
        <v/>
      </c>
      <c r="F225">
        <f>D225-C225</f>
        <v/>
      </c>
      <c r="G225">
        <f>1-D225</f>
        <v/>
      </c>
      <c r="H225">
        <f>SUM(E225:G225)</f>
        <v/>
      </c>
      <c r="I225">
        <f>IF(AND(MIN(C225:D225)&gt;=0,MAX(C225:D225)&lt;=1,MIN(E225:G225)&gt;=-1E-10,ABS(H225-1)&lt;1E-8,C225&lt;=C224+1E-10,D225&lt;=D224+1E-10),"OK","ERROR")</f>
        <v/>
      </c>
      <c r="J225">
        <f>1/(1+$B$4)^(B225+$B$6/2)</f>
        <v/>
      </c>
      <c r="K225">
        <f>1/(1+$B$5)^(B225+$B$6/2)</f>
        <v/>
      </c>
      <c r="L225" t="inlineStr">
        <is>
          <t>Average endpoints</t>
        </is>
      </c>
      <c r="M225" s="4">
        <f>SUMPRODUCT((E225:G225+E226:G226)/2,$B$17:$D$17)*$B$6</f>
        <v/>
      </c>
      <c r="N225" s="4">
        <f>M225*J225</f>
        <v/>
      </c>
      <c r="O225" s="4">
        <f>SUMPRODUCT((E225:G225+E226:G226)/2,$B$18:$D$18)*$B$6</f>
        <v/>
      </c>
      <c r="P225" s="4">
        <f>O225*J225</f>
        <v/>
      </c>
      <c r="Q225" s="4">
        <f>SUMPRODUCT((E225:G225+E226:G226)/2,$B$19:$D$19)*$B$6</f>
        <v/>
      </c>
      <c r="R225" s="4">
        <f>Q225*J225</f>
        <v/>
      </c>
      <c r="S225" s="4">
        <f>IF(A225=0,SUMPRODUCT((E225:G225+E226:G226)/2,$B$20:$D$20)*$B$6,0)</f>
        <v/>
      </c>
      <c r="T225" s="4">
        <f>S225*J225</f>
        <v/>
      </c>
      <c r="U225" s="4">
        <f>N225+P225+R225+T225</f>
        <v/>
      </c>
      <c r="V225">
        <f>SUMPRODUCT((E225:G225+E226:G226)/2,$B$24:$D$24)*$B$6</f>
        <v/>
      </c>
      <c r="W225" s="5">
        <f>V225*K225</f>
        <v/>
      </c>
      <c r="X225">
        <f>SUMPRODUCT((E225:G225+E226:G226)/2,$B$25:$D$25)*$B$6</f>
        <v/>
      </c>
      <c r="Y225">
        <f>X225*K225</f>
        <v/>
      </c>
    </row>
    <row r="226">
      <c r="A226" t="n">
        <v>197</v>
      </c>
      <c r="B226">
        <f>A226*$B$6</f>
        <v/>
      </c>
      <c r="C226" s="5">
        <f>EXP(-$B$12*B226)</f>
        <v/>
      </c>
      <c r="D226" s="5">
        <f>EXP(-$B$13*B226)</f>
        <v/>
      </c>
      <c r="E226">
        <f>C226</f>
        <v/>
      </c>
      <c r="F226">
        <f>D226-C226</f>
        <v/>
      </c>
      <c r="G226">
        <f>1-D226</f>
        <v/>
      </c>
      <c r="H226">
        <f>SUM(E226:G226)</f>
        <v/>
      </c>
      <c r="I226">
        <f>IF(AND(MIN(C226:D226)&gt;=0,MAX(C226:D226)&lt;=1,MIN(E226:G226)&gt;=-1E-10,ABS(H226-1)&lt;1E-8,C226&lt;=C225+1E-10,D226&lt;=D225+1E-10),"OK","ERROR")</f>
        <v/>
      </c>
      <c r="J226">
        <f>1/(1+$B$4)^(B226+$B$6/2)</f>
        <v/>
      </c>
      <c r="K226">
        <f>1/(1+$B$5)^(B226+$B$6/2)</f>
        <v/>
      </c>
      <c r="L226" t="inlineStr">
        <is>
          <t>Average endpoints</t>
        </is>
      </c>
      <c r="M226" s="4">
        <f>SUMPRODUCT((E226:G226+E227:G227)/2,$B$17:$D$17)*$B$6</f>
        <v/>
      </c>
      <c r="N226" s="4">
        <f>M226*J226</f>
        <v/>
      </c>
      <c r="O226" s="4">
        <f>SUMPRODUCT((E226:G226+E227:G227)/2,$B$18:$D$18)*$B$6</f>
        <v/>
      </c>
      <c r="P226" s="4">
        <f>O226*J226</f>
        <v/>
      </c>
      <c r="Q226" s="4">
        <f>SUMPRODUCT((E226:G226+E227:G227)/2,$B$19:$D$19)*$B$6</f>
        <v/>
      </c>
      <c r="R226" s="4">
        <f>Q226*J226</f>
        <v/>
      </c>
      <c r="S226" s="4">
        <f>IF(A226=0,SUMPRODUCT((E226:G226+E227:G227)/2,$B$20:$D$20)*$B$6,0)</f>
        <v/>
      </c>
      <c r="T226" s="4">
        <f>S226*J226</f>
        <v/>
      </c>
      <c r="U226" s="4">
        <f>N226+P226+R226+T226</f>
        <v/>
      </c>
      <c r="V226">
        <f>SUMPRODUCT((E226:G226+E227:G227)/2,$B$24:$D$24)*$B$6</f>
        <v/>
      </c>
      <c r="W226" s="5">
        <f>V226*K226</f>
        <v/>
      </c>
      <c r="X226">
        <f>SUMPRODUCT((E226:G226+E227:G227)/2,$B$25:$D$25)*$B$6</f>
        <v/>
      </c>
      <c r="Y226">
        <f>X226*K226</f>
        <v/>
      </c>
    </row>
    <row r="227">
      <c r="A227" t="n">
        <v>198</v>
      </c>
      <c r="B227">
        <f>A227*$B$6</f>
        <v/>
      </c>
      <c r="C227" s="5">
        <f>EXP(-$B$12*B227)</f>
        <v/>
      </c>
      <c r="D227" s="5">
        <f>EXP(-$B$13*B227)</f>
        <v/>
      </c>
      <c r="E227">
        <f>C227</f>
        <v/>
      </c>
      <c r="F227">
        <f>D227-C227</f>
        <v/>
      </c>
      <c r="G227">
        <f>1-D227</f>
        <v/>
      </c>
      <c r="H227">
        <f>SUM(E227:G227)</f>
        <v/>
      </c>
      <c r="I227">
        <f>IF(AND(MIN(C227:D227)&gt;=0,MAX(C227:D227)&lt;=1,MIN(E227:G227)&gt;=-1E-10,ABS(H227-1)&lt;1E-8,C227&lt;=C226+1E-10,D227&lt;=D226+1E-10),"OK","ERROR")</f>
        <v/>
      </c>
      <c r="J227">
        <f>1/(1+$B$4)^(B227+$B$6/2)</f>
        <v/>
      </c>
      <c r="K227">
        <f>1/(1+$B$5)^(B227+$B$6/2)</f>
        <v/>
      </c>
      <c r="L227" t="inlineStr">
        <is>
          <t>Average endpoints</t>
        </is>
      </c>
      <c r="M227" s="4">
        <f>SUMPRODUCT((E227:G227+E228:G228)/2,$B$17:$D$17)*$B$6</f>
        <v/>
      </c>
      <c r="N227" s="4">
        <f>M227*J227</f>
        <v/>
      </c>
      <c r="O227" s="4">
        <f>SUMPRODUCT((E227:G227+E228:G228)/2,$B$18:$D$18)*$B$6</f>
        <v/>
      </c>
      <c r="P227" s="4">
        <f>O227*J227</f>
        <v/>
      </c>
      <c r="Q227" s="4">
        <f>SUMPRODUCT((E227:G227+E228:G228)/2,$B$19:$D$19)*$B$6</f>
        <v/>
      </c>
      <c r="R227" s="4">
        <f>Q227*J227</f>
        <v/>
      </c>
      <c r="S227" s="4">
        <f>IF(A227=0,SUMPRODUCT((E227:G227+E228:G228)/2,$B$20:$D$20)*$B$6,0)</f>
        <v/>
      </c>
      <c r="T227" s="4">
        <f>S227*J227</f>
        <v/>
      </c>
      <c r="U227" s="4">
        <f>N227+P227+R227+T227</f>
        <v/>
      </c>
      <c r="V227">
        <f>SUMPRODUCT((E227:G227+E228:G228)/2,$B$24:$D$24)*$B$6</f>
        <v/>
      </c>
      <c r="W227" s="5">
        <f>V227*K227</f>
        <v/>
      </c>
      <c r="X227">
        <f>SUMPRODUCT((E227:G227+E228:G228)/2,$B$25:$D$25)*$B$6</f>
        <v/>
      </c>
      <c r="Y227">
        <f>X227*K227</f>
        <v/>
      </c>
    </row>
    <row r="228">
      <c r="A228" t="n">
        <v>199</v>
      </c>
      <c r="B228">
        <f>A228*$B$6</f>
        <v/>
      </c>
      <c r="C228" s="5">
        <f>EXP(-$B$12*B228)</f>
        <v/>
      </c>
      <c r="D228" s="5">
        <f>EXP(-$B$13*B228)</f>
        <v/>
      </c>
      <c r="E228">
        <f>C228</f>
        <v/>
      </c>
      <c r="F228">
        <f>D228-C228</f>
        <v/>
      </c>
      <c r="G228">
        <f>1-D228</f>
        <v/>
      </c>
      <c r="H228">
        <f>SUM(E228:G228)</f>
        <v/>
      </c>
      <c r="I228">
        <f>IF(AND(MIN(C228:D228)&gt;=0,MAX(C228:D228)&lt;=1,MIN(E228:G228)&gt;=-1E-10,ABS(H228-1)&lt;1E-8,C228&lt;=C227+1E-10,D228&lt;=D227+1E-10),"OK","ERROR")</f>
        <v/>
      </c>
      <c r="J228">
        <f>1/(1+$B$4)^(B228+$B$6/2)</f>
        <v/>
      </c>
      <c r="K228">
        <f>1/(1+$B$5)^(B228+$B$6/2)</f>
        <v/>
      </c>
      <c r="L228" t="inlineStr">
        <is>
          <t>Average endpoints</t>
        </is>
      </c>
      <c r="M228" s="4">
        <f>SUMPRODUCT((E228:G228+E229:G229)/2,$B$17:$D$17)*$B$6</f>
        <v/>
      </c>
      <c r="N228" s="4">
        <f>M228*J228</f>
        <v/>
      </c>
      <c r="O228" s="4">
        <f>SUMPRODUCT((E228:G228+E229:G229)/2,$B$18:$D$18)*$B$6</f>
        <v/>
      </c>
      <c r="P228" s="4">
        <f>O228*J228</f>
        <v/>
      </c>
      <c r="Q228" s="4">
        <f>SUMPRODUCT((E228:G228+E229:G229)/2,$B$19:$D$19)*$B$6</f>
        <v/>
      </c>
      <c r="R228" s="4">
        <f>Q228*J228</f>
        <v/>
      </c>
      <c r="S228" s="4">
        <f>IF(A228=0,SUMPRODUCT((E228:G228+E229:G229)/2,$B$20:$D$20)*$B$6,0)</f>
        <v/>
      </c>
      <c r="T228" s="4">
        <f>S228*J228</f>
        <v/>
      </c>
      <c r="U228" s="4">
        <f>N228+P228+R228+T228</f>
        <v/>
      </c>
      <c r="V228">
        <f>SUMPRODUCT((E228:G228+E229:G229)/2,$B$24:$D$24)*$B$6</f>
        <v/>
      </c>
      <c r="W228" s="5">
        <f>V228*K228</f>
        <v/>
      </c>
      <c r="X228">
        <f>SUMPRODUCT((E228:G228+E229:G229)/2,$B$25:$D$25)*$B$6</f>
        <v/>
      </c>
      <c r="Y228">
        <f>X228*K228</f>
        <v/>
      </c>
    </row>
    <row r="229">
      <c r="A229" t="n">
        <v>200</v>
      </c>
      <c r="B229">
        <f>A229*$B$6</f>
        <v/>
      </c>
      <c r="C229" s="5">
        <f>EXP(-$B$12*B229)</f>
        <v/>
      </c>
      <c r="D229" s="5">
        <f>EXP(-$B$13*B229)</f>
        <v/>
      </c>
      <c r="E229">
        <f>C229</f>
        <v/>
      </c>
      <c r="F229">
        <f>D229-C229</f>
        <v/>
      </c>
      <c r="G229">
        <f>1-D229</f>
        <v/>
      </c>
      <c r="H229">
        <f>SUM(E229:G229)</f>
        <v/>
      </c>
      <c r="I229">
        <f>IF(AND(MIN(C229:D229)&gt;=0,MAX(C229:D229)&lt;=1,MIN(E229:G229)&gt;=-1E-10,ABS(H229-1)&lt;1E-8,C229&lt;=C228+1E-10,D229&lt;=D228+1E-10),"OK","ERROR")</f>
        <v/>
      </c>
      <c r="J229">
        <f>1/(1+$B$4)^(B229+$B$6/2)</f>
        <v/>
      </c>
      <c r="K229">
        <f>1/(1+$B$5)^(B229+$B$6/2)</f>
        <v/>
      </c>
      <c r="L229" t="inlineStr">
        <is>
          <t>Average endpoints</t>
        </is>
      </c>
      <c r="M229" s="4">
        <f>SUMPRODUCT((E229:G229+E230:G230)/2,$B$17:$D$17)*$B$6</f>
        <v/>
      </c>
      <c r="N229" s="4">
        <f>M229*J229</f>
        <v/>
      </c>
      <c r="O229" s="4">
        <f>SUMPRODUCT((E229:G229+E230:G230)/2,$B$18:$D$18)*$B$6</f>
        <v/>
      </c>
      <c r="P229" s="4">
        <f>O229*J229</f>
        <v/>
      </c>
      <c r="Q229" s="4">
        <f>SUMPRODUCT((E229:G229+E230:G230)/2,$B$19:$D$19)*$B$6</f>
        <v/>
      </c>
      <c r="R229" s="4">
        <f>Q229*J229</f>
        <v/>
      </c>
      <c r="S229" s="4">
        <f>IF(A229=0,SUMPRODUCT((E229:G229+E230:G230)/2,$B$20:$D$20)*$B$6,0)</f>
        <v/>
      </c>
      <c r="T229" s="4">
        <f>S229*J229</f>
        <v/>
      </c>
      <c r="U229" s="4">
        <f>N229+P229+R229+T229</f>
        <v/>
      </c>
      <c r="V229">
        <f>SUMPRODUCT((E229:G229+E230:G230)/2,$B$24:$D$24)*$B$6</f>
        <v/>
      </c>
      <c r="W229" s="5">
        <f>V229*K229</f>
        <v/>
      </c>
      <c r="X229">
        <f>SUMPRODUCT((E229:G229+E230:G230)/2,$B$25:$D$25)*$B$6</f>
        <v/>
      </c>
      <c r="Y229">
        <f>X229*K229</f>
        <v/>
      </c>
    </row>
    <row r="230">
      <c r="A230" t="n">
        <v>201</v>
      </c>
      <c r="B230">
        <f>A230*$B$6</f>
        <v/>
      </c>
      <c r="C230" s="5">
        <f>EXP(-$B$12*B230)</f>
        <v/>
      </c>
      <c r="D230" s="5">
        <f>EXP(-$B$13*B230)</f>
        <v/>
      </c>
      <c r="E230">
        <f>C230</f>
        <v/>
      </c>
      <c r="F230">
        <f>D230-C230</f>
        <v/>
      </c>
      <c r="G230">
        <f>1-D230</f>
        <v/>
      </c>
      <c r="H230">
        <f>SUM(E230:G230)</f>
        <v/>
      </c>
      <c r="I230">
        <f>IF(AND(MIN(C230:D230)&gt;=0,MAX(C230:D230)&lt;=1,MIN(E230:G230)&gt;=-1E-10,ABS(H230-1)&lt;1E-8,C230&lt;=C229+1E-10,D230&lt;=D229+1E-10),"OK","ERROR")</f>
        <v/>
      </c>
      <c r="J230">
        <f>1/(1+$B$4)^(B230+$B$6/2)</f>
        <v/>
      </c>
      <c r="K230">
        <f>1/(1+$B$5)^(B230+$B$6/2)</f>
        <v/>
      </c>
      <c r="L230" t="inlineStr">
        <is>
          <t>Average endpoints</t>
        </is>
      </c>
      <c r="M230" s="4">
        <f>SUMPRODUCT((E230:G230+E231:G231)/2,$B$17:$D$17)*$B$6</f>
        <v/>
      </c>
      <c r="N230" s="4">
        <f>M230*J230</f>
        <v/>
      </c>
      <c r="O230" s="4">
        <f>SUMPRODUCT((E230:G230+E231:G231)/2,$B$18:$D$18)*$B$6</f>
        <v/>
      </c>
      <c r="P230" s="4">
        <f>O230*J230</f>
        <v/>
      </c>
      <c r="Q230" s="4">
        <f>SUMPRODUCT((E230:G230+E231:G231)/2,$B$19:$D$19)*$B$6</f>
        <v/>
      </c>
      <c r="R230" s="4">
        <f>Q230*J230</f>
        <v/>
      </c>
      <c r="S230" s="4">
        <f>IF(A230=0,SUMPRODUCT((E230:G230+E231:G231)/2,$B$20:$D$20)*$B$6,0)</f>
        <v/>
      </c>
      <c r="T230" s="4">
        <f>S230*J230</f>
        <v/>
      </c>
      <c r="U230" s="4">
        <f>N230+P230+R230+T230</f>
        <v/>
      </c>
      <c r="V230">
        <f>SUMPRODUCT((E230:G230+E231:G231)/2,$B$24:$D$24)*$B$6</f>
        <v/>
      </c>
      <c r="W230" s="5">
        <f>V230*K230</f>
        <v/>
      </c>
      <c r="X230">
        <f>SUMPRODUCT((E230:G230+E231:G231)/2,$B$25:$D$25)*$B$6</f>
        <v/>
      </c>
      <c r="Y230">
        <f>X230*K230</f>
        <v/>
      </c>
    </row>
    <row r="231">
      <c r="A231" t="n">
        <v>202</v>
      </c>
      <c r="B231">
        <f>A231*$B$6</f>
        <v/>
      </c>
      <c r="C231" s="5">
        <f>EXP(-$B$12*B231)</f>
        <v/>
      </c>
      <c r="D231" s="5">
        <f>EXP(-$B$13*B231)</f>
        <v/>
      </c>
      <c r="E231">
        <f>C231</f>
        <v/>
      </c>
      <c r="F231">
        <f>D231-C231</f>
        <v/>
      </c>
      <c r="G231">
        <f>1-D231</f>
        <v/>
      </c>
      <c r="H231">
        <f>SUM(E231:G231)</f>
        <v/>
      </c>
      <c r="I231">
        <f>IF(AND(MIN(C231:D231)&gt;=0,MAX(C231:D231)&lt;=1,MIN(E231:G231)&gt;=-1E-10,ABS(H231-1)&lt;1E-8,C231&lt;=C230+1E-10,D231&lt;=D230+1E-10),"OK","ERROR")</f>
        <v/>
      </c>
      <c r="J231">
        <f>1/(1+$B$4)^(B231+$B$6/2)</f>
        <v/>
      </c>
      <c r="K231">
        <f>1/(1+$B$5)^(B231+$B$6/2)</f>
        <v/>
      </c>
      <c r="L231" t="inlineStr">
        <is>
          <t>Average endpoints</t>
        </is>
      </c>
      <c r="M231" s="4">
        <f>SUMPRODUCT((E231:G231+E232:G232)/2,$B$17:$D$17)*$B$6</f>
        <v/>
      </c>
      <c r="N231" s="4">
        <f>M231*J231</f>
        <v/>
      </c>
      <c r="O231" s="4">
        <f>SUMPRODUCT((E231:G231+E232:G232)/2,$B$18:$D$18)*$B$6</f>
        <v/>
      </c>
      <c r="P231" s="4">
        <f>O231*J231</f>
        <v/>
      </c>
      <c r="Q231" s="4">
        <f>SUMPRODUCT((E231:G231+E232:G232)/2,$B$19:$D$19)*$B$6</f>
        <v/>
      </c>
      <c r="R231" s="4">
        <f>Q231*J231</f>
        <v/>
      </c>
      <c r="S231" s="4">
        <f>IF(A231=0,SUMPRODUCT((E231:G231+E232:G232)/2,$B$20:$D$20)*$B$6,0)</f>
        <v/>
      </c>
      <c r="T231" s="4">
        <f>S231*J231</f>
        <v/>
      </c>
      <c r="U231" s="4">
        <f>N231+P231+R231+T231</f>
        <v/>
      </c>
      <c r="V231">
        <f>SUMPRODUCT((E231:G231+E232:G232)/2,$B$24:$D$24)*$B$6</f>
        <v/>
      </c>
      <c r="W231" s="5">
        <f>V231*K231</f>
        <v/>
      </c>
      <c r="X231">
        <f>SUMPRODUCT((E231:G231+E232:G232)/2,$B$25:$D$25)*$B$6</f>
        <v/>
      </c>
      <c r="Y231">
        <f>X231*K231</f>
        <v/>
      </c>
    </row>
    <row r="232">
      <c r="A232" t="n">
        <v>203</v>
      </c>
      <c r="B232">
        <f>A232*$B$6</f>
        <v/>
      </c>
      <c r="C232" s="5">
        <f>EXP(-$B$12*B232)</f>
        <v/>
      </c>
      <c r="D232" s="5">
        <f>EXP(-$B$13*B232)</f>
        <v/>
      </c>
      <c r="E232">
        <f>C232</f>
        <v/>
      </c>
      <c r="F232">
        <f>D232-C232</f>
        <v/>
      </c>
      <c r="G232">
        <f>1-D232</f>
        <v/>
      </c>
      <c r="H232">
        <f>SUM(E232:G232)</f>
        <v/>
      </c>
      <c r="I232">
        <f>IF(AND(MIN(C232:D232)&gt;=0,MAX(C232:D232)&lt;=1,MIN(E232:G232)&gt;=-1E-10,ABS(H232-1)&lt;1E-8,C232&lt;=C231+1E-10,D232&lt;=D231+1E-10),"OK","ERROR")</f>
        <v/>
      </c>
      <c r="J232">
        <f>1/(1+$B$4)^(B232+$B$6/2)</f>
        <v/>
      </c>
      <c r="K232">
        <f>1/(1+$B$5)^(B232+$B$6/2)</f>
        <v/>
      </c>
      <c r="L232" t="inlineStr">
        <is>
          <t>Average endpoints</t>
        </is>
      </c>
      <c r="M232" s="4">
        <f>SUMPRODUCT((E232:G232+E233:G233)/2,$B$17:$D$17)*$B$6</f>
        <v/>
      </c>
      <c r="N232" s="4">
        <f>M232*J232</f>
        <v/>
      </c>
      <c r="O232" s="4">
        <f>SUMPRODUCT((E232:G232+E233:G233)/2,$B$18:$D$18)*$B$6</f>
        <v/>
      </c>
      <c r="P232" s="4">
        <f>O232*J232</f>
        <v/>
      </c>
      <c r="Q232" s="4">
        <f>SUMPRODUCT((E232:G232+E233:G233)/2,$B$19:$D$19)*$B$6</f>
        <v/>
      </c>
      <c r="R232" s="4">
        <f>Q232*J232</f>
        <v/>
      </c>
      <c r="S232" s="4">
        <f>IF(A232=0,SUMPRODUCT((E232:G232+E233:G233)/2,$B$20:$D$20)*$B$6,0)</f>
        <v/>
      </c>
      <c r="T232" s="4">
        <f>S232*J232</f>
        <v/>
      </c>
      <c r="U232" s="4">
        <f>N232+P232+R232+T232</f>
        <v/>
      </c>
      <c r="V232">
        <f>SUMPRODUCT((E232:G232+E233:G233)/2,$B$24:$D$24)*$B$6</f>
        <v/>
      </c>
      <c r="W232" s="5">
        <f>V232*K232</f>
        <v/>
      </c>
      <c r="X232">
        <f>SUMPRODUCT((E232:G232+E233:G233)/2,$B$25:$D$25)*$B$6</f>
        <v/>
      </c>
      <c r="Y232">
        <f>X232*K232</f>
        <v/>
      </c>
    </row>
    <row r="233">
      <c r="A233" t="n">
        <v>204</v>
      </c>
      <c r="B233">
        <f>A233*$B$6</f>
        <v/>
      </c>
      <c r="C233" s="5">
        <f>EXP(-$B$12*B233)</f>
        <v/>
      </c>
      <c r="D233" s="5">
        <f>EXP(-$B$13*B233)</f>
        <v/>
      </c>
      <c r="E233">
        <f>C233</f>
        <v/>
      </c>
      <c r="F233">
        <f>D233-C233</f>
        <v/>
      </c>
      <c r="G233">
        <f>1-D233</f>
        <v/>
      </c>
      <c r="H233">
        <f>SUM(E233:G233)</f>
        <v/>
      </c>
      <c r="I233">
        <f>IF(AND(MIN(C233:D233)&gt;=0,MAX(C233:D233)&lt;=1,MIN(E233:G233)&gt;=-1E-10,ABS(H233-1)&lt;1E-8,C233&lt;=C232+1E-10,D233&lt;=D232+1E-10),"OK","ERROR")</f>
        <v/>
      </c>
      <c r="J233">
        <f>1/(1+$B$4)^(B233+$B$6/2)</f>
        <v/>
      </c>
      <c r="K233">
        <f>1/(1+$B$5)^(B233+$B$6/2)</f>
        <v/>
      </c>
      <c r="L233" t="inlineStr">
        <is>
          <t>Average endpoints</t>
        </is>
      </c>
      <c r="M233" s="4">
        <f>SUMPRODUCT((E233:G233+E234:G234)/2,$B$17:$D$17)*$B$6</f>
        <v/>
      </c>
      <c r="N233" s="4">
        <f>M233*J233</f>
        <v/>
      </c>
      <c r="O233" s="4">
        <f>SUMPRODUCT((E233:G233+E234:G234)/2,$B$18:$D$18)*$B$6</f>
        <v/>
      </c>
      <c r="P233" s="4">
        <f>O233*J233</f>
        <v/>
      </c>
      <c r="Q233" s="4">
        <f>SUMPRODUCT((E233:G233+E234:G234)/2,$B$19:$D$19)*$B$6</f>
        <v/>
      </c>
      <c r="R233" s="4">
        <f>Q233*J233</f>
        <v/>
      </c>
      <c r="S233" s="4">
        <f>IF(A233=0,SUMPRODUCT((E233:G233+E234:G234)/2,$B$20:$D$20)*$B$6,0)</f>
        <v/>
      </c>
      <c r="T233" s="4">
        <f>S233*J233</f>
        <v/>
      </c>
      <c r="U233" s="4">
        <f>N233+P233+R233+T233</f>
        <v/>
      </c>
      <c r="V233">
        <f>SUMPRODUCT((E233:G233+E234:G234)/2,$B$24:$D$24)*$B$6</f>
        <v/>
      </c>
      <c r="W233" s="5">
        <f>V233*K233</f>
        <v/>
      </c>
      <c r="X233">
        <f>SUMPRODUCT((E233:G233+E234:G234)/2,$B$25:$D$25)*$B$6</f>
        <v/>
      </c>
      <c r="Y233">
        <f>X233*K233</f>
        <v/>
      </c>
    </row>
    <row r="234">
      <c r="A234" t="n">
        <v>205</v>
      </c>
      <c r="B234">
        <f>A234*$B$6</f>
        <v/>
      </c>
      <c r="C234" s="5">
        <f>EXP(-$B$12*B234)</f>
        <v/>
      </c>
      <c r="D234" s="5">
        <f>EXP(-$B$13*B234)</f>
        <v/>
      </c>
      <c r="E234">
        <f>C234</f>
        <v/>
      </c>
      <c r="F234">
        <f>D234-C234</f>
        <v/>
      </c>
      <c r="G234">
        <f>1-D234</f>
        <v/>
      </c>
      <c r="H234">
        <f>SUM(E234:G234)</f>
        <v/>
      </c>
      <c r="I234">
        <f>IF(AND(MIN(C234:D234)&gt;=0,MAX(C234:D234)&lt;=1,MIN(E234:G234)&gt;=-1E-10,ABS(H234-1)&lt;1E-8,C234&lt;=C233+1E-10,D234&lt;=D233+1E-10),"OK","ERROR")</f>
        <v/>
      </c>
      <c r="J234">
        <f>1/(1+$B$4)^(B234+$B$6/2)</f>
        <v/>
      </c>
      <c r="K234">
        <f>1/(1+$B$5)^(B234+$B$6/2)</f>
        <v/>
      </c>
      <c r="L234" t="inlineStr">
        <is>
          <t>Average endpoints</t>
        </is>
      </c>
      <c r="M234" s="4">
        <f>SUMPRODUCT((E234:G234+E235:G235)/2,$B$17:$D$17)*$B$6</f>
        <v/>
      </c>
      <c r="N234" s="4">
        <f>M234*J234</f>
        <v/>
      </c>
      <c r="O234" s="4">
        <f>SUMPRODUCT((E234:G234+E235:G235)/2,$B$18:$D$18)*$B$6</f>
        <v/>
      </c>
      <c r="P234" s="4">
        <f>O234*J234</f>
        <v/>
      </c>
      <c r="Q234" s="4">
        <f>SUMPRODUCT((E234:G234+E235:G235)/2,$B$19:$D$19)*$B$6</f>
        <v/>
      </c>
      <c r="R234" s="4">
        <f>Q234*J234</f>
        <v/>
      </c>
      <c r="S234" s="4">
        <f>IF(A234=0,SUMPRODUCT((E234:G234+E235:G235)/2,$B$20:$D$20)*$B$6,0)</f>
        <v/>
      </c>
      <c r="T234" s="4">
        <f>S234*J234</f>
        <v/>
      </c>
      <c r="U234" s="4">
        <f>N234+P234+R234+T234</f>
        <v/>
      </c>
      <c r="V234">
        <f>SUMPRODUCT((E234:G234+E235:G235)/2,$B$24:$D$24)*$B$6</f>
        <v/>
      </c>
      <c r="W234" s="5">
        <f>V234*K234</f>
        <v/>
      </c>
      <c r="X234">
        <f>SUMPRODUCT((E234:G234+E235:G235)/2,$B$25:$D$25)*$B$6</f>
        <v/>
      </c>
      <c r="Y234">
        <f>X234*K234</f>
        <v/>
      </c>
    </row>
    <row r="235">
      <c r="A235" t="n">
        <v>206</v>
      </c>
      <c r="B235">
        <f>A235*$B$6</f>
        <v/>
      </c>
      <c r="C235" s="5">
        <f>EXP(-$B$12*B235)</f>
        <v/>
      </c>
      <c r="D235" s="5">
        <f>EXP(-$B$13*B235)</f>
        <v/>
      </c>
      <c r="E235">
        <f>C235</f>
        <v/>
      </c>
      <c r="F235">
        <f>D235-C235</f>
        <v/>
      </c>
      <c r="G235">
        <f>1-D235</f>
        <v/>
      </c>
      <c r="H235">
        <f>SUM(E235:G235)</f>
        <v/>
      </c>
      <c r="I235">
        <f>IF(AND(MIN(C235:D235)&gt;=0,MAX(C235:D235)&lt;=1,MIN(E235:G235)&gt;=-1E-10,ABS(H235-1)&lt;1E-8,C235&lt;=C234+1E-10,D235&lt;=D234+1E-10),"OK","ERROR")</f>
        <v/>
      </c>
      <c r="J235">
        <f>1/(1+$B$4)^(B235+$B$6/2)</f>
        <v/>
      </c>
      <c r="K235">
        <f>1/(1+$B$5)^(B235+$B$6/2)</f>
        <v/>
      </c>
      <c r="L235" t="inlineStr">
        <is>
          <t>Average endpoints</t>
        </is>
      </c>
      <c r="M235" s="4">
        <f>SUMPRODUCT((E235:G235+E236:G236)/2,$B$17:$D$17)*$B$6</f>
        <v/>
      </c>
      <c r="N235" s="4">
        <f>M235*J235</f>
        <v/>
      </c>
      <c r="O235" s="4">
        <f>SUMPRODUCT((E235:G235+E236:G236)/2,$B$18:$D$18)*$B$6</f>
        <v/>
      </c>
      <c r="P235" s="4">
        <f>O235*J235</f>
        <v/>
      </c>
      <c r="Q235" s="4">
        <f>SUMPRODUCT((E235:G235+E236:G236)/2,$B$19:$D$19)*$B$6</f>
        <v/>
      </c>
      <c r="R235" s="4">
        <f>Q235*J235</f>
        <v/>
      </c>
      <c r="S235" s="4">
        <f>IF(A235=0,SUMPRODUCT((E235:G235+E236:G236)/2,$B$20:$D$20)*$B$6,0)</f>
        <v/>
      </c>
      <c r="T235" s="4">
        <f>S235*J235</f>
        <v/>
      </c>
      <c r="U235" s="4">
        <f>N235+P235+R235+T235</f>
        <v/>
      </c>
      <c r="V235">
        <f>SUMPRODUCT((E235:G235+E236:G236)/2,$B$24:$D$24)*$B$6</f>
        <v/>
      </c>
      <c r="W235" s="5">
        <f>V235*K235</f>
        <v/>
      </c>
      <c r="X235">
        <f>SUMPRODUCT((E235:G235+E236:G236)/2,$B$25:$D$25)*$B$6</f>
        <v/>
      </c>
      <c r="Y235">
        <f>X235*K235</f>
        <v/>
      </c>
    </row>
    <row r="236">
      <c r="A236" t="n">
        <v>207</v>
      </c>
      <c r="B236">
        <f>A236*$B$6</f>
        <v/>
      </c>
      <c r="C236" s="5">
        <f>EXP(-$B$12*B236)</f>
        <v/>
      </c>
      <c r="D236" s="5">
        <f>EXP(-$B$13*B236)</f>
        <v/>
      </c>
      <c r="E236">
        <f>C236</f>
        <v/>
      </c>
      <c r="F236">
        <f>D236-C236</f>
        <v/>
      </c>
      <c r="G236">
        <f>1-D236</f>
        <v/>
      </c>
      <c r="H236">
        <f>SUM(E236:G236)</f>
        <v/>
      </c>
      <c r="I236">
        <f>IF(AND(MIN(C236:D236)&gt;=0,MAX(C236:D236)&lt;=1,MIN(E236:G236)&gt;=-1E-10,ABS(H236-1)&lt;1E-8,C236&lt;=C235+1E-10,D236&lt;=D235+1E-10),"OK","ERROR")</f>
        <v/>
      </c>
      <c r="J236">
        <f>1/(1+$B$4)^(B236+$B$6/2)</f>
        <v/>
      </c>
      <c r="K236">
        <f>1/(1+$B$5)^(B236+$B$6/2)</f>
        <v/>
      </c>
      <c r="L236" t="inlineStr">
        <is>
          <t>Average endpoints</t>
        </is>
      </c>
      <c r="M236" s="4">
        <f>SUMPRODUCT((E236:G236+E237:G237)/2,$B$17:$D$17)*$B$6</f>
        <v/>
      </c>
      <c r="N236" s="4">
        <f>M236*J236</f>
        <v/>
      </c>
      <c r="O236" s="4">
        <f>SUMPRODUCT((E236:G236+E237:G237)/2,$B$18:$D$18)*$B$6</f>
        <v/>
      </c>
      <c r="P236" s="4">
        <f>O236*J236</f>
        <v/>
      </c>
      <c r="Q236" s="4">
        <f>SUMPRODUCT((E236:G236+E237:G237)/2,$B$19:$D$19)*$B$6</f>
        <v/>
      </c>
      <c r="R236" s="4">
        <f>Q236*J236</f>
        <v/>
      </c>
      <c r="S236" s="4">
        <f>IF(A236=0,SUMPRODUCT((E236:G236+E237:G237)/2,$B$20:$D$20)*$B$6,0)</f>
        <v/>
      </c>
      <c r="T236" s="4">
        <f>S236*J236</f>
        <v/>
      </c>
      <c r="U236" s="4">
        <f>N236+P236+R236+T236</f>
        <v/>
      </c>
      <c r="V236">
        <f>SUMPRODUCT((E236:G236+E237:G237)/2,$B$24:$D$24)*$B$6</f>
        <v/>
      </c>
      <c r="W236" s="5">
        <f>V236*K236</f>
        <v/>
      </c>
      <c r="X236">
        <f>SUMPRODUCT((E236:G236+E237:G237)/2,$B$25:$D$25)*$B$6</f>
        <v/>
      </c>
      <c r="Y236">
        <f>X236*K236</f>
        <v/>
      </c>
    </row>
    <row r="237">
      <c r="A237" t="n">
        <v>208</v>
      </c>
      <c r="B237">
        <f>A237*$B$6</f>
        <v/>
      </c>
      <c r="C237" s="5">
        <f>EXP(-$B$12*B237)</f>
        <v/>
      </c>
      <c r="D237" s="5">
        <f>EXP(-$B$13*B237)</f>
        <v/>
      </c>
      <c r="E237">
        <f>C237</f>
        <v/>
      </c>
      <c r="F237">
        <f>D237-C237</f>
        <v/>
      </c>
      <c r="G237">
        <f>1-D237</f>
        <v/>
      </c>
      <c r="H237">
        <f>SUM(E237:G237)</f>
        <v/>
      </c>
      <c r="I237">
        <f>IF(AND(MIN(C237:D237)&gt;=0,MAX(C237:D237)&lt;=1,MIN(E237:G237)&gt;=-1E-10,ABS(H237-1)&lt;1E-8,C237&lt;=C236+1E-10,D237&lt;=D236+1E-10),"OK","ERROR")</f>
        <v/>
      </c>
      <c r="J237">
        <f>1/(1+$B$4)^(B237+$B$6/2)</f>
        <v/>
      </c>
      <c r="K237">
        <f>1/(1+$B$5)^(B237+$B$6/2)</f>
        <v/>
      </c>
      <c r="L237" t="inlineStr">
        <is>
          <t>Average endpoints</t>
        </is>
      </c>
      <c r="M237" s="4">
        <f>SUMPRODUCT((E237:G237+E238:G238)/2,$B$17:$D$17)*$B$6</f>
        <v/>
      </c>
      <c r="N237" s="4">
        <f>M237*J237</f>
        <v/>
      </c>
      <c r="O237" s="4">
        <f>SUMPRODUCT((E237:G237+E238:G238)/2,$B$18:$D$18)*$B$6</f>
        <v/>
      </c>
      <c r="P237" s="4">
        <f>O237*J237</f>
        <v/>
      </c>
      <c r="Q237" s="4">
        <f>SUMPRODUCT((E237:G237+E238:G238)/2,$B$19:$D$19)*$B$6</f>
        <v/>
      </c>
      <c r="R237" s="4">
        <f>Q237*J237</f>
        <v/>
      </c>
      <c r="S237" s="4">
        <f>IF(A237=0,SUMPRODUCT((E237:G237+E238:G238)/2,$B$20:$D$20)*$B$6,0)</f>
        <v/>
      </c>
      <c r="T237" s="4">
        <f>S237*J237</f>
        <v/>
      </c>
      <c r="U237" s="4">
        <f>N237+P237+R237+T237</f>
        <v/>
      </c>
      <c r="V237">
        <f>SUMPRODUCT((E237:G237+E238:G238)/2,$B$24:$D$24)*$B$6</f>
        <v/>
      </c>
      <c r="W237" s="5">
        <f>V237*K237</f>
        <v/>
      </c>
      <c r="X237">
        <f>SUMPRODUCT((E237:G237+E238:G238)/2,$B$25:$D$25)*$B$6</f>
        <v/>
      </c>
      <c r="Y237">
        <f>X237*K237</f>
        <v/>
      </c>
    </row>
    <row r="238">
      <c r="A238" t="n">
        <v>209</v>
      </c>
      <c r="B238">
        <f>A238*$B$6</f>
        <v/>
      </c>
      <c r="C238" s="5">
        <f>EXP(-$B$12*B238)</f>
        <v/>
      </c>
      <c r="D238" s="5">
        <f>EXP(-$B$13*B238)</f>
        <v/>
      </c>
      <c r="E238">
        <f>C238</f>
        <v/>
      </c>
      <c r="F238">
        <f>D238-C238</f>
        <v/>
      </c>
      <c r="G238">
        <f>1-D238</f>
        <v/>
      </c>
      <c r="H238">
        <f>SUM(E238:G238)</f>
        <v/>
      </c>
      <c r="I238">
        <f>IF(AND(MIN(C238:D238)&gt;=0,MAX(C238:D238)&lt;=1,MIN(E238:G238)&gt;=-1E-10,ABS(H238-1)&lt;1E-8,C238&lt;=C237+1E-10,D238&lt;=D237+1E-10),"OK","ERROR")</f>
        <v/>
      </c>
      <c r="J238">
        <f>1/(1+$B$4)^(B238+$B$6/2)</f>
        <v/>
      </c>
      <c r="K238">
        <f>1/(1+$B$5)^(B238+$B$6/2)</f>
        <v/>
      </c>
      <c r="L238" t="inlineStr">
        <is>
          <t>Average endpoints</t>
        </is>
      </c>
      <c r="M238" s="4">
        <f>SUMPRODUCT((E238:G238+E239:G239)/2,$B$17:$D$17)*$B$6</f>
        <v/>
      </c>
      <c r="N238" s="4">
        <f>M238*J238</f>
        <v/>
      </c>
      <c r="O238" s="4">
        <f>SUMPRODUCT((E238:G238+E239:G239)/2,$B$18:$D$18)*$B$6</f>
        <v/>
      </c>
      <c r="P238" s="4">
        <f>O238*J238</f>
        <v/>
      </c>
      <c r="Q238" s="4">
        <f>SUMPRODUCT((E238:G238+E239:G239)/2,$B$19:$D$19)*$B$6</f>
        <v/>
      </c>
      <c r="R238" s="4">
        <f>Q238*J238</f>
        <v/>
      </c>
      <c r="S238" s="4">
        <f>IF(A238=0,SUMPRODUCT((E238:G238+E239:G239)/2,$B$20:$D$20)*$B$6,0)</f>
        <v/>
      </c>
      <c r="T238" s="4">
        <f>S238*J238</f>
        <v/>
      </c>
      <c r="U238" s="4">
        <f>N238+P238+R238+T238</f>
        <v/>
      </c>
      <c r="V238">
        <f>SUMPRODUCT((E238:G238+E239:G239)/2,$B$24:$D$24)*$B$6</f>
        <v/>
      </c>
      <c r="W238" s="5">
        <f>V238*K238</f>
        <v/>
      </c>
      <c r="X238">
        <f>SUMPRODUCT((E238:G238+E239:G239)/2,$B$25:$D$25)*$B$6</f>
        <v/>
      </c>
      <c r="Y238">
        <f>X238*K238</f>
        <v/>
      </c>
    </row>
    <row r="239">
      <c r="A239" t="n">
        <v>210</v>
      </c>
      <c r="B239">
        <f>A239*$B$6</f>
        <v/>
      </c>
      <c r="C239" s="5">
        <f>EXP(-$B$12*B239)</f>
        <v/>
      </c>
      <c r="D239" s="5">
        <f>EXP(-$B$13*B239)</f>
        <v/>
      </c>
      <c r="E239">
        <f>C239</f>
        <v/>
      </c>
      <c r="F239">
        <f>D239-C239</f>
        <v/>
      </c>
      <c r="G239">
        <f>1-D239</f>
        <v/>
      </c>
      <c r="H239">
        <f>SUM(E239:G239)</f>
        <v/>
      </c>
      <c r="I239">
        <f>IF(AND(MIN(C239:D239)&gt;=0,MAX(C239:D239)&lt;=1,MIN(E239:G239)&gt;=-1E-10,ABS(H239-1)&lt;1E-8,C239&lt;=C238+1E-10,D239&lt;=D238+1E-10),"OK","ERROR")</f>
        <v/>
      </c>
      <c r="J239">
        <f>1/(1+$B$4)^(B239+$B$6/2)</f>
        <v/>
      </c>
      <c r="K239">
        <f>1/(1+$B$5)^(B239+$B$6/2)</f>
        <v/>
      </c>
      <c r="L239" t="inlineStr">
        <is>
          <t>Average endpoints</t>
        </is>
      </c>
      <c r="M239" s="4">
        <f>SUMPRODUCT((E239:G239+E240:G240)/2,$B$17:$D$17)*$B$6</f>
        <v/>
      </c>
      <c r="N239" s="4">
        <f>M239*J239</f>
        <v/>
      </c>
      <c r="O239" s="4">
        <f>SUMPRODUCT((E239:G239+E240:G240)/2,$B$18:$D$18)*$B$6</f>
        <v/>
      </c>
      <c r="P239" s="4">
        <f>O239*J239</f>
        <v/>
      </c>
      <c r="Q239" s="4">
        <f>SUMPRODUCT((E239:G239+E240:G240)/2,$B$19:$D$19)*$B$6</f>
        <v/>
      </c>
      <c r="R239" s="4">
        <f>Q239*J239</f>
        <v/>
      </c>
      <c r="S239" s="4">
        <f>IF(A239=0,SUMPRODUCT((E239:G239+E240:G240)/2,$B$20:$D$20)*$B$6,0)</f>
        <v/>
      </c>
      <c r="T239" s="4">
        <f>S239*J239</f>
        <v/>
      </c>
      <c r="U239" s="4">
        <f>N239+P239+R239+T239</f>
        <v/>
      </c>
      <c r="V239">
        <f>SUMPRODUCT((E239:G239+E240:G240)/2,$B$24:$D$24)*$B$6</f>
        <v/>
      </c>
      <c r="W239" s="5">
        <f>V239*K239</f>
        <v/>
      </c>
      <c r="X239">
        <f>SUMPRODUCT((E239:G239+E240:G240)/2,$B$25:$D$25)*$B$6</f>
        <v/>
      </c>
      <c r="Y239">
        <f>X239*K239</f>
        <v/>
      </c>
    </row>
    <row r="240">
      <c r="A240" t="n">
        <v>211</v>
      </c>
      <c r="B240">
        <f>A240*$B$6</f>
        <v/>
      </c>
      <c r="C240" s="5">
        <f>EXP(-$B$12*B240)</f>
        <v/>
      </c>
      <c r="D240" s="5">
        <f>EXP(-$B$13*B240)</f>
        <v/>
      </c>
      <c r="E240">
        <f>C240</f>
        <v/>
      </c>
      <c r="F240">
        <f>D240-C240</f>
        <v/>
      </c>
      <c r="G240">
        <f>1-D240</f>
        <v/>
      </c>
      <c r="H240">
        <f>SUM(E240:G240)</f>
        <v/>
      </c>
      <c r="I240">
        <f>IF(AND(MIN(C240:D240)&gt;=0,MAX(C240:D240)&lt;=1,MIN(E240:G240)&gt;=-1E-10,ABS(H240-1)&lt;1E-8,C240&lt;=C239+1E-10,D240&lt;=D239+1E-10),"OK","ERROR")</f>
        <v/>
      </c>
      <c r="J240">
        <f>1/(1+$B$4)^(B240+$B$6/2)</f>
        <v/>
      </c>
      <c r="K240">
        <f>1/(1+$B$5)^(B240+$B$6/2)</f>
        <v/>
      </c>
      <c r="L240" t="inlineStr">
        <is>
          <t>Average endpoints</t>
        </is>
      </c>
      <c r="M240" s="4">
        <f>SUMPRODUCT((E240:G240+E241:G241)/2,$B$17:$D$17)*$B$6</f>
        <v/>
      </c>
      <c r="N240" s="4">
        <f>M240*J240</f>
        <v/>
      </c>
      <c r="O240" s="4">
        <f>SUMPRODUCT((E240:G240+E241:G241)/2,$B$18:$D$18)*$B$6</f>
        <v/>
      </c>
      <c r="P240" s="4">
        <f>O240*J240</f>
        <v/>
      </c>
      <c r="Q240" s="4">
        <f>SUMPRODUCT((E240:G240+E241:G241)/2,$B$19:$D$19)*$B$6</f>
        <v/>
      </c>
      <c r="R240" s="4">
        <f>Q240*J240</f>
        <v/>
      </c>
      <c r="S240" s="4">
        <f>IF(A240=0,SUMPRODUCT((E240:G240+E241:G241)/2,$B$20:$D$20)*$B$6,0)</f>
        <v/>
      </c>
      <c r="T240" s="4">
        <f>S240*J240</f>
        <v/>
      </c>
      <c r="U240" s="4">
        <f>N240+P240+R240+T240</f>
        <v/>
      </c>
      <c r="V240">
        <f>SUMPRODUCT((E240:G240+E241:G241)/2,$B$24:$D$24)*$B$6</f>
        <v/>
      </c>
      <c r="W240" s="5">
        <f>V240*K240</f>
        <v/>
      </c>
      <c r="X240">
        <f>SUMPRODUCT((E240:G240+E241:G241)/2,$B$25:$D$25)*$B$6</f>
        <v/>
      </c>
      <c r="Y240">
        <f>X240*K240</f>
        <v/>
      </c>
    </row>
    <row r="241">
      <c r="A241" t="n">
        <v>212</v>
      </c>
      <c r="B241">
        <f>A241*$B$6</f>
        <v/>
      </c>
      <c r="C241" s="5">
        <f>EXP(-$B$12*B241)</f>
        <v/>
      </c>
      <c r="D241" s="5">
        <f>EXP(-$B$13*B241)</f>
        <v/>
      </c>
      <c r="E241">
        <f>C241</f>
        <v/>
      </c>
      <c r="F241">
        <f>D241-C241</f>
        <v/>
      </c>
      <c r="G241">
        <f>1-D241</f>
        <v/>
      </c>
      <c r="H241">
        <f>SUM(E241:G241)</f>
        <v/>
      </c>
      <c r="I241">
        <f>IF(AND(MIN(C241:D241)&gt;=0,MAX(C241:D241)&lt;=1,MIN(E241:G241)&gt;=-1E-10,ABS(H241-1)&lt;1E-8,C241&lt;=C240+1E-10,D241&lt;=D240+1E-10),"OK","ERROR")</f>
        <v/>
      </c>
      <c r="J241">
        <f>1/(1+$B$4)^(B241+$B$6/2)</f>
        <v/>
      </c>
      <c r="K241">
        <f>1/(1+$B$5)^(B241+$B$6/2)</f>
        <v/>
      </c>
      <c r="L241" t="inlineStr">
        <is>
          <t>Average endpoints</t>
        </is>
      </c>
      <c r="M241" s="4">
        <f>SUMPRODUCT((E241:G241+E242:G242)/2,$B$17:$D$17)*$B$6</f>
        <v/>
      </c>
      <c r="N241" s="4">
        <f>M241*J241</f>
        <v/>
      </c>
      <c r="O241" s="4">
        <f>SUMPRODUCT((E241:G241+E242:G242)/2,$B$18:$D$18)*$B$6</f>
        <v/>
      </c>
      <c r="P241" s="4">
        <f>O241*J241</f>
        <v/>
      </c>
      <c r="Q241" s="4">
        <f>SUMPRODUCT((E241:G241+E242:G242)/2,$B$19:$D$19)*$B$6</f>
        <v/>
      </c>
      <c r="R241" s="4">
        <f>Q241*J241</f>
        <v/>
      </c>
      <c r="S241" s="4">
        <f>IF(A241=0,SUMPRODUCT((E241:G241+E242:G242)/2,$B$20:$D$20)*$B$6,0)</f>
        <v/>
      </c>
      <c r="T241" s="4">
        <f>S241*J241</f>
        <v/>
      </c>
      <c r="U241" s="4">
        <f>N241+P241+R241+T241</f>
        <v/>
      </c>
      <c r="V241">
        <f>SUMPRODUCT((E241:G241+E242:G242)/2,$B$24:$D$24)*$B$6</f>
        <v/>
      </c>
      <c r="W241" s="5">
        <f>V241*K241</f>
        <v/>
      </c>
      <c r="X241">
        <f>SUMPRODUCT((E241:G241+E242:G242)/2,$B$25:$D$25)*$B$6</f>
        <v/>
      </c>
      <c r="Y241">
        <f>X241*K241</f>
        <v/>
      </c>
    </row>
    <row r="242">
      <c r="A242" t="n">
        <v>213</v>
      </c>
      <c r="B242">
        <f>A242*$B$6</f>
        <v/>
      </c>
      <c r="C242" s="5">
        <f>EXP(-$B$12*B242)</f>
        <v/>
      </c>
      <c r="D242" s="5">
        <f>EXP(-$B$13*B242)</f>
        <v/>
      </c>
      <c r="E242">
        <f>C242</f>
        <v/>
      </c>
      <c r="F242">
        <f>D242-C242</f>
        <v/>
      </c>
      <c r="G242">
        <f>1-D242</f>
        <v/>
      </c>
      <c r="H242">
        <f>SUM(E242:G242)</f>
        <v/>
      </c>
      <c r="I242">
        <f>IF(AND(MIN(C242:D242)&gt;=0,MAX(C242:D242)&lt;=1,MIN(E242:G242)&gt;=-1E-10,ABS(H242-1)&lt;1E-8,C242&lt;=C241+1E-10,D242&lt;=D241+1E-10),"OK","ERROR")</f>
        <v/>
      </c>
      <c r="J242">
        <f>1/(1+$B$4)^(B242+$B$6/2)</f>
        <v/>
      </c>
      <c r="K242">
        <f>1/(1+$B$5)^(B242+$B$6/2)</f>
        <v/>
      </c>
      <c r="L242" t="inlineStr">
        <is>
          <t>Average endpoints</t>
        </is>
      </c>
      <c r="M242" s="4">
        <f>SUMPRODUCT((E242:G242+E243:G243)/2,$B$17:$D$17)*$B$6</f>
        <v/>
      </c>
      <c r="N242" s="4">
        <f>M242*J242</f>
        <v/>
      </c>
      <c r="O242" s="4">
        <f>SUMPRODUCT((E242:G242+E243:G243)/2,$B$18:$D$18)*$B$6</f>
        <v/>
      </c>
      <c r="P242" s="4">
        <f>O242*J242</f>
        <v/>
      </c>
      <c r="Q242" s="4">
        <f>SUMPRODUCT((E242:G242+E243:G243)/2,$B$19:$D$19)*$B$6</f>
        <v/>
      </c>
      <c r="R242" s="4">
        <f>Q242*J242</f>
        <v/>
      </c>
      <c r="S242" s="4">
        <f>IF(A242=0,SUMPRODUCT((E242:G242+E243:G243)/2,$B$20:$D$20)*$B$6,0)</f>
        <v/>
      </c>
      <c r="T242" s="4">
        <f>S242*J242</f>
        <v/>
      </c>
      <c r="U242" s="4">
        <f>N242+P242+R242+T242</f>
        <v/>
      </c>
      <c r="V242">
        <f>SUMPRODUCT((E242:G242+E243:G243)/2,$B$24:$D$24)*$B$6</f>
        <v/>
      </c>
      <c r="W242" s="5">
        <f>V242*K242</f>
        <v/>
      </c>
      <c r="X242">
        <f>SUMPRODUCT((E242:G242+E243:G243)/2,$B$25:$D$25)*$B$6</f>
        <v/>
      </c>
      <c r="Y242">
        <f>X242*K242</f>
        <v/>
      </c>
    </row>
    <row r="243">
      <c r="A243" t="n">
        <v>214</v>
      </c>
      <c r="B243">
        <f>A243*$B$6</f>
        <v/>
      </c>
      <c r="C243" s="5">
        <f>EXP(-$B$12*B243)</f>
        <v/>
      </c>
      <c r="D243" s="5">
        <f>EXP(-$B$13*B243)</f>
        <v/>
      </c>
      <c r="E243">
        <f>C243</f>
        <v/>
      </c>
      <c r="F243">
        <f>D243-C243</f>
        <v/>
      </c>
      <c r="G243">
        <f>1-D243</f>
        <v/>
      </c>
      <c r="H243">
        <f>SUM(E243:G243)</f>
        <v/>
      </c>
      <c r="I243">
        <f>IF(AND(MIN(C243:D243)&gt;=0,MAX(C243:D243)&lt;=1,MIN(E243:G243)&gt;=-1E-10,ABS(H243-1)&lt;1E-8,C243&lt;=C242+1E-10,D243&lt;=D242+1E-10),"OK","ERROR")</f>
        <v/>
      </c>
      <c r="J243">
        <f>1/(1+$B$4)^(B243+$B$6/2)</f>
        <v/>
      </c>
      <c r="K243">
        <f>1/(1+$B$5)^(B243+$B$6/2)</f>
        <v/>
      </c>
      <c r="L243" t="inlineStr">
        <is>
          <t>Average endpoints</t>
        </is>
      </c>
      <c r="M243" s="4">
        <f>SUMPRODUCT((E243:G243+E244:G244)/2,$B$17:$D$17)*$B$6</f>
        <v/>
      </c>
      <c r="N243" s="4">
        <f>M243*J243</f>
        <v/>
      </c>
      <c r="O243" s="4">
        <f>SUMPRODUCT((E243:G243+E244:G244)/2,$B$18:$D$18)*$B$6</f>
        <v/>
      </c>
      <c r="P243" s="4">
        <f>O243*J243</f>
        <v/>
      </c>
      <c r="Q243" s="4">
        <f>SUMPRODUCT((E243:G243+E244:G244)/2,$B$19:$D$19)*$B$6</f>
        <v/>
      </c>
      <c r="R243" s="4">
        <f>Q243*J243</f>
        <v/>
      </c>
      <c r="S243" s="4">
        <f>IF(A243=0,SUMPRODUCT((E243:G243+E244:G244)/2,$B$20:$D$20)*$B$6,0)</f>
        <v/>
      </c>
      <c r="T243" s="4">
        <f>S243*J243</f>
        <v/>
      </c>
      <c r="U243" s="4">
        <f>N243+P243+R243+T243</f>
        <v/>
      </c>
      <c r="V243">
        <f>SUMPRODUCT((E243:G243+E244:G244)/2,$B$24:$D$24)*$B$6</f>
        <v/>
      </c>
      <c r="W243" s="5">
        <f>V243*K243</f>
        <v/>
      </c>
      <c r="X243">
        <f>SUMPRODUCT((E243:G243+E244:G244)/2,$B$25:$D$25)*$B$6</f>
        <v/>
      </c>
      <c r="Y243">
        <f>X243*K243</f>
        <v/>
      </c>
    </row>
    <row r="244">
      <c r="A244" t="n">
        <v>215</v>
      </c>
      <c r="B244">
        <f>A244*$B$6</f>
        <v/>
      </c>
      <c r="C244" s="5">
        <f>EXP(-$B$12*B244)</f>
        <v/>
      </c>
      <c r="D244" s="5">
        <f>EXP(-$B$13*B244)</f>
        <v/>
      </c>
      <c r="E244">
        <f>C244</f>
        <v/>
      </c>
      <c r="F244">
        <f>D244-C244</f>
        <v/>
      </c>
      <c r="G244">
        <f>1-D244</f>
        <v/>
      </c>
      <c r="H244">
        <f>SUM(E244:G244)</f>
        <v/>
      </c>
      <c r="I244">
        <f>IF(AND(MIN(C244:D244)&gt;=0,MAX(C244:D244)&lt;=1,MIN(E244:G244)&gt;=-1E-10,ABS(H244-1)&lt;1E-8,C244&lt;=C243+1E-10,D244&lt;=D243+1E-10),"OK","ERROR")</f>
        <v/>
      </c>
      <c r="J244">
        <f>1/(1+$B$4)^(B244+$B$6/2)</f>
        <v/>
      </c>
      <c r="K244">
        <f>1/(1+$B$5)^(B244+$B$6/2)</f>
        <v/>
      </c>
      <c r="L244" t="inlineStr">
        <is>
          <t>Average endpoints</t>
        </is>
      </c>
      <c r="M244" s="4">
        <f>SUMPRODUCT((E244:G244+E245:G245)/2,$B$17:$D$17)*$B$6</f>
        <v/>
      </c>
      <c r="N244" s="4">
        <f>M244*J244</f>
        <v/>
      </c>
      <c r="O244" s="4">
        <f>SUMPRODUCT((E244:G244+E245:G245)/2,$B$18:$D$18)*$B$6</f>
        <v/>
      </c>
      <c r="P244" s="4">
        <f>O244*J244</f>
        <v/>
      </c>
      <c r="Q244" s="4">
        <f>SUMPRODUCT((E244:G244+E245:G245)/2,$B$19:$D$19)*$B$6</f>
        <v/>
      </c>
      <c r="R244" s="4">
        <f>Q244*J244</f>
        <v/>
      </c>
      <c r="S244" s="4">
        <f>IF(A244=0,SUMPRODUCT((E244:G244+E245:G245)/2,$B$20:$D$20)*$B$6,0)</f>
        <v/>
      </c>
      <c r="T244" s="4">
        <f>S244*J244</f>
        <v/>
      </c>
      <c r="U244" s="4">
        <f>N244+P244+R244+T244</f>
        <v/>
      </c>
      <c r="V244">
        <f>SUMPRODUCT((E244:G244+E245:G245)/2,$B$24:$D$24)*$B$6</f>
        <v/>
      </c>
      <c r="W244" s="5">
        <f>V244*K244</f>
        <v/>
      </c>
      <c r="X244">
        <f>SUMPRODUCT((E244:G244+E245:G245)/2,$B$25:$D$25)*$B$6</f>
        <v/>
      </c>
      <c r="Y244">
        <f>X244*K244</f>
        <v/>
      </c>
    </row>
    <row r="245">
      <c r="A245" t="n">
        <v>216</v>
      </c>
      <c r="B245">
        <f>A245*$B$6</f>
        <v/>
      </c>
      <c r="C245" s="5">
        <f>EXP(-$B$12*B245)</f>
        <v/>
      </c>
      <c r="D245" s="5">
        <f>EXP(-$B$13*B245)</f>
        <v/>
      </c>
      <c r="E245">
        <f>C245</f>
        <v/>
      </c>
      <c r="F245">
        <f>D245-C245</f>
        <v/>
      </c>
      <c r="G245">
        <f>1-D245</f>
        <v/>
      </c>
      <c r="H245">
        <f>SUM(E245:G245)</f>
        <v/>
      </c>
      <c r="I245">
        <f>IF(AND(MIN(C245:D245)&gt;=0,MAX(C245:D245)&lt;=1,MIN(E245:G245)&gt;=-1E-10,ABS(H245-1)&lt;1E-8,C245&lt;=C244+1E-10,D245&lt;=D244+1E-10),"OK","ERROR")</f>
        <v/>
      </c>
      <c r="J245">
        <f>1/(1+$B$4)^(B245+$B$6/2)</f>
        <v/>
      </c>
      <c r="K245">
        <f>1/(1+$B$5)^(B245+$B$6/2)</f>
        <v/>
      </c>
      <c r="L245" t="inlineStr">
        <is>
          <t>Average endpoints</t>
        </is>
      </c>
      <c r="M245" s="4">
        <f>SUMPRODUCT((E245:G245+E246:G246)/2,$B$17:$D$17)*$B$6</f>
        <v/>
      </c>
      <c r="N245" s="4">
        <f>M245*J245</f>
        <v/>
      </c>
      <c r="O245" s="4">
        <f>SUMPRODUCT((E245:G245+E246:G246)/2,$B$18:$D$18)*$B$6</f>
        <v/>
      </c>
      <c r="P245" s="4">
        <f>O245*J245</f>
        <v/>
      </c>
      <c r="Q245" s="4">
        <f>SUMPRODUCT((E245:G245+E246:G246)/2,$B$19:$D$19)*$B$6</f>
        <v/>
      </c>
      <c r="R245" s="4">
        <f>Q245*J245</f>
        <v/>
      </c>
      <c r="S245" s="4">
        <f>IF(A245=0,SUMPRODUCT((E245:G245+E246:G246)/2,$B$20:$D$20)*$B$6,0)</f>
        <v/>
      </c>
      <c r="T245" s="4">
        <f>S245*J245</f>
        <v/>
      </c>
      <c r="U245" s="4">
        <f>N245+P245+R245+T245</f>
        <v/>
      </c>
      <c r="V245">
        <f>SUMPRODUCT((E245:G245+E246:G246)/2,$B$24:$D$24)*$B$6</f>
        <v/>
      </c>
      <c r="W245" s="5">
        <f>V245*K245</f>
        <v/>
      </c>
      <c r="X245">
        <f>SUMPRODUCT((E245:G245+E246:G246)/2,$B$25:$D$25)*$B$6</f>
        <v/>
      </c>
      <c r="Y245">
        <f>X245*K245</f>
        <v/>
      </c>
    </row>
    <row r="246">
      <c r="A246" t="n">
        <v>217</v>
      </c>
      <c r="B246">
        <f>A246*$B$6</f>
        <v/>
      </c>
      <c r="C246" s="5">
        <f>EXP(-$B$12*B246)</f>
        <v/>
      </c>
      <c r="D246" s="5">
        <f>EXP(-$B$13*B246)</f>
        <v/>
      </c>
      <c r="E246">
        <f>C246</f>
        <v/>
      </c>
      <c r="F246">
        <f>D246-C246</f>
        <v/>
      </c>
      <c r="G246">
        <f>1-D246</f>
        <v/>
      </c>
      <c r="H246">
        <f>SUM(E246:G246)</f>
        <v/>
      </c>
      <c r="I246">
        <f>IF(AND(MIN(C246:D246)&gt;=0,MAX(C246:D246)&lt;=1,MIN(E246:G246)&gt;=-1E-10,ABS(H246-1)&lt;1E-8,C246&lt;=C245+1E-10,D246&lt;=D245+1E-10),"OK","ERROR")</f>
        <v/>
      </c>
      <c r="J246">
        <f>1/(1+$B$4)^(B246+$B$6/2)</f>
        <v/>
      </c>
      <c r="K246">
        <f>1/(1+$B$5)^(B246+$B$6/2)</f>
        <v/>
      </c>
      <c r="L246" t="inlineStr">
        <is>
          <t>Average endpoints</t>
        </is>
      </c>
      <c r="M246" s="4">
        <f>SUMPRODUCT((E246:G246+E247:G247)/2,$B$17:$D$17)*$B$6</f>
        <v/>
      </c>
      <c r="N246" s="4">
        <f>M246*J246</f>
        <v/>
      </c>
      <c r="O246" s="4">
        <f>SUMPRODUCT((E246:G246+E247:G247)/2,$B$18:$D$18)*$B$6</f>
        <v/>
      </c>
      <c r="P246" s="4">
        <f>O246*J246</f>
        <v/>
      </c>
      <c r="Q246" s="4">
        <f>SUMPRODUCT((E246:G246+E247:G247)/2,$B$19:$D$19)*$B$6</f>
        <v/>
      </c>
      <c r="R246" s="4">
        <f>Q246*J246</f>
        <v/>
      </c>
      <c r="S246" s="4">
        <f>IF(A246=0,SUMPRODUCT((E246:G246+E247:G247)/2,$B$20:$D$20)*$B$6,0)</f>
        <v/>
      </c>
      <c r="T246" s="4">
        <f>S246*J246</f>
        <v/>
      </c>
      <c r="U246" s="4">
        <f>N246+P246+R246+T246</f>
        <v/>
      </c>
      <c r="V246">
        <f>SUMPRODUCT((E246:G246+E247:G247)/2,$B$24:$D$24)*$B$6</f>
        <v/>
      </c>
      <c r="W246" s="5">
        <f>V246*K246</f>
        <v/>
      </c>
      <c r="X246">
        <f>SUMPRODUCT((E246:G246+E247:G247)/2,$B$25:$D$25)*$B$6</f>
        <v/>
      </c>
      <c r="Y246">
        <f>X246*K246</f>
        <v/>
      </c>
    </row>
    <row r="247">
      <c r="A247" t="n">
        <v>218</v>
      </c>
      <c r="B247">
        <f>A247*$B$6</f>
        <v/>
      </c>
      <c r="C247" s="5">
        <f>EXP(-$B$12*B247)</f>
        <v/>
      </c>
      <c r="D247" s="5">
        <f>EXP(-$B$13*B247)</f>
        <v/>
      </c>
      <c r="E247">
        <f>C247</f>
        <v/>
      </c>
      <c r="F247">
        <f>D247-C247</f>
        <v/>
      </c>
      <c r="G247">
        <f>1-D247</f>
        <v/>
      </c>
      <c r="H247">
        <f>SUM(E247:G247)</f>
        <v/>
      </c>
      <c r="I247">
        <f>IF(AND(MIN(C247:D247)&gt;=0,MAX(C247:D247)&lt;=1,MIN(E247:G247)&gt;=-1E-10,ABS(H247-1)&lt;1E-8,C247&lt;=C246+1E-10,D247&lt;=D246+1E-10),"OK","ERROR")</f>
        <v/>
      </c>
      <c r="J247">
        <f>1/(1+$B$4)^(B247+$B$6/2)</f>
        <v/>
      </c>
      <c r="K247">
        <f>1/(1+$B$5)^(B247+$B$6/2)</f>
        <v/>
      </c>
      <c r="L247" t="inlineStr">
        <is>
          <t>Average endpoints</t>
        </is>
      </c>
      <c r="M247" s="4">
        <f>SUMPRODUCT((E247:G247+E248:G248)/2,$B$17:$D$17)*$B$6</f>
        <v/>
      </c>
      <c r="N247" s="4">
        <f>M247*J247</f>
        <v/>
      </c>
      <c r="O247" s="4">
        <f>SUMPRODUCT((E247:G247+E248:G248)/2,$B$18:$D$18)*$B$6</f>
        <v/>
      </c>
      <c r="P247" s="4">
        <f>O247*J247</f>
        <v/>
      </c>
      <c r="Q247" s="4">
        <f>SUMPRODUCT((E247:G247+E248:G248)/2,$B$19:$D$19)*$B$6</f>
        <v/>
      </c>
      <c r="R247" s="4">
        <f>Q247*J247</f>
        <v/>
      </c>
      <c r="S247" s="4">
        <f>IF(A247=0,SUMPRODUCT((E247:G247+E248:G248)/2,$B$20:$D$20)*$B$6,0)</f>
        <v/>
      </c>
      <c r="T247" s="4">
        <f>S247*J247</f>
        <v/>
      </c>
      <c r="U247" s="4">
        <f>N247+P247+R247+T247</f>
        <v/>
      </c>
      <c r="V247">
        <f>SUMPRODUCT((E247:G247+E248:G248)/2,$B$24:$D$24)*$B$6</f>
        <v/>
      </c>
      <c r="W247" s="5">
        <f>V247*K247</f>
        <v/>
      </c>
      <c r="X247">
        <f>SUMPRODUCT((E247:G247+E248:G248)/2,$B$25:$D$25)*$B$6</f>
        <v/>
      </c>
      <c r="Y247">
        <f>X247*K247</f>
        <v/>
      </c>
    </row>
    <row r="248">
      <c r="A248" t="n">
        <v>219</v>
      </c>
      <c r="B248">
        <f>A248*$B$6</f>
        <v/>
      </c>
      <c r="C248" s="5">
        <f>EXP(-$B$12*B248)</f>
        <v/>
      </c>
      <c r="D248" s="5">
        <f>EXP(-$B$13*B248)</f>
        <v/>
      </c>
      <c r="E248">
        <f>C248</f>
        <v/>
      </c>
      <c r="F248">
        <f>D248-C248</f>
        <v/>
      </c>
      <c r="G248">
        <f>1-D248</f>
        <v/>
      </c>
      <c r="H248">
        <f>SUM(E248:G248)</f>
        <v/>
      </c>
      <c r="I248">
        <f>IF(AND(MIN(C248:D248)&gt;=0,MAX(C248:D248)&lt;=1,MIN(E248:G248)&gt;=-1E-10,ABS(H248-1)&lt;1E-8,C248&lt;=C247+1E-10,D248&lt;=D247+1E-10),"OK","ERROR")</f>
        <v/>
      </c>
      <c r="J248">
        <f>1/(1+$B$4)^(B248+$B$6/2)</f>
        <v/>
      </c>
      <c r="K248">
        <f>1/(1+$B$5)^(B248+$B$6/2)</f>
        <v/>
      </c>
      <c r="L248" t="inlineStr">
        <is>
          <t>Average endpoints</t>
        </is>
      </c>
      <c r="M248" s="4">
        <f>SUMPRODUCT((E248:G248+E249:G249)/2,$B$17:$D$17)*$B$6</f>
        <v/>
      </c>
      <c r="N248" s="4">
        <f>M248*J248</f>
        <v/>
      </c>
      <c r="O248" s="4">
        <f>SUMPRODUCT((E248:G248+E249:G249)/2,$B$18:$D$18)*$B$6</f>
        <v/>
      </c>
      <c r="P248" s="4">
        <f>O248*J248</f>
        <v/>
      </c>
      <c r="Q248" s="4">
        <f>SUMPRODUCT((E248:G248+E249:G249)/2,$B$19:$D$19)*$B$6</f>
        <v/>
      </c>
      <c r="R248" s="4">
        <f>Q248*J248</f>
        <v/>
      </c>
      <c r="S248" s="4">
        <f>IF(A248=0,SUMPRODUCT((E248:G248+E249:G249)/2,$B$20:$D$20)*$B$6,0)</f>
        <v/>
      </c>
      <c r="T248" s="4">
        <f>S248*J248</f>
        <v/>
      </c>
      <c r="U248" s="4">
        <f>N248+P248+R248+T248</f>
        <v/>
      </c>
      <c r="V248">
        <f>SUMPRODUCT((E248:G248+E249:G249)/2,$B$24:$D$24)*$B$6</f>
        <v/>
      </c>
      <c r="W248" s="5">
        <f>V248*K248</f>
        <v/>
      </c>
      <c r="X248">
        <f>SUMPRODUCT((E248:G248+E249:G249)/2,$B$25:$D$25)*$B$6</f>
        <v/>
      </c>
      <c r="Y248">
        <f>X248*K248</f>
        <v/>
      </c>
    </row>
    <row r="249">
      <c r="A249" t="n">
        <v>220</v>
      </c>
      <c r="B249">
        <f>A249*$B$6</f>
        <v/>
      </c>
      <c r="C249" s="5">
        <f>EXP(-$B$12*B249)</f>
        <v/>
      </c>
      <c r="D249" s="5">
        <f>EXP(-$B$13*B249)</f>
        <v/>
      </c>
      <c r="E249">
        <f>C249</f>
        <v/>
      </c>
      <c r="F249">
        <f>D249-C249</f>
        <v/>
      </c>
      <c r="G249">
        <f>1-D249</f>
        <v/>
      </c>
      <c r="H249">
        <f>SUM(E249:G249)</f>
        <v/>
      </c>
      <c r="I249">
        <f>IF(AND(MIN(C249:D249)&gt;=0,MAX(C249:D249)&lt;=1,MIN(E249:G249)&gt;=-1E-10,ABS(H249-1)&lt;1E-8,C249&lt;=C248+1E-10,D249&lt;=D248+1E-10),"OK","ERROR")</f>
        <v/>
      </c>
      <c r="J249">
        <f>1/(1+$B$4)^(B249+$B$6/2)</f>
        <v/>
      </c>
      <c r="K249">
        <f>1/(1+$B$5)^(B249+$B$6/2)</f>
        <v/>
      </c>
      <c r="L249" t="inlineStr">
        <is>
          <t>Average endpoints</t>
        </is>
      </c>
      <c r="M249" s="4">
        <f>SUMPRODUCT((E249:G249+E250:G250)/2,$B$17:$D$17)*$B$6</f>
        <v/>
      </c>
      <c r="N249" s="4">
        <f>M249*J249</f>
        <v/>
      </c>
      <c r="O249" s="4">
        <f>SUMPRODUCT((E249:G249+E250:G250)/2,$B$18:$D$18)*$B$6</f>
        <v/>
      </c>
      <c r="P249" s="4">
        <f>O249*J249</f>
        <v/>
      </c>
      <c r="Q249" s="4">
        <f>SUMPRODUCT((E249:G249+E250:G250)/2,$B$19:$D$19)*$B$6</f>
        <v/>
      </c>
      <c r="R249" s="4">
        <f>Q249*J249</f>
        <v/>
      </c>
      <c r="S249" s="4">
        <f>IF(A249=0,SUMPRODUCT((E249:G249+E250:G250)/2,$B$20:$D$20)*$B$6,0)</f>
        <v/>
      </c>
      <c r="T249" s="4">
        <f>S249*J249</f>
        <v/>
      </c>
      <c r="U249" s="4">
        <f>N249+P249+R249+T249</f>
        <v/>
      </c>
      <c r="V249">
        <f>SUMPRODUCT((E249:G249+E250:G250)/2,$B$24:$D$24)*$B$6</f>
        <v/>
      </c>
      <c r="W249" s="5">
        <f>V249*K249</f>
        <v/>
      </c>
      <c r="X249">
        <f>SUMPRODUCT((E249:G249+E250:G250)/2,$B$25:$D$25)*$B$6</f>
        <v/>
      </c>
      <c r="Y249">
        <f>X249*K249</f>
        <v/>
      </c>
    </row>
    <row r="250">
      <c r="A250" t="n">
        <v>221</v>
      </c>
      <c r="B250">
        <f>A250*$B$6</f>
        <v/>
      </c>
      <c r="C250" s="5">
        <f>EXP(-$B$12*B250)</f>
        <v/>
      </c>
      <c r="D250" s="5">
        <f>EXP(-$B$13*B250)</f>
        <v/>
      </c>
      <c r="E250">
        <f>C250</f>
        <v/>
      </c>
      <c r="F250">
        <f>D250-C250</f>
        <v/>
      </c>
      <c r="G250">
        <f>1-D250</f>
        <v/>
      </c>
      <c r="H250">
        <f>SUM(E250:G250)</f>
        <v/>
      </c>
      <c r="I250">
        <f>IF(AND(MIN(C250:D250)&gt;=0,MAX(C250:D250)&lt;=1,MIN(E250:G250)&gt;=-1E-10,ABS(H250-1)&lt;1E-8,C250&lt;=C249+1E-10,D250&lt;=D249+1E-10),"OK","ERROR")</f>
        <v/>
      </c>
      <c r="J250">
        <f>1/(1+$B$4)^(B250+$B$6/2)</f>
        <v/>
      </c>
      <c r="K250">
        <f>1/(1+$B$5)^(B250+$B$6/2)</f>
        <v/>
      </c>
      <c r="L250" t="inlineStr">
        <is>
          <t>Average endpoints</t>
        </is>
      </c>
      <c r="M250" s="4">
        <f>SUMPRODUCT((E250:G250+E251:G251)/2,$B$17:$D$17)*$B$6</f>
        <v/>
      </c>
      <c r="N250" s="4">
        <f>M250*J250</f>
        <v/>
      </c>
      <c r="O250" s="4">
        <f>SUMPRODUCT((E250:G250+E251:G251)/2,$B$18:$D$18)*$B$6</f>
        <v/>
      </c>
      <c r="P250" s="4">
        <f>O250*J250</f>
        <v/>
      </c>
      <c r="Q250" s="4">
        <f>SUMPRODUCT((E250:G250+E251:G251)/2,$B$19:$D$19)*$B$6</f>
        <v/>
      </c>
      <c r="R250" s="4">
        <f>Q250*J250</f>
        <v/>
      </c>
      <c r="S250" s="4">
        <f>IF(A250=0,SUMPRODUCT((E250:G250+E251:G251)/2,$B$20:$D$20)*$B$6,0)</f>
        <v/>
      </c>
      <c r="T250" s="4">
        <f>S250*J250</f>
        <v/>
      </c>
      <c r="U250" s="4">
        <f>N250+P250+R250+T250</f>
        <v/>
      </c>
      <c r="V250">
        <f>SUMPRODUCT((E250:G250+E251:G251)/2,$B$24:$D$24)*$B$6</f>
        <v/>
      </c>
      <c r="W250" s="5">
        <f>V250*K250</f>
        <v/>
      </c>
      <c r="X250">
        <f>SUMPRODUCT((E250:G250+E251:G251)/2,$B$25:$D$25)*$B$6</f>
        <v/>
      </c>
      <c r="Y250">
        <f>X250*K250</f>
        <v/>
      </c>
    </row>
    <row r="251">
      <c r="A251" t="n">
        <v>222</v>
      </c>
      <c r="B251">
        <f>A251*$B$6</f>
        <v/>
      </c>
      <c r="C251" s="5">
        <f>EXP(-$B$12*B251)</f>
        <v/>
      </c>
      <c r="D251" s="5">
        <f>EXP(-$B$13*B251)</f>
        <v/>
      </c>
      <c r="E251">
        <f>C251</f>
        <v/>
      </c>
      <c r="F251">
        <f>D251-C251</f>
        <v/>
      </c>
      <c r="G251">
        <f>1-D251</f>
        <v/>
      </c>
      <c r="H251">
        <f>SUM(E251:G251)</f>
        <v/>
      </c>
      <c r="I251">
        <f>IF(AND(MIN(C251:D251)&gt;=0,MAX(C251:D251)&lt;=1,MIN(E251:G251)&gt;=-1E-10,ABS(H251-1)&lt;1E-8,C251&lt;=C250+1E-10,D251&lt;=D250+1E-10),"OK","ERROR")</f>
        <v/>
      </c>
      <c r="J251">
        <f>1/(1+$B$4)^(B251+$B$6/2)</f>
        <v/>
      </c>
      <c r="K251">
        <f>1/(1+$B$5)^(B251+$B$6/2)</f>
        <v/>
      </c>
      <c r="L251" t="inlineStr">
        <is>
          <t>Average endpoints</t>
        </is>
      </c>
      <c r="M251" s="4">
        <f>SUMPRODUCT((E251:G251+E252:G252)/2,$B$17:$D$17)*$B$6</f>
        <v/>
      </c>
      <c r="N251" s="4">
        <f>M251*J251</f>
        <v/>
      </c>
      <c r="O251" s="4">
        <f>SUMPRODUCT((E251:G251+E252:G252)/2,$B$18:$D$18)*$B$6</f>
        <v/>
      </c>
      <c r="P251" s="4">
        <f>O251*J251</f>
        <v/>
      </c>
      <c r="Q251" s="4">
        <f>SUMPRODUCT((E251:G251+E252:G252)/2,$B$19:$D$19)*$B$6</f>
        <v/>
      </c>
      <c r="R251" s="4">
        <f>Q251*J251</f>
        <v/>
      </c>
      <c r="S251" s="4">
        <f>IF(A251=0,SUMPRODUCT((E251:G251+E252:G252)/2,$B$20:$D$20)*$B$6,0)</f>
        <v/>
      </c>
      <c r="T251" s="4">
        <f>S251*J251</f>
        <v/>
      </c>
      <c r="U251" s="4">
        <f>N251+P251+R251+T251</f>
        <v/>
      </c>
      <c r="V251">
        <f>SUMPRODUCT((E251:G251+E252:G252)/2,$B$24:$D$24)*$B$6</f>
        <v/>
      </c>
      <c r="W251" s="5">
        <f>V251*K251</f>
        <v/>
      </c>
      <c r="X251">
        <f>SUMPRODUCT((E251:G251+E252:G252)/2,$B$25:$D$25)*$B$6</f>
        <v/>
      </c>
      <c r="Y251">
        <f>X251*K251</f>
        <v/>
      </c>
    </row>
    <row r="252">
      <c r="A252" t="n">
        <v>223</v>
      </c>
      <c r="B252">
        <f>A252*$B$6</f>
        <v/>
      </c>
      <c r="C252" s="5">
        <f>EXP(-$B$12*B252)</f>
        <v/>
      </c>
      <c r="D252" s="5">
        <f>EXP(-$B$13*B252)</f>
        <v/>
      </c>
      <c r="E252">
        <f>C252</f>
        <v/>
      </c>
      <c r="F252">
        <f>D252-C252</f>
        <v/>
      </c>
      <c r="G252">
        <f>1-D252</f>
        <v/>
      </c>
      <c r="H252">
        <f>SUM(E252:G252)</f>
        <v/>
      </c>
      <c r="I252">
        <f>IF(AND(MIN(C252:D252)&gt;=0,MAX(C252:D252)&lt;=1,MIN(E252:G252)&gt;=-1E-10,ABS(H252-1)&lt;1E-8,C252&lt;=C251+1E-10,D252&lt;=D251+1E-10),"OK","ERROR")</f>
        <v/>
      </c>
      <c r="J252">
        <f>1/(1+$B$4)^(B252+$B$6/2)</f>
        <v/>
      </c>
      <c r="K252">
        <f>1/(1+$B$5)^(B252+$B$6/2)</f>
        <v/>
      </c>
      <c r="L252" t="inlineStr">
        <is>
          <t>Average endpoints</t>
        </is>
      </c>
      <c r="M252" s="4">
        <f>SUMPRODUCT((E252:G252+E253:G253)/2,$B$17:$D$17)*$B$6</f>
        <v/>
      </c>
      <c r="N252" s="4">
        <f>M252*J252</f>
        <v/>
      </c>
      <c r="O252" s="4">
        <f>SUMPRODUCT((E252:G252+E253:G253)/2,$B$18:$D$18)*$B$6</f>
        <v/>
      </c>
      <c r="P252" s="4">
        <f>O252*J252</f>
        <v/>
      </c>
      <c r="Q252" s="4">
        <f>SUMPRODUCT((E252:G252+E253:G253)/2,$B$19:$D$19)*$B$6</f>
        <v/>
      </c>
      <c r="R252" s="4">
        <f>Q252*J252</f>
        <v/>
      </c>
      <c r="S252" s="4">
        <f>IF(A252=0,SUMPRODUCT((E252:G252+E253:G253)/2,$B$20:$D$20)*$B$6,0)</f>
        <v/>
      </c>
      <c r="T252" s="4">
        <f>S252*J252</f>
        <v/>
      </c>
      <c r="U252" s="4">
        <f>N252+P252+R252+T252</f>
        <v/>
      </c>
      <c r="V252">
        <f>SUMPRODUCT((E252:G252+E253:G253)/2,$B$24:$D$24)*$B$6</f>
        <v/>
      </c>
      <c r="W252" s="5">
        <f>V252*K252</f>
        <v/>
      </c>
      <c r="X252">
        <f>SUMPRODUCT((E252:G252+E253:G253)/2,$B$25:$D$25)*$B$6</f>
        <v/>
      </c>
      <c r="Y252">
        <f>X252*K252</f>
        <v/>
      </c>
    </row>
    <row r="253">
      <c r="A253" t="n">
        <v>224</v>
      </c>
      <c r="B253">
        <f>A253*$B$6</f>
        <v/>
      </c>
      <c r="C253" s="5">
        <f>EXP(-$B$12*B253)</f>
        <v/>
      </c>
      <c r="D253" s="5">
        <f>EXP(-$B$13*B253)</f>
        <v/>
      </c>
      <c r="E253">
        <f>C253</f>
        <v/>
      </c>
      <c r="F253">
        <f>D253-C253</f>
        <v/>
      </c>
      <c r="G253">
        <f>1-D253</f>
        <v/>
      </c>
      <c r="H253">
        <f>SUM(E253:G253)</f>
        <v/>
      </c>
      <c r="I253">
        <f>IF(AND(MIN(C253:D253)&gt;=0,MAX(C253:D253)&lt;=1,MIN(E253:G253)&gt;=-1E-10,ABS(H253-1)&lt;1E-8,C253&lt;=C252+1E-10,D253&lt;=D252+1E-10),"OK","ERROR")</f>
        <v/>
      </c>
      <c r="J253">
        <f>1/(1+$B$4)^(B253+$B$6/2)</f>
        <v/>
      </c>
      <c r="K253">
        <f>1/(1+$B$5)^(B253+$B$6/2)</f>
        <v/>
      </c>
      <c r="L253" t="inlineStr">
        <is>
          <t>Average endpoints</t>
        </is>
      </c>
      <c r="M253" s="4">
        <f>SUMPRODUCT((E253:G253+E254:G254)/2,$B$17:$D$17)*$B$6</f>
        <v/>
      </c>
      <c r="N253" s="4">
        <f>M253*J253</f>
        <v/>
      </c>
      <c r="O253" s="4">
        <f>SUMPRODUCT((E253:G253+E254:G254)/2,$B$18:$D$18)*$B$6</f>
        <v/>
      </c>
      <c r="P253" s="4">
        <f>O253*J253</f>
        <v/>
      </c>
      <c r="Q253" s="4">
        <f>SUMPRODUCT((E253:G253+E254:G254)/2,$B$19:$D$19)*$B$6</f>
        <v/>
      </c>
      <c r="R253" s="4">
        <f>Q253*J253</f>
        <v/>
      </c>
      <c r="S253" s="4">
        <f>IF(A253=0,SUMPRODUCT((E253:G253+E254:G254)/2,$B$20:$D$20)*$B$6,0)</f>
        <v/>
      </c>
      <c r="T253" s="4">
        <f>S253*J253</f>
        <v/>
      </c>
      <c r="U253" s="4">
        <f>N253+P253+R253+T253</f>
        <v/>
      </c>
      <c r="V253">
        <f>SUMPRODUCT((E253:G253+E254:G254)/2,$B$24:$D$24)*$B$6</f>
        <v/>
      </c>
      <c r="W253" s="5">
        <f>V253*K253</f>
        <v/>
      </c>
      <c r="X253">
        <f>SUMPRODUCT((E253:G253+E254:G254)/2,$B$25:$D$25)*$B$6</f>
        <v/>
      </c>
      <c r="Y253">
        <f>X253*K253</f>
        <v/>
      </c>
    </row>
    <row r="254">
      <c r="A254" t="n">
        <v>225</v>
      </c>
      <c r="B254">
        <f>A254*$B$6</f>
        <v/>
      </c>
      <c r="C254" s="5">
        <f>EXP(-$B$12*B254)</f>
        <v/>
      </c>
      <c r="D254" s="5">
        <f>EXP(-$B$13*B254)</f>
        <v/>
      </c>
      <c r="E254">
        <f>C254</f>
        <v/>
      </c>
      <c r="F254">
        <f>D254-C254</f>
        <v/>
      </c>
      <c r="G254">
        <f>1-D254</f>
        <v/>
      </c>
      <c r="H254">
        <f>SUM(E254:G254)</f>
        <v/>
      </c>
      <c r="I254">
        <f>IF(AND(MIN(C254:D254)&gt;=0,MAX(C254:D254)&lt;=1,MIN(E254:G254)&gt;=-1E-10,ABS(H254-1)&lt;1E-8,C254&lt;=C253+1E-10,D254&lt;=D253+1E-10),"OK","ERROR")</f>
        <v/>
      </c>
      <c r="J254">
        <f>1/(1+$B$4)^(B254+$B$6/2)</f>
        <v/>
      </c>
      <c r="K254">
        <f>1/(1+$B$5)^(B254+$B$6/2)</f>
        <v/>
      </c>
      <c r="L254" t="inlineStr">
        <is>
          <t>Average endpoints</t>
        </is>
      </c>
      <c r="M254" s="4">
        <f>SUMPRODUCT((E254:G254+E255:G255)/2,$B$17:$D$17)*$B$6</f>
        <v/>
      </c>
      <c r="N254" s="4">
        <f>M254*J254</f>
        <v/>
      </c>
      <c r="O254" s="4">
        <f>SUMPRODUCT((E254:G254+E255:G255)/2,$B$18:$D$18)*$B$6</f>
        <v/>
      </c>
      <c r="P254" s="4">
        <f>O254*J254</f>
        <v/>
      </c>
      <c r="Q254" s="4">
        <f>SUMPRODUCT((E254:G254+E255:G255)/2,$B$19:$D$19)*$B$6</f>
        <v/>
      </c>
      <c r="R254" s="4">
        <f>Q254*J254</f>
        <v/>
      </c>
      <c r="S254" s="4">
        <f>IF(A254=0,SUMPRODUCT((E254:G254+E255:G255)/2,$B$20:$D$20)*$B$6,0)</f>
        <v/>
      </c>
      <c r="T254" s="4">
        <f>S254*J254</f>
        <v/>
      </c>
      <c r="U254" s="4">
        <f>N254+P254+R254+T254</f>
        <v/>
      </c>
      <c r="V254">
        <f>SUMPRODUCT((E254:G254+E255:G255)/2,$B$24:$D$24)*$B$6</f>
        <v/>
      </c>
      <c r="W254" s="5">
        <f>V254*K254</f>
        <v/>
      </c>
      <c r="X254">
        <f>SUMPRODUCT((E254:G254+E255:G255)/2,$B$25:$D$25)*$B$6</f>
        <v/>
      </c>
      <c r="Y254">
        <f>X254*K254</f>
        <v/>
      </c>
    </row>
    <row r="255">
      <c r="A255" t="n">
        <v>226</v>
      </c>
      <c r="B255">
        <f>A255*$B$6</f>
        <v/>
      </c>
      <c r="C255" s="5">
        <f>EXP(-$B$12*B255)</f>
        <v/>
      </c>
      <c r="D255" s="5">
        <f>EXP(-$B$13*B255)</f>
        <v/>
      </c>
      <c r="E255">
        <f>C255</f>
        <v/>
      </c>
      <c r="F255">
        <f>D255-C255</f>
        <v/>
      </c>
      <c r="G255">
        <f>1-D255</f>
        <v/>
      </c>
      <c r="H255">
        <f>SUM(E255:G255)</f>
        <v/>
      </c>
      <c r="I255">
        <f>IF(AND(MIN(C255:D255)&gt;=0,MAX(C255:D255)&lt;=1,MIN(E255:G255)&gt;=-1E-10,ABS(H255-1)&lt;1E-8,C255&lt;=C254+1E-10,D255&lt;=D254+1E-10),"OK","ERROR")</f>
        <v/>
      </c>
      <c r="J255">
        <f>1/(1+$B$4)^(B255+$B$6/2)</f>
        <v/>
      </c>
      <c r="K255">
        <f>1/(1+$B$5)^(B255+$B$6/2)</f>
        <v/>
      </c>
      <c r="L255" t="inlineStr">
        <is>
          <t>Average endpoints</t>
        </is>
      </c>
      <c r="M255" s="4">
        <f>SUMPRODUCT((E255:G255+E256:G256)/2,$B$17:$D$17)*$B$6</f>
        <v/>
      </c>
      <c r="N255" s="4">
        <f>M255*J255</f>
        <v/>
      </c>
      <c r="O255" s="4">
        <f>SUMPRODUCT((E255:G255+E256:G256)/2,$B$18:$D$18)*$B$6</f>
        <v/>
      </c>
      <c r="P255" s="4">
        <f>O255*J255</f>
        <v/>
      </c>
      <c r="Q255" s="4">
        <f>SUMPRODUCT((E255:G255+E256:G256)/2,$B$19:$D$19)*$B$6</f>
        <v/>
      </c>
      <c r="R255" s="4">
        <f>Q255*J255</f>
        <v/>
      </c>
      <c r="S255" s="4">
        <f>IF(A255=0,SUMPRODUCT((E255:G255+E256:G256)/2,$B$20:$D$20)*$B$6,0)</f>
        <v/>
      </c>
      <c r="T255" s="4">
        <f>S255*J255</f>
        <v/>
      </c>
      <c r="U255" s="4">
        <f>N255+P255+R255+T255</f>
        <v/>
      </c>
      <c r="V255">
        <f>SUMPRODUCT((E255:G255+E256:G256)/2,$B$24:$D$24)*$B$6</f>
        <v/>
      </c>
      <c r="W255" s="5">
        <f>V255*K255</f>
        <v/>
      </c>
      <c r="X255">
        <f>SUMPRODUCT((E255:G255+E256:G256)/2,$B$25:$D$25)*$B$6</f>
        <v/>
      </c>
      <c r="Y255">
        <f>X255*K255</f>
        <v/>
      </c>
    </row>
    <row r="256">
      <c r="A256" t="n">
        <v>227</v>
      </c>
      <c r="B256">
        <f>A256*$B$6</f>
        <v/>
      </c>
      <c r="C256" s="5">
        <f>EXP(-$B$12*B256)</f>
        <v/>
      </c>
      <c r="D256" s="5">
        <f>EXP(-$B$13*B256)</f>
        <v/>
      </c>
      <c r="E256">
        <f>C256</f>
        <v/>
      </c>
      <c r="F256">
        <f>D256-C256</f>
        <v/>
      </c>
      <c r="G256">
        <f>1-D256</f>
        <v/>
      </c>
      <c r="H256">
        <f>SUM(E256:G256)</f>
        <v/>
      </c>
      <c r="I256">
        <f>IF(AND(MIN(C256:D256)&gt;=0,MAX(C256:D256)&lt;=1,MIN(E256:G256)&gt;=-1E-10,ABS(H256-1)&lt;1E-8,C256&lt;=C255+1E-10,D256&lt;=D255+1E-10),"OK","ERROR")</f>
        <v/>
      </c>
      <c r="J256">
        <f>1/(1+$B$4)^(B256+$B$6/2)</f>
        <v/>
      </c>
      <c r="K256">
        <f>1/(1+$B$5)^(B256+$B$6/2)</f>
        <v/>
      </c>
      <c r="L256" t="inlineStr">
        <is>
          <t>Average endpoints</t>
        </is>
      </c>
      <c r="M256" s="4">
        <f>SUMPRODUCT((E256:G256+E257:G257)/2,$B$17:$D$17)*$B$6</f>
        <v/>
      </c>
      <c r="N256" s="4">
        <f>M256*J256</f>
        <v/>
      </c>
      <c r="O256" s="4">
        <f>SUMPRODUCT((E256:G256+E257:G257)/2,$B$18:$D$18)*$B$6</f>
        <v/>
      </c>
      <c r="P256" s="4">
        <f>O256*J256</f>
        <v/>
      </c>
      <c r="Q256" s="4">
        <f>SUMPRODUCT((E256:G256+E257:G257)/2,$B$19:$D$19)*$B$6</f>
        <v/>
      </c>
      <c r="R256" s="4">
        <f>Q256*J256</f>
        <v/>
      </c>
      <c r="S256" s="4">
        <f>IF(A256=0,SUMPRODUCT((E256:G256+E257:G257)/2,$B$20:$D$20)*$B$6,0)</f>
        <v/>
      </c>
      <c r="T256" s="4">
        <f>S256*J256</f>
        <v/>
      </c>
      <c r="U256" s="4">
        <f>N256+P256+R256+T256</f>
        <v/>
      </c>
      <c r="V256">
        <f>SUMPRODUCT((E256:G256+E257:G257)/2,$B$24:$D$24)*$B$6</f>
        <v/>
      </c>
      <c r="W256" s="5">
        <f>V256*K256</f>
        <v/>
      </c>
      <c r="X256">
        <f>SUMPRODUCT((E256:G256+E257:G257)/2,$B$25:$D$25)*$B$6</f>
        <v/>
      </c>
      <c r="Y256">
        <f>X256*K256</f>
        <v/>
      </c>
    </row>
    <row r="257">
      <c r="A257" t="n">
        <v>228</v>
      </c>
      <c r="B257">
        <f>A257*$B$6</f>
        <v/>
      </c>
      <c r="C257" s="5">
        <f>EXP(-$B$12*B257)</f>
        <v/>
      </c>
      <c r="D257" s="5">
        <f>EXP(-$B$13*B257)</f>
        <v/>
      </c>
      <c r="E257">
        <f>C257</f>
        <v/>
      </c>
      <c r="F257">
        <f>D257-C257</f>
        <v/>
      </c>
      <c r="G257">
        <f>1-D257</f>
        <v/>
      </c>
      <c r="H257">
        <f>SUM(E257:G257)</f>
        <v/>
      </c>
      <c r="I257">
        <f>IF(AND(MIN(C257:D257)&gt;=0,MAX(C257:D257)&lt;=1,MIN(E257:G257)&gt;=-1E-10,ABS(H257-1)&lt;1E-8,C257&lt;=C256+1E-10,D257&lt;=D256+1E-10),"OK","ERROR")</f>
        <v/>
      </c>
      <c r="J257">
        <f>1/(1+$B$4)^(B257+$B$6/2)</f>
        <v/>
      </c>
      <c r="K257">
        <f>1/(1+$B$5)^(B257+$B$6/2)</f>
        <v/>
      </c>
      <c r="L257" t="inlineStr">
        <is>
          <t>Average endpoints</t>
        </is>
      </c>
      <c r="M257" s="4">
        <f>SUMPRODUCT((E257:G257+E258:G258)/2,$B$17:$D$17)*$B$6</f>
        <v/>
      </c>
      <c r="N257" s="4">
        <f>M257*J257</f>
        <v/>
      </c>
      <c r="O257" s="4">
        <f>SUMPRODUCT((E257:G257+E258:G258)/2,$B$18:$D$18)*$B$6</f>
        <v/>
      </c>
      <c r="P257" s="4">
        <f>O257*J257</f>
        <v/>
      </c>
      <c r="Q257" s="4">
        <f>SUMPRODUCT((E257:G257+E258:G258)/2,$B$19:$D$19)*$B$6</f>
        <v/>
      </c>
      <c r="R257" s="4">
        <f>Q257*J257</f>
        <v/>
      </c>
      <c r="S257" s="4">
        <f>IF(A257=0,SUMPRODUCT((E257:G257+E258:G258)/2,$B$20:$D$20)*$B$6,0)</f>
        <v/>
      </c>
      <c r="T257" s="4">
        <f>S257*J257</f>
        <v/>
      </c>
      <c r="U257" s="4">
        <f>N257+P257+R257+T257</f>
        <v/>
      </c>
      <c r="V257">
        <f>SUMPRODUCT((E257:G257+E258:G258)/2,$B$24:$D$24)*$B$6</f>
        <v/>
      </c>
      <c r="W257" s="5">
        <f>V257*K257</f>
        <v/>
      </c>
      <c r="X257">
        <f>SUMPRODUCT((E257:G257+E258:G258)/2,$B$25:$D$25)*$B$6</f>
        <v/>
      </c>
      <c r="Y257">
        <f>X257*K257</f>
        <v/>
      </c>
    </row>
    <row r="258">
      <c r="A258" t="n">
        <v>229</v>
      </c>
      <c r="B258">
        <f>A258*$B$6</f>
        <v/>
      </c>
      <c r="C258" s="5">
        <f>EXP(-$B$12*B258)</f>
        <v/>
      </c>
      <c r="D258" s="5">
        <f>EXP(-$B$13*B258)</f>
        <v/>
      </c>
      <c r="E258">
        <f>C258</f>
        <v/>
      </c>
      <c r="F258">
        <f>D258-C258</f>
        <v/>
      </c>
      <c r="G258">
        <f>1-D258</f>
        <v/>
      </c>
      <c r="H258">
        <f>SUM(E258:G258)</f>
        <v/>
      </c>
      <c r="I258">
        <f>IF(AND(MIN(C258:D258)&gt;=0,MAX(C258:D258)&lt;=1,MIN(E258:G258)&gt;=-1E-10,ABS(H258-1)&lt;1E-8,C258&lt;=C257+1E-10,D258&lt;=D257+1E-10),"OK","ERROR")</f>
        <v/>
      </c>
      <c r="J258">
        <f>1/(1+$B$4)^(B258+$B$6/2)</f>
        <v/>
      </c>
      <c r="K258">
        <f>1/(1+$B$5)^(B258+$B$6/2)</f>
        <v/>
      </c>
      <c r="L258" t="inlineStr">
        <is>
          <t>Average endpoints</t>
        </is>
      </c>
      <c r="M258" s="4">
        <f>SUMPRODUCT((E258:G258+E259:G259)/2,$B$17:$D$17)*$B$6</f>
        <v/>
      </c>
      <c r="N258" s="4">
        <f>M258*J258</f>
        <v/>
      </c>
      <c r="O258" s="4">
        <f>SUMPRODUCT((E258:G258+E259:G259)/2,$B$18:$D$18)*$B$6</f>
        <v/>
      </c>
      <c r="P258" s="4">
        <f>O258*J258</f>
        <v/>
      </c>
      <c r="Q258" s="4">
        <f>SUMPRODUCT((E258:G258+E259:G259)/2,$B$19:$D$19)*$B$6</f>
        <v/>
      </c>
      <c r="R258" s="4">
        <f>Q258*J258</f>
        <v/>
      </c>
      <c r="S258" s="4">
        <f>IF(A258=0,SUMPRODUCT((E258:G258+E259:G259)/2,$B$20:$D$20)*$B$6,0)</f>
        <v/>
      </c>
      <c r="T258" s="4">
        <f>S258*J258</f>
        <v/>
      </c>
      <c r="U258" s="4">
        <f>N258+P258+R258+T258</f>
        <v/>
      </c>
      <c r="V258">
        <f>SUMPRODUCT((E258:G258+E259:G259)/2,$B$24:$D$24)*$B$6</f>
        <v/>
      </c>
      <c r="W258" s="5">
        <f>V258*K258</f>
        <v/>
      </c>
      <c r="X258">
        <f>SUMPRODUCT((E258:G258+E259:G259)/2,$B$25:$D$25)*$B$6</f>
        <v/>
      </c>
      <c r="Y258">
        <f>X258*K258</f>
        <v/>
      </c>
    </row>
    <row r="259">
      <c r="A259" t="n">
        <v>230</v>
      </c>
      <c r="B259">
        <f>A259*$B$6</f>
        <v/>
      </c>
      <c r="C259" s="5">
        <f>EXP(-$B$12*B259)</f>
        <v/>
      </c>
      <c r="D259" s="5">
        <f>EXP(-$B$13*B259)</f>
        <v/>
      </c>
      <c r="E259">
        <f>C259</f>
        <v/>
      </c>
      <c r="F259">
        <f>D259-C259</f>
        <v/>
      </c>
      <c r="G259">
        <f>1-D259</f>
        <v/>
      </c>
      <c r="H259">
        <f>SUM(E259:G259)</f>
        <v/>
      </c>
      <c r="I259">
        <f>IF(AND(MIN(C259:D259)&gt;=0,MAX(C259:D259)&lt;=1,MIN(E259:G259)&gt;=-1E-10,ABS(H259-1)&lt;1E-8,C259&lt;=C258+1E-10,D259&lt;=D258+1E-10),"OK","ERROR")</f>
        <v/>
      </c>
      <c r="J259">
        <f>1/(1+$B$4)^(B259+$B$6/2)</f>
        <v/>
      </c>
      <c r="K259">
        <f>1/(1+$B$5)^(B259+$B$6/2)</f>
        <v/>
      </c>
      <c r="L259" t="inlineStr">
        <is>
          <t>Average endpoints</t>
        </is>
      </c>
      <c r="M259" s="4">
        <f>SUMPRODUCT((E259:G259+E260:G260)/2,$B$17:$D$17)*$B$6</f>
        <v/>
      </c>
      <c r="N259" s="4">
        <f>M259*J259</f>
        <v/>
      </c>
      <c r="O259" s="4">
        <f>SUMPRODUCT((E259:G259+E260:G260)/2,$B$18:$D$18)*$B$6</f>
        <v/>
      </c>
      <c r="P259" s="4">
        <f>O259*J259</f>
        <v/>
      </c>
      <c r="Q259" s="4">
        <f>SUMPRODUCT((E259:G259+E260:G260)/2,$B$19:$D$19)*$B$6</f>
        <v/>
      </c>
      <c r="R259" s="4">
        <f>Q259*J259</f>
        <v/>
      </c>
      <c r="S259" s="4">
        <f>IF(A259=0,SUMPRODUCT((E259:G259+E260:G260)/2,$B$20:$D$20)*$B$6,0)</f>
        <v/>
      </c>
      <c r="T259" s="4">
        <f>S259*J259</f>
        <v/>
      </c>
      <c r="U259" s="4">
        <f>N259+P259+R259+T259</f>
        <v/>
      </c>
      <c r="V259">
        <f>SUMPRODUCT((E259:G259+E260:G260)/2,$B$24:$D$24)*$B$6</f>
        <v/>
      </c>
      <c r="W259" s="5">
        <f>V259*K259</f>
        <v/>
      </c>
      <c r="X259">
        <f>SUMPRODUCT((E259:G259+E260:G260)/2,$B$25:$D$25)*$B$6</f>
        <v/>
      </c>
      <c r="Y259">
        <f>X259*K259</f>
        <v/>
      </c>
    </row>
    <row r="260">
      <c r="A260" t="n">
        <v>231</v>
      </c>
      <c r="B260">
        <f>A260*$B$6</f>
        <v/>
      </c>
      <c r="C260" s="5">
        <f>EXP(-$B$12*B260)</f>
        <v/>
      </c>
      <c r="D260" s="5">
        <f>EXP(-$B$13*B260)</f>
        <v/>
      </c>
      <c r="E260">
        <f>C260</f>
        <v/>
      </c>
      <c r="F260">
        <f>D260-C260</f>
        <v/>
      </c>
      <c r="G260">
        <f>1-D260</f>
        <v/>
      </c>
      <c r="H260">
        <f>SUM(E260:G260)</f>
        <v/>
      </c>
      <c r="I260">
        <f>IF(AND(MIN(C260:D260)&gt;=0,MAX(C260:D260)&lt;=1,MIN(E260:G260)&gt;=-1E-10,ABS(H260-1)&lt;1E-8,C260&lt;=C259+1E-10,D260&lt;=D259+1E-10),"OK","ERROR")</f>
        <v/>
      </c>
      <c r="J260">
        <f>1/(1+$B$4)^(B260+$B$6/2)</f>
        <v/>
      </c>
      <c r="K260">
        <f>1/(1+$B$5)^(B260+$B$6/2)</f>
        <v/>
      </c>
      <c r="L260" t="inlineStr">
        <is>
          <t>Average endpoints</t>
        </is>
      </c>
      <c r="M260" s="4">
        <f>SUMPRODUCT((E260:G260+E261:G261)/2,$B$17:$D$17)*$B$6</f>
        <v/>
      </c>
      <c r="N260" s="4">
        <f>M260*J260</f>
        <v/>
      </c>
      <c r="O260" s="4">
        <f>SUMPRODUCT((E260:G260+E261:G261)/2,$B$18:$D$18)*$B$6</f>
        <v/>
      </c>
      <c r="P260" s="4">
        <f>O260*J260</f>
        <v/>
      </c>
      <c r="Q260" s="4">
        <f>SUMPRODUCT((E260:G260+E261:G261)/2,$B$19:$D$19)*$B$6</f>
        <v/>
      </c>
      <c r="R260" s="4">
        <f>Q260*J260</f>
        <v/>
      </c>
      <c r="S260" s="4">
        <f>IF(A260=0,SUMPRODUCT((E260:G260+E261:G261)/2,$B$20:$D$20)*$B$6,0)</f>
        <v/>
      </c>
      <c r="T260" s="4">
        <f>S260*J260</f>
        <v/>
      </c>
      <c r="U260" s="4">
        <f>N260+P260+R260+T260</f>
        <v/>
      </c>
      <c r="V260">
        <f>SUMPRODUCT((E260:G260+E261:G261)/2,$B$24:$D$24)*$B$6</f>
        <v/>
      </c>
      <c r="W260" s="5">
        <f>V260*K260</f>
        <v/>
      </c>
      <c r="X260">
        <f>SUMPRODUCT((E260:G260+E261:G261)/2,$B$25:$D$25)*$B$6</f>
        <v/>
      </c>
      <c r="Y260">
        <f>X260*K260</f>
        <v/>
      </c>
    </row>
    <row r="261">
      <c r="A261" t="n">
        <v>232</v>
      </c>
      <c r="B261">
        <f>A261*$B$6</f>
        <v/>
      </c>
      <c r="C261" s="5">
        <f>EXP(-$B$12*B261)</f>
        <v/>
      </c>
      <c r="D261" s="5">
        <f>EXP(-$B$13*B261)</f>
        <v/>
      </c>
      <c r="E261">
        <f>C261</f>
        <v/>
      </c>
      <c r="F261">
        <f>D261-C261</f>
        <v/>
      </c>
      <c r="G261">
        <f>1-D261</f>
        <v/>
      </c>
      <c r="H261">
        <f>SUM(E261:G261)</f>
        <v/>
      </c>
      <c r="I261">
        <f>IF(AND(MIN(C261:D261)&gt;=0,MAX(C261:D261)&lt;=1,MIN(E261:G261)&gt;=-1E-10,ABS(H261-1)&lt;1E-8,C261&lt;=C260+1E-10,D261&lt;=D260+1E-10),"OK","ERROR")</f>
        <v/>
      </c>
      <c r="J261">
        <f>1/(1+$B$4)^(B261+$B$6/2)</f>
        <v/>
      </c>
      <c r="K261">
        <f>1/(1+$B$5)^(B261+$B$6/2)</f>
        <v/>
      </c>
      <c r="L261" t="inlineStr">
        <is>
          <t>Average endpoints</t>
        </is>
      </c>
      <c r="M261" s="4">
        <f>SUMPRODUCT((E261:G261+E262:G262)/2,$B$17:$D$17)*$B$6</f>
        <v/>
      </c>
      <c r="N261" s="4">
        <f>M261*J261</f>
        <v/>
      </c>
      <c r="O261" s="4">
        <f>SUMPRODUCT((E261:G261+E262:G262)/2,$B$18:$D$18)*$B$6</f>
        <v/>
      </c>
      <c r="P261" s="4">
        <f>O261*J261</f>
        <v/>
      </c>
      <c r="Q261" s="4">
        <f>SUMPRODUCT((E261:G261+E262:G262)/2,$B$19:$D$19)*$B$6</f>
        <v/>
      </c>
      <c r="R261" s="4">
        <f>Q261*J261</f>
        <v/>
      </c>
      <c r="S261" s="4">
        <f>IF(A261=0,SUMPRODUCT((E261:G261+E262:G262)/2,$B$20:$D$20)*$B$6,0)</f>
        <v/>
      </c>
      <c r="T261" s="4">
        <f>S261*J261</f>
        <v/>
      </c>
      <c r="U261" s="4">
        <f>N261+P261+R261+T261</f>
        <v/>
      </c>
      <c r="V261">
        <f>SUMPRODUCT((E261:G261+E262:G262)/2,$B$24:$D$24)*$B$6</f>
        <v/>
      </c>
      <c r="W261" s="5">
        <f>V261*K261</f>
        <v/>
      </c>
      <c r="X261">
        <f>SUMPRODUCT((E261:G261+E262:G262)/2,$B$25:$D$25)*$B$6</f>
        <v/>
      </c>
      <c r="Y261">
        <f>X261*K261</f>
        <v/>
      </c>
    </row>
    <row r="262">
      <c r="A262" t="n">
        <v>233</v>
      </c>
      <c r="B262">
        <f>A262*$B$6</f>
        <v/>
      </c>
      <c r="C262" s="5">
        <f>EXP(-$B$12*B262)</f>
        <v/>
      </c>
      <c r="D262" s="5">
        <f>EXP(-$B$13*B262)</f>
        <v/>
      </c>
      <c r="E262">
        <f>C262</f>
        <v/>
      </c>
      <c r="F262">
        <f>D262-C262</f>
        <v/>
      </c>
      <c r="G262">
        <f>1-D262</f>
        <v/>
      </c>
      <c r="H262">
        <f>SUM(E262:G262)</f>
        <v/>
      </c>
      <c r="I262">
        <f>IF(AND(MIN(C262:D262)&gt;=0,MAX(C262:D262)&lt;=1,MIN(E262:G262)&gt;=-1E-10,ABS(H262-1)&lt;1E-8,C262&lt;=C261+1E-10,D262&lt;=D261+1E-10),"OK","ERROR")</f>
        <v/>
      </c>
      <c r="J262">
        <f>1/(1+$B$4)^(B262+$B$6/2)</f>
        <v/>
      </c>
      <c r="K262">
        <f>1/(1+$B$5)^(B262+$B$6/2)</f>
        <v/>
      </c>
      <c r="L262" t="inlineStr">
        <is>
          <t>Average endpoints</t>
        </is>
      </c>
      <c r="M262" s="4">
        <f>SUMPRODUCT((E262:G262+E263:G263)/2,$B$17:$D$17)*$B$6</f>
        <v/>
      </c>
      <c r="N262" s="4">
        <f>M262*J262</f>
        <v/>
      </c>
      <c r="O262" s="4">
        <f>SUMPRODUCT((E262:G262+E263:G263)/2,$B$18:$D$18)*$B$6</f>
        <v/>
      </c>
      <c r="P262" s="4">
        <f>O262*J262</f>
        <v/>
      </c>
      <c r="Q262" s="4">
        <f>SUMPRODUCT((E262:G262+E263:G263)/2,$B$19:$D$19)*$B$6</f>
        <v/>
      </c>
      <c r="R262" s="4">
        <f>Q262*J262</f>
        <v/>
      </c>
      <c r="S262" s="4">
        <f>IF(A262=0,SUMPRODUCT((E262:G262+E263:G263)/2,$B$20:$D$20)*$B$6,0)</f>
        <v/>
      </c>
      <c r="T262" s="4">
        <f>S262*J262</f>
        <v/>
      </c>
      <c r="U262" s="4">
        <f>N262+P262+R262+T262</f>
        <v/>
      </c>
      <c r="V262">
        <f>SUMPRODUCT((E262:G262+E263:G263)/2,$B$24:$D$24)*$B$6</f>
        <v/>
      </c>
      <c r="W262" s="5">
        <f>V262*K262</f>
        <v/>
      </c>
      <c r="X262">
        <f>SUMPRODUCT((E262:G262+E263:G263)/2,$B$25:$D$25)*$B$6</f>
        <v/>
      </c>
      <c r="Y262">
        <f>X262*K262</f>
        <v/>
      </c>
    </row>
    <row r="263">
      <c r="A263" t="n">
        <v>234</v>
      </c>
      <c r="B263">
        <f>A263*$B$6</f>
        <v/>
      </c>
      <c r="C263" s="5">
        <f>EXP(-$B$12*B263)</f>
        <v/>
      </c>
      <c r="D263" s="5">
        <f>EXP(-$B$13*B263)</f>
        <v/>
      </c>
      <c r="E263">
        <f>C263</f>
        <v/>
      </c>
      <c r="F263">
        <f>D263-C263</f>
        <v/>
      </c>
      <c r="G263">
        <f>1-D263</f>
        <v/>
      </c>
      <c r="H263">
        <f>SUM(E263:G263)</f>
        <v/>
      </c>
      <c r="I263">
        <f>IF(AND(MIN(C263:D263)&gt;=0,MAX(C263:D263)&lt;=1,MIN(E263:G263)&gt;=-1E-10,ABS(H263-1)&lt;1E-8,C263&lt;=C262+1E-10,D263&lt;=D262+1E-10),"OK","ERROR")</f>
        <v/>
      </c>
      <c r="J263">
        <f>1/(1+$B$4)^(B263+$B$6/2)</f>
        <v/>
      </c>
      <c r="K263">
        <f>1/(1+$B$5)^(B263+$B$6/2)</f>
        <v/>
      </c>
      <c r="L263" t="inlineStr">
        <is>
          <t>Average endpoints</t>
        </is>
      </c>
      <c r="M263" s="4">
        <f>SUMPRODUCT((E263:G263+E264:G264)/2,$B$17:$D$17)*$B$6</f>
        <v/>
      </c>
      <c r="N263" s="4">
        <f>M263*J263</f>
        <v/>
      </c>
      <c r="O263" s="4">
        <f>SUMPRODUCT((E263:G263+E264:G264)/2,$B$18:$D$18)*$B$6</f>
        <v/>
      </c>
      <c r="P263" s="4">
        <f>O263*J263</f>
        <v/>
      </c>
      <c r="Q263" s="4">
        <f>SUMPRODUCT((E263:G263+E264:G264)/2,$B$19:$D$19)*$B$6</f>
        <v/>
      </c>
      <c r="R263" s="4">
        <f>Q263*J263</f>
        <v/>
      </c>
      <c r="S263" s="4">
        <f>IF(A263=0,SUMPRODUCT((E263:G263+E264:G264)/2,$B$20:$D$20)*$B$6,0)</f>
        <v/>
      </c>
      <c r="T263" s="4">
        <f>S263*J263</f>
        <v/>
      </c>
      <c r="U263" s="4">
        <f>N263+P263+R263+T263</f>
        <v/>
      </c>
      <c r="V263">
        <f>SUMPRODUCT((E263:G263+E264:G264)/2,$B$24:$D$24)*$B$6</f>
        <v/>
      </c>
      <c r="W263" s="5">
        <f>V263*K263</f>
        <v/>
      </c>
      <c r="X263">
        <f>SUMPRODUCT((E263:G263+E264:G264)/2,$B$25:$D$25)*$B$6</f>
        <v/>
      </c>
      <c r="Y263">
        <f>X263*K263</f>
        <v/>
      </c>
    </row>
    <row r="264">
      <c r="A264" t="n">
        <v>235</v>
      </c>
      <c r="B264">
        <f>A264*$B$6</f>
        <v/>
      </c>
      <c r="C264" s="5">
        <f>EXP(-$B$12*B264)</f>
        <v/>
      </c>
      <c r="D264" s="5">
        <f>EXP(-$B$13*B264)</f>
        <v/>
      </c>
      <c r="E264">
        <f>C264</f>
        <v/>
      </c>
      <c r="F264">
        <f>D264-C264</f>
        <v/>
      </c>
      <c r="G264">
        <f>1-D264</f>
        <v/>
      </c>
      <c r="H264">
        <f>SUM(E264:G264)</f>
        <v/>
      </c>
      <c r="I264">
        <f>IF(AND(MIN(C264:D264)&gt;=0,MAX(C264:D264)&lt;=1,MIN(E264:G264)&gt;=-1E-10,ABS(H264-1)&lt;1E-8,C264&lt;=C263+1E-10,D264&lt;=D263+1E-10),"OK","ERROR")</f>
        <v/>
      </c>
      <c r="J264">
        <f>1/(1+$B$4)^(B264+$B$6/2)</f>
        <v/>
      </c>
      <c r="K264">
        <f>1/(1+$B$5)^(B264+$B$6/2)</f>
        <v/>
      </c>
      <c r="L264" t="inlineStr">
        <is>
          <t>Average endpoints</t>
        </is>
      </c>
      <c r="M264" s="4">
        <f>SUMPRODUCT((E264:G264+E265:G265)/2,$B$17:$D$17)*$B$6</f>
        <v/>
      </c>
      <c r="N264" s="4">
        <f>M264*J264</f>
        <v/>
      </c>
      <c r="O264" s="4">
        <f>SUMPRODUCT((E264:G264+E265:G265)/2,$B$18:$D$18)*$B$6</f>
        <v/>
      </c>
      <c r="P264" s="4">
        <f>O264*J264</f>
        <v/>
      </c>
      <c r="Q264" s="4">
        <f>SUMPRODUCT((E264:G264+E265:G265)/2,$B$19:$D$19)*$B$6</f>
        <v/>
      </c>
      <c r="R264" s="4">
        <f>Q264*J264</f>
        <v/>
      </c>
      <c r="S264" s="4">
        <f>IF(A264=0,SUMPRODUCT((E264:G264+E265:G265)/2,$B$20:$D$20)*$B$6,0)</f>
        <v/>
      </c>
      <c r="T264" s="4">
        <f>S264*J264</f>
        <v/>
      </c>
      <c r="U264" s="4">
        <f>N264+P264+R264+T264</f>
        <v/>
      </c>
      <c r="V264">
        <f>SUMPRODUCT((E264:G264+E265:G265)/2,$B$24:$D$24)*$B$6</f>
        <v/>
      </c>
      <c r="W264" s="5">
        <f>V264*K264</f>
        <v/>
      </c>
      <c r="X264">
        <f>SUMPRODUCT((E264:G264+E265:G265)/2,$B$25:$D$25)*$B$6</f>
        <v/>
      </c>
      <c r="Y264">
        <f>X264*K264</f>
        <v/>
      </c>
    </row>
    <row r="265">
      <c r="A265" t="n">
        <v>236</v>
      </c>
      <c r="B265">
        <f>A265*$B$6</f>
        <v/>
      </c>
      <c r="C265" s="5">
        <f>EXP(-$B$12*B265)</f>
        <v/>
      </c>
      <c r="D265" s="5">
        <f>EXP(-$B$13*B265)</f>
        <v/>
      </c>
      <c r="E265">
        <f>C265</f>
        <v/>
      </c>
      <c r="F265">
        <f>D265-C265</f>
        <v/>
      </c>
      <c r="G265">
        <f>1-D265</f>
        <v/>
      </c>
      <c r="H265">
        <f>SUM(E265:G265)</f>
        <v/>
      </c>
      <c r="I265">
        <f>IF(AND(MIN(C265:D265)&gt;=0,MAX(C265:D265)&lt;=1,MIN(E265:G265)&gt;=-1E-10,ABS(H265-1)&lt;1E-8,C265&lt;=C264+1E-10,D265&lt;=D264+1E-10),"OK","ERROR")</f>
        <v/>
      </c>
      <c r="J265">
        <f>1/(1+$B$4)^(B265+$B$6/2)</f>
        <v/>
      </c>
      <c r="K265">
        <f>1/(1+$B$5)^(B265+$B$6/2)</f>
        <v/>
      </c>
      <c r="L265" t="inlineStr">
        <is>
          <t>Average endpoints</t>
        </is>
      </c>
      <c r="M265" s="4">
        <f>SUMPRODUCT((E265:G265+E266:G266)/2,$B$17:$D$17)*$B$6</f>
        <v/>
      </c>
      <c r="N265" s="4">
        <f>M265*J265</f>
        <v/>
      </c>
      <c r="O265" s="4">
        <f>SUMPRODUCT((E265:G265+E266:G266)/2,$B$18:$D$18)*$B$6</f>
        <v/>
      </c>
      <c r="P265" s="4">
        <f>O265*J265</f>
        <v/>
      </c>
      <c r="Q265" s="4">
        <f>SUMPRODUCT((E265:G265+E266:G266)/2,$B$19:$D$19)*$B$6</f>
        <v/>
      </c>
      <c r="R265" s="4">
        <f>Q265*J265</f>
        <v/>
      </c>
      <c r="S265" s="4">
        <f>IF(A265=0,SUMPRODUCT((E265:G265+E266:G266)/2,$B$20:$D$20)*$B$6,0)</f>
        <v/>
      </c>
      <c r="T265" s="4">
        <f>S265*J265</f>
        <v/>
      </c>
      <c r="U265" s="4">
        <f>N265+P265+R265+T265</f>
        <v/>
      </c>
      <c r="V265">
        <f>SUMPRODUCT((E265:G265+E266:G266)/2,$B$24:$D$24)*$B$6</f>
        <v/>
      </c>
      <c r="W265" s="5">
        <f>V265*K265</f>
        <v/>
      </c>
      <c r="X265">
        <f>SUMPRODUCT((E265:G265+E266:G266)/2,$B$25:$D$25)*$B$6</f>
        <v/>
      </c>
      <c r="Y265">
        <f>X265*K265</f>
        <v/>
      </c>
    </row>
    <row r="266">
      <c r="A266" t="n">
        <v>237</v>
      </c>
      <c r="B266">
        <f>A266*$B$6</f>
        <v/>
      </c>
      <c r="C266" s="5">
        <f>EXP(-$B$12*B266)</f>
        <v/>
      </c>
      <c r="D266" s="5">
        <f>EXP(-$B$13*B266)</f>
        <v/>
      </c>
      <c r="E266">
        <f>C266</f>
        <v/>
      </c>
      <c r="F266">
        <f>D266-C266</f>
        <v/>
      </c>
      <c r="G266">
        <f>1-D266</f>
        <v/>
      </c>
      <c r="H266">
        <f>SUM(E266:G266)</f>
        <v/>
      </c>
      <c r="I266">
        <f>IF(AND(MIN(C266:D266)&gt;=0,MAX(C266:D266)&lt;=1,MIN(E266:G266)&gt;=-1E-10,ABS(H266-1)&lt;1E-8,C266&lt;=C265+1E-10,D266&lt;=D265+1E-10),"OK","ERROR")</f>
        <v/>
      </c>
      <c r="J266">
        <f>1/(1+$B$4)^(B266+$B$6/2)</f>
        <v/>
      </c>
      <c r="K266">
        <f>1/(1+$B$5)^(B266+$B$6/2)</f>
        <v/>
      </c>
      <c r="L266" t="inlineStr">
        <is>
          <t>Average endpoints</t>
        </is>
      </c>
      <c r="M266" s="4">
        <f>SUMPRODUCT((E266:G266+E267:G267)/2,$B$17:$D$17)*$B$6</f>
        <v/>
      </c>
      <c r="N266" s="4">
        <f>M266*J266</f>
        <v/>
      </c>
      <c r="O266" s="4">
        <f>SUMPRODUCT((E266:G266+E267:G267)/2,$B$18:$D$18)*$B$6</f>
        <v/>
      </c>
      <c r="P266" s="4">
        <f>O266*J266</f>
        <v/>
      </c>
      <c r="Q266" s="4">
        <f>SUMPRODUCT((E266:G266+E267:G267)/2,$B$19:$D$19)*$B$6</f>
        <v/>
      </c>
      <c r="R266" s="4">
        <f>Q266*J266</f>
        <v/>
      </c>
      <c r="S266" s="4">
        <f>IF(A266=0,SUMPRODUCT((E266:G266+E267:G267)/2,$B$20:$D$20)*$B$6,0)</f>
        <v/>
      </c>
      <c r="T266" s="4">
        <f>S266*J266</f>
        <v/>
      </c>
      <c r="U266" s="4">
        <f>N266+P266+R266+T266</f>
        <v/>
      </c>
      <c r="V266">
        <f>SUMPRODUCT((E266:G266+E267:G267)/2,$B$24:$D$24)*$B$6</f>
        <v/>
      </c>
      <c r="W266" s="5">
        <f>V266*K266</f>
        <v/>
      </c>
      <c r="X266">
        <f>SUMPRODUCT((E266:G266+E267:G267)/2,$B$25:$D$25)*$B$6</f>
        <v/>
      </c>
      <c r="Y266">
        <f>X266*K266</f>
        <v/>
      </c>
    </row>
    <row r="267">
      <c r="A267" t="n">
        <v>238</v>
      </c>
      <c r="B267">
        <f>A267*$B$6</f>
        <v/>
      </c>
      <c r="C267" s="5">
        <f>EXP(-$B$12*B267)</f>
        <v/>
      </c>
      <c r="D267" s="5">
        <f>EXP(-$B$13*B267)</f>
        <v/>
      </c>
      <c r="E267">
        <f>C267</f>
        <v/>
      </c>
      <c r="F267">
        <f>D267-C267</f>
        <v/>
      </c>
      <c r="G267">
        <f>1-D267</f>
        <v/>
      </c>
      <c r="H267">
        <f>SUM(E267:G267)</f>
        <v/>
      </c>
      <c r="I267">
        <f>IF(AND(MIN(C267:D267)&gt;=0,MAX(C267:D267)&lt;=1,MIN(E267:G267)&gt;=-1E-10,ABS(H267-1)&lt;1E-8,C267&lt;=C266+1E-10,D267&lt;=D266+1E-10),"OK","ERROR")</f>
        <v/>
      </c>
      <c r="J267">
        <f>1/(1+$B$4)^(B267+$B$6/2)</f>
        <v/>
      </c>
      <c r="K267">
        <f>1/(1+$B$5)^(B267+$B$6/2)</f>
        <v/>
      </c>
      <c r="L267" t="inlineStr">
        <is>
          <t>Average endpoints</t>
        </is>
      </c>
      <c r="M267" s="4">
        <f>SUMPRODUCT((E267:G267+E268:G268)/2,$B$17:$D$17)*$B$6</f>
        <v/>
      </c>
      <c r="N267" s="4">
        <f>M267*J267</f>
        <v/>
      </c>
      <c r="O267" s="4">
        <f>SUMPRODUCT((E267:G267+E268:G268)/2,$B$18:$D$18)*$B$6</f>
        <v/>
      </c>
      <c r="P267" s="4">
        <f>O267*J267</f>
        <v/>
      </c>
      <c r="Q267" s="4">
        <f>SUMPRODUCT((E267:G267+E268:G268)/2,$B$19:$D$19)*$B$6</f>
        <v/>
      </c>
      <c r="R267" s="4">
        <f>Q267*J267</f>
        <v/>
      </c>
      <c r="S267" s="4">
        <f>IF(A267=0,SUMPRODUCT((E267:G267+E268:G268)/2,$B$20:$D$20)*$B$6,0)</f>
        <v/>
      </c>
      <c r="T267" s="4">
        <f>S267*J267</f>
        <v/>
      </c>
      <c r="U267" s="4">
        <f>N267+P267+R267+T267</f>
        <v/>
      </c>
      <c r="V267">
        <f>SUMPRODUCT((E267:G267+E268:G268)/2,$B$24:$D$24)*$B$6</f>
        <v/>
      </c>
      <c r="W267" s="5">
        <f>V267*K267</f>
        <v/>
      </c>
      <c r="X267">
        <f>SUMPRODUCT((E267:G267+E268:G268)/2,$B$25:$D$25)*$B$6</f>
        <v/>
      </c>
      <c r="Y267">
        <f>X267*K267</f>
        <v/>
      </c>
    </row>
    <row r="268">
      <c r="A268" t="n">
        <v>239</v>
      </c>
      <c r="B268">
        <f>A268*$B$6</f>
        <v/>
      </c>
      <c r="C268" s="5">
        <f>EXP(-$B$12*B268)</f>
        <v/>
      </c>
      <c r="D268" s="5">
        <f>EXP(-$B$13*B268)</f>
        <v/>
      </c>
      <c r="E268">
        <f>C268</f>
        <v/>
      </c>
      <c r="F268">
        <f>D268-C268</f>
        <v/>
      </c>
      <c r="G268">
        <f>1-D268</f>
        <v/>
      </c>
      <c r="H268">
        <f>SUM(E268:G268)</f>
        <v/>
      </c>
      <c r="I268">
        <f>IF(AND(MIN(C268:D268)&gt;=0,MAX(C268:D268)&lt;=1,MIN(E268:G268)&gt;=-1E-10,ABS(H268-1)&lt;1E-8,C268&lt;=C267+1E-10,D268&lt;=D267+1E-10),"OK","ERROR")</f>
        <v/>
      </c>
      <c r="J268">
        <f>1/(1+$B$4)^(B268+$B$6/2)</f>
        <v/>
      </c>
      <c r="K268">
        <f>1/(1+$B$5)^(B268+$B$6/2)</f>
        <v/>
      </c>
      <c r="L268" t="inlineStr">
        <is>
          <t>Average endpoints</t>
        </is>
      </c>
      <c r="M268" s="4">
        <f>SUMPRODUCT((E268:G268+E269:G269)/2,$B$17:$D$17)*$B$6</f>
        <v/>
      </c>
      <c r="N268" s="4">
        <f>M268*J268</f>
        <v/>
      </c>
      <c r="O268" s="4">
        <f>SUMPRODUCT((E268:G268+E269:G269)/2,$B$18:$D$18)*$B$6</f>
        <v/>
      </c>
      <c r="P268" s="4">
        <f>O268*J268</f>
        <v/>
      </c>
      <c r="Q268" s="4">
        <f>SUMPRODUCT((E268:G268+E269:G269)/2,$B$19:$D$19)*$B$6</f>
        <v/>
      </c>
      <c r="R268" s="4">
        <f>Q268*J268</f>
        <v/>
      </c>
      <c r="S268" s="4">
        <f>IF(A268=0,SUMPRODUCT((E268:G268+E269:G269)/2,$B$20:$D$20)*$B$6,0)</f>
        <v/>
      </c>
      <c r="T268" s="4">
        <f>S268*J268</f>
        <v/>
      </c>
      <c r="U268" s="4">
        <f>N268+P268+R268+T268</f>
        <v/>
      </c>
      <c r="V268">
        <f>SUMPRODUCT((E268:G268+E269:G269)/2,$B$24:$D$24)*$B$6</f>
        <v/>
      </c>
      <c r="W268" s="5">
        <f>V268*K268</f>
        <v/>
      </c>
      <c r="X268">
        <f>SUMPRODUCT((E268:G268+E269:G269)/2,$B$25:$D$25)*$B$6</f>
        <v/>
      </c>
      <c r="Y268">
        <f>X268*K268</f>
        <v/>
      </c>
    </row>
    <row r="269">
      <c r="A269" t="n">
        <v>240</v>
      </c>
      <c r="B269">
        <f>A269*$B$6</f>
        <v/>
      </c>
      <c r="C269" s="5">
        <f>EXP(-$B$12*B269)</f>
        <v/>
      </c>
      <c r="D269" s="5">
        <f>EXP(-$B$13*B269)</f>
        <v/>
      </c>
      <c r="E269">
        <f>C269</f>
        <v/>
      </c>
      <c r="F269">
        <f>D269-C269</f>
        <v/>
      </c>
      <c r="G269">
        <f>1-D269</f>
        <v/>
      </c>
      <c r="H269">
        <f>SUM(E269:G269)</f>
        <v/>
      </c>
      <c r="I269">
        <f>IF(AND(MIN(C269:D269)&gt;=0,MAX(C269:D269)&lt;=1,MIN(E269:G269)&gt;=-1E-10,ABS(H269-1)&lt;1E-8,C269&lt;=C268+1E-10,D269&lt;=D268+1E-10),"OK","ERROR")</f>
        <v/>
      </c>
    </row>
    <row r="270">
      <c r="A270" s="3" t="inlineStr">
        <is>
          <t>TOTAL</t>
        </is>
      </c>
      <c r="N270" s="10">
        <f>SUM(N29:N268)</f>
        <v/>
      </c>
      <c r="P270" s="10">
        <f>SUM(P29:P268)</f>
        <v/>
      </c>
      <c r="R270" s="10">
        <f>SUM(R29:R268)</f>
        <v/>
      </c>
      <c r="T270" s="10">
        <f>SUM(T29:T268)</f>
        <v/>
      </c>
      <c r="U270" s="10">
        <f>SUM(U29:U268)</f>
        <v/>
      </c>
      <c r="W270" s="10">
        <f>SUM(W29:W268)</f>
        <v/>
      </c>
      <c r="Y270" s="10">
        <f>SUM(Y29:Y268)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70"/>
  <sheetViews>
    <sheetView workbookViewId="0">
      <pane xSplit="2" ySplit="28" topLeftCell="C2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0" customWidth="1" min="2" max="2"/>
  </cols>
  <sheetData>
    <row r="1">
      <c r="A1" s="1" t="inlineStr">
        <is>
          <t>PyHEOR PSM 验证模型 — Immuno + Chemo</t>
        </is>
      </c>
    </row>
    <row r="3">
      <c r="A3" s="2" t="inlineStr">
        <is>
          <t>模型设置</t>
        </is>
      </c>
    </row>
    <row r="4">
      <c r="A4" t="inlineStr">
        <is>
          <t>Discount Rate (Costs)</t>
        </is>
      </c>
      <c r="B4" s="7" t="n">
        <v>0.03</v>
      </c>
    </row>
    <row r="5">
      <c r="A5" t="inlineStr">
        <is>
          <t>Discount Rate (QALYs)</t>
        </is>
      </c>
      <c r="B5" s="7" t="n">
        <v>0.03</v>
      </c>
    </row>
    <row r="6">
      <c r="A6" t="inlineStr">
        <is>
          <t>Cycle Length (years)</t>
        </is>
      </c>
      <c r="B6" s="7" t="n">
        <v>0.08333333333333333</v>
      </c>
    </row>
    <row r="7">
      <c r="A7" t="inlineStr">
        <is>
          <t>Discount Convention [fixed; regenerate workbook]</t>
        </is>
      </c>
      <c r="B7" s="8" t="inlineStr">
        <is>
          <t>discrete</t>
        </is>
      </c>
    </row>
    <row r="8">
      <c r="A8" t="inlineStr">
        <is>
          <t>N Cycles [fixed; regenerate workbook]</t>
        </is>
      </c>
      <c r="B8" s="8" t="n">
        <v>240</v>
      </c>
    </row>
    <row r="9">
      <c r="A9" t="inlineStr">
        <is>
          <t>Half-cycle Correction [fixed; regenerate workbook]</t>
        </is>
      </c>
      <c r="B9" s="8" t="inlineStr">
        <is>
          <t>trapezoidal</t>
        </is>
      </c>
    </row>
    <row r="11">
      <c r="A11" s="2" t="inlineStr">
        <is>
          <t>生存曲线参数</t>
        </is>
      </c>
    </row>
    <row r="12">
      <c r="A12" t="inlineStr">
        <is>
          <t>PFS / Exponential rate</t>
        </is>
      </c>
      <c r="B12" s="7" t="n">
        <v>0.7675000000000001</v>
      </c>
    </row>
    <row r="13">
      <c r="A13" t="inlineStr">
        <is>
          <t>OS / Exponential rate</t>
        </is>
      </c>
      <c r="B13" s="7" t="n">
        <v>0.3</v>
      </c>
    </row>
    <row r="15">
      <c r="A15" s="2" t="inlineStr">
        <is>
          <t>状态费用 (年度费率)</t>
        </is>
      </c>
    </row>
    <row r="16">
      <c r="B16" s="3" t="inlineStr">
        <is>
          <t>PFS</t>
        </is>
      </c>
      <c r="C16" s="3" t="inlineStr">
        <is>
          <t>Progressed</t>
        </is>
      </c>
      <c r="D16" s="3" t="inlineStr">
        <is>
          <t>Dead</t>
        </is>
      </c>
    </row>
    <row r="17">
      <c r="A17" t="inlineStr">
        <is>
          <t>drug</t>
        </is>
      </c>
      <c r="B17" s="9" t="n">
        <v>132000</v>
      </c>
      <c r="C17" s="9" t="n">
        <v>0</v>
      </c>
      <c r="D17" s="9" t="n">
        <v>0</v>
      </c>
    </row>
    <row r="18">
      <c r="A18" t="inlineStr">
        <is>
          <t>prog_care</t>
        </is>
      </c>
      <c r="B18" s="9" t="n">
        <v>0</v>
      </c>
      <c r="C18" s="9" t="n">
        <v>60000</v>
      </c>
      <c r="D18" s="9" t="n">
        <v>0</v>
      </c>
    </row>
    <row r="19">
      <c r="A19" t="inlineStr">
        <is>
          <t>bsc</t>
        </is>
      </c>
      <c r="B19" s="9" t="n">
        <v>18000</v>
      </c>
      <c r="C19" s="9" t="n">
        <v>18000</v>
      </c>
      <c r="D19" s="9" t="n">
        <v>0</v>
      </c>
    </row>
    <row r="20">
      <c r="A20" t="inlineStr">
        <is>
          <t>ae</t>
        </is>
      </c>
      <c r="B20" s="9" t="n">
        <v>2000</v>
      </c>
      <c r="C20" s="9" t="n">
        <v>0</v>
      </c>
      <c r="D20" s="9" t="n">
        <v>0</v>
      </c>
    </row>
    <row r="22">
      <c r="A22" s="2" t="inlineStr">
        <is>
          <t>效用权重</t>
        </is>
      </c>
    </row>
    <row r="23">
      <c r="B23" s="3" t="inlineStr">
        <is>
          <t>PFS</t>
        </is>
      </c>
      <c r="C23" s="3" t="inlineStr">
        <is>
          <t>Progressed</t>
        </is>
      </c>
      <c r="D23" s="3" t="inlineStr">
        <is>
          <t>Dead</t>
        </is>
      </c>
    </row>
    <row r="24">
      <c r="A24" t="inlineStr">
        <is>
          <t>Utility</t>
        </is>
      </c>
      <c r="B24" s="7" t="n">
        <v>0.78</v>
      </c>
      <c r="C24" s="7" t="n">
        <v>0.55</v>
      </c>
      <c r="D24" s="7" t="n">
        <v>0</v>
      </c>
    </row>
    <row r="25">
      <c r="A25" t="inlineStr">
        <is>
          <t>Alive</t>
        </is>
      </c>
      <c r="B25" s="7" t="n">
        <v>1</v>
      </c>
      <c r="C25" s="7" t="n">
        <v>1</v>
      </c>
      <c r="D25" s="7" t="n">
        <v>0</v>
      </c>
    </row>
    <row r="27">
      <c r="A27" s="2" t="inlineStr">
        <is>
          <t>计算区 (标准参数曲线为公式；其余生存率为明示外部输入)</t>
        </is>
      </c>
    </row>
    <row r="28">
      <c r="A28" s="3" t="inlineStr">
        <is>
          <t>Cycle</t>
        </is>
      </c>
      <c r="B28" s="3" t="inlineStr">
        <is>
          <t>Time(yr)</t>
        </is>
      </c>
      <c r="C28" s="3" t="inlineStr">
        <is>
          <t>S(PFS)</t>
        </is>
      </c>
      <c r="D28" s="3" t="inlineStr">
        <is>
          <t>S(OS)</t>
        </is>
      </c>
      <c r="E28" s="3" t="inlineStr">
        <is>
          <t>P(PFS)</t>
        </is>
      </c>
      <c r="F28" s="3" t="inlineStr">
        <is>
          <t>P(Progressed)</t>
        </is>
      </c>
      <c r="G28" s="3" t="inlineStr">
        <is>
          <t>P(Dead)</t>
        </is>
      </c>
      <c r="H28" s="3" t="inlineStr">
        <is>
          <t>RowSum</t>
        </is>
      </c>
      <c r="I28" s="3" t="inlineStr">
        <is>
          <t>Validation</t>
        </is>
      </c>
      <c r="J28" s="3" t="inlineStr">
        <is>
          <t>DF(cost)</t>
        </is>
      </c>
      <c r="K28" s="3" t="inlineStr">
        <is>
          <t>DF(qaly)</t>
        </is>
      </c>
      <c r="L28" s="3" t="inlineStr">
        <is>
          <t>HCC</t>
        </is>
      </c>
      <c r="M28" s="3" t="inlineStr">
        <is>
          <t>drug(raw)</t>
        </is>
      </c>
      <c r="N28" s="3" t="inlineStr">
        <is>
          <t>drug(disc)</t>
        </is>
      </c>
      <c r="O28" s="3" t="inlineStr">
        <is>
          <t>prog_care(raw)</t>
        </is>
      </c>
      <c r="P28" s="3" t="inlineStr">
        <is>
          <t>prog_care(disc)</t>
        </is>
      </c>
      <c r="Q28" s="3" t="inlineStr">
        <is>
          <t>bsc(raw)</t>
        </is>
      </c>
      <c r="R28" s="3" t="inlineStr">
        <is>
          <t>bsc(disc)</t>
        </is>
      </c>
      <c r="S28" s="3" t="inlineStr">
        <is>
          <t>ae(raw)</t>
        </is>
      </c>
      <c r="T28" s="3" t="inlineStr">
        <is>
          <t>ae(disc)</t>
        </is>
      </c>
      <c r="U28" s="3" t="inlineStr">
        <is>
          <t>TotalCost(disc)</t>
        </is>
      </c>
      <c r="V28" s="3" t="inlineStr">
        <is>
          <t>QALY(raw)</t>
        </is>
      </c>
      <c r="W28" s="3" t="inlineStr">
        <is>
          <t>QALY(disc)</t>
        </is>
      </c>
      <c r="X28" s="3" t="inlineStr">
        <is>
          <t>LY(raw)</t>
        </is>
      </c>
      <c r="Y28" s="3" t="inlineStr">
        <is>
          <t>LY(disc)</t>
        </is>
      </c>
    </row>
    <row r="29">
      <c r="A29" t="n">
        <v>0</v>
      </c>
      <c r="B29">
        <f>A29*$B$6</f>
        <v/>
      </c>
      <c r="C29" s="5">
        <f>EXP(-$B$12*B29)</f>
        <v/>
      </c>
      <c r="D29" s="5">
        <f>EXP(-$B$13*B29)</f>
        <v/>
      </c>
      <c r="E29">
        <f>C29</f>
        <v/>
      </c>
      <c r="F29">
        <f>D29-C29</f>
        <v/>
      </c>
      <c r="G29">
        <f>1-D29</f>
        <v/>
      </c>
      <c r="H29">
        <f>SUM(E29:G29)</f>
        <v/>
      </c>
      <c r="I29">
        <f>IF(AND(MIN(C29:D29)&gt;=0,MAX(C29:D29)&lt;=1,MIN(E29:G29)&gt;=-1E-10,ABS(H29-1)&lt;1E-8),"OK","ERROR")</f>
        <v/>
      </c>
      <c r="J29">
        <f>1/(1+$B$4)^(B29+$B$6/2)</f>
        <v/>
      </c>
      <c r="K29">
        <f>1/(1+$B$5)^(B29+$B$6/2)</f>
        <v/>
      </c>
      <c r="L29" t="inlineStr">
        <is>
          <t>Average endpoints</t>
        </is>
      </c>
      <c r="M29" s="4">
        <f>SUMPRODUCT((E29:G29+E30:G30)/2,$B$17:$D$17)*$B$6</f>
        <v/>
      </c>
      <c r="N29" s="4">
        <f>M29*J29</f>
        <v/>
      </c>
      <c r="O29" s="4">
        <f>SUMPRODUCT((E29:G29+E30:G30)/2,$B$18:$D$18)*$B$6</f>
        <v/>
      </c>
      <c r="P29" s="4">
        <f>O29*J29</f>
        <v/>
      </c>
      <c r="Q29" s="4">
        <f>SUMPRODUCT((E29:G29+E30:G30)/2,$B$19:$D$19)*$B$6</f>
        <v/>
      </c>
      <c r="R29" s="4">
        <f>Q29*J29</f>
        <v/>
      </c>
      <c r="S29" s="4">
        <f>IF(A29=0,SUMPRODUCT((E29:G29+E30:G30)/2,$B$20:$D$20)*$B$6,0)</f>
        <v/>
      </c>
      <c r="T29" s="4">
        <f>S29*J29</f>
        <v/>
      </c>
      <c r="U29" s="4">
        <f>N29+P29+R29+T29</f>
        <v/>
      </c>
      <c r="V29">
        <f>SUMPRODUCT((E29:G29+E30:G30)/2,$B$24:$D$24)*$B$6</f>
        <v/>
      </c>
      <c r="W29" s="5">
        <f>V29*K29</f>
        <v/>
      </c>
      <c r="X29">
        <f>SUMPRODUCT((E29:G29+E30:G30)/2,$B$25:$D$25)*$B$6</f>
        <v/>
      </c>
      <c r="Y29">
        <f>X29*K29</f>
        <v/>
      </c>
    </row>
    <row r="30">
      <c r="A30" t="n">
        <v>1</v>
      </c>
      <c r="B30">
        <f>A30*$B$6</f>
        <v/>
      </c>
      <c r="C30" s="5">
        <f>EXP(-$B$12*B30)</f>
        <v/>
      </c>
      <c r="D30" s="5">
        <f>EXP(-$B$13*B30)</f>
        <v/>
      </c>
      <c r="E30">
        <f>C30</f>
        <v/>
      </c>
      <c r="F30">
        <f>D30-C30</f>
        <v/>
      </c>
      <c r="G30">
        <f>1-D30</f>
        <v/>
      </c>
      <c r="H30">
        <f>SUM(E30:G30)</f>
        <v/>
      </c>
      <c r="I30">
        <f>IF(AND(MIN(C30:D30)&gt;=0,MAX(C30:D30)&lt;=1,MIN(E30:G30)&gt;=-1E-10,ABS(H30-1)&lt;1E-8,C30&lt;=C29+1E-10,D30&lt;=D29+1E-10),"OK","ERROR")</f>
        <v/>
      </c>
      <c r="J30">
        <f>1/(1+$B$4)^(B30+$B$6/2)</f>
        <v/>
      </c>
      <c r="K30">
        <f>1/(1+$B$5)^(B30+$B$6/2)</f>
        <v/>
      </c>
      <c r="L30" t="inlineStr">
        <is>
          <t>Average endpoints</t>
        </is>
      </c>
      <c r="M30" s="4">
        <f>SUMPRODUCT((E30:G30+E31:G31)/2,$B$17:$D$17)*$B$6</f>
        <v/>
      </c>
      <c r="N30" s="4">
        <f>M30*J30</f>
        <v/>
      </c>
      <c r="O30" s="4">
        <f>SUMPRODUCT((E30:G30+E31:G31)/2,$B$18:$D$18)*$B$6</f>
        <v/>
      </c>
      <c r="P30" s="4">
        <f>O30*J30</f>
        <v/>
      </c>
      <c r="Q30" s="4">
        <f>SUMPRODUCT((E30:G30+E31:G31)/2,$B$19:$D$19)*$B$6</f>
        <v/>
      </c>
      <c r="R30" s="4">
        <f>Q30*J30</f>
        <v/>
      </c>
      <c r="S30" s="4">
        <f>IF(A30=0,SUMPRODUCT((E30:G30+E31:G31)/2,$B$20:$D$20)*$B$6,0)</f>
        <v/>
      </c>
      <c r="T30" s="4">
        <f>S30*J30</f>
        <v/>
      </c>
      <c r="U30" s="4">
        <f>N30+P30+R30+T30</f>
        <v/>
      </c>
      <c r="V30">
        <f>SUMPRODUCT((E30:G30+E31:G31)/2,$B$24:$D$24)*$B$6</f>
        <v/>
      </c>
      <c r="W30" s="5">
        <f>V30*K30</f>
        <v/>
      </c>
      <c r="X30">
        <f>SUMPRODUCT((E30:G30+E31:G31)/2,$B$25:$D$25)*$B$6</f>
        <v/>
      </c>
      <c r="Y30">
        <f>X30*K30</f>
        <v/>
      </c>
    </row>
    <row r="31">
      <c r="A31" t="n">
        <v>2</v>
      </c>
      <c r="B31">
        <f>A31*$B$6</f>
        <v/>
      </c>
      <c r="C31" s="5">
        <f>EXP(-$B$12*B31)</f>
        <v/>
      </c>
      <c r="D31" s="5">
        <f>EXP(-$B$13*B31)</f>
        <v/>
      </c>
      <c r="E31">
        <f>C31</f>
        <v/>
      </c>
      <c r="F31">
        <f>D31-C31</f>
        <v/>
      </c>
      <c r="G31">
        <f>1-D31</f>
        <v/>
      </c>
      <c r="H31">
        <f>SUM(E31:G31)</f>
        <v/>
      </c>
      <c r="I31">
        <f>IF(AND(MIN(C31:D31)&gt;=0,MAX(C31:D31)&lt;=1,MIN(E31:G31)&gt;=-1E-10,ABS(H31-1)&lt;1E-8,C31&lt;=C30+1E-10,D31&lt;=D30+1E-10),"OK","ERROR")</f>
        <v/>
      </c>
      <c r="J31">
        <f>1/(1+$B$4)^(B31+$B$6/2)</f>
        <v/>
      </c>
      <c r="K31">
        <f>1/(1+$B$5)^(B31+$B$6/2)</f>
        <v/>
      </c>
      <c r="L31" t="inlineStr">
        <is>
          <t>Average endpoints</t>
        </is>
      </c>
      <c r="M31" s="4">
        <f>SUMPRODUCT((E31:G31+E32:G32)/2,$B$17:$D$17)*$B$6</f>
        <v/>
      </c>
      <c r="N31" s="4">
        <f>M31*J31</f>
        <v/>
      </c>
      <c r="O31" s="4">
        <f>SUMPRODUCT((E31:G31+E32:G32)/2,$B$18:$D$18)*$B$6</f>
        <v/>
      </c>
      <c r="P31" s="4">
        <f>O31*J31</f>
        <v/>
      </c>
      <c r="Q31" s="4">
        <f>SUMPRODUCT((E31:G31+E32:G32)/2,$B$19:$D$19)*$B$6</f>
        <v/>
      </c>
      <c r="R31" s="4">
        <f>Q31*J31</f>
        <v/>
      </c>
      <c r="S31" s="4">
        <f>IF(A31=0,SUMPRODUCT((E31:G31+E32:G32)/2,$B$20:$D$20)*$B$6,0)</f>
        <v/>
      </c>
      <c r="T31" s="4">
        <f>S31*J31</f>
        <v/>
      </c>
      <c r="U31" s="4">
        <f>N31+P31+R31+T31</f>
        <v/>
      </c>
      <c r="V31">
        <f>SUMPRODUCT((E31:G31+E32:G32)/2,$B$24:$D$24)*$B$6</f>
        <v/>
      </c>
      <c r="W31" s="5">
        <f>V31*K31</f>
        <v/>
      </c>
      <c r="X31">
        <f>SUMPRODUCT((E31:G31+E32:G32)/2,$B$25:$D$25)*$B$6</f>
        <v/>
      </c>
      <c r="Y31">
        <f>X31*K31</f>
        <v/>
      </c>
    </row>
    <row r="32">
      <c r="A32" t="n">
        <v>3</v>
      </c>
      <c r="B32">
        <f>A32*$B$6</f>
        <v/>
      </c>
      <c r="C32" s="5">
        <f>EXP(-$B$12*B32)</f>
        <v/>
      </c>
      <c r="D32" s="5">
        <f>EXP(-$B$13*B32)</f>
        <v/>
      </c>
      <c r="E32">
        <f>C32</f>
        <v/>
      </c>
      <c r="F32">
        <f>D32-C32</f>
        <v/>
      </c>
      <c r="G32">
        <f>1-D32</f>
        <v/>
      </c>
      <c r="H32">
        <f>SUM(E32:G32)</f>
        <v/>
      </c>
      <c r="I32">
        <f>IF(AND(MIN(C32:D32)&gt;=0,MAX(C32:D32)&lt;=1,MIN(E32:G32)&gt;=-1E-10,ABS(H32-1)&lt;1E-8,C32&lt;=C31+1E-10,D32&lt;=D31+1E-10),"OK","ERROR")</f>
        <v/>
      </c>
      <c r="J32">
        <f>1/(1+$B$4)^(B32+$B$6/2)</f>
        <v/>
      </c>
      <c r="K32">
        <f>1/(1+$B$5)^(B32+$B$6/2)</f>
        <v/>
      </c>
      <c r="L32" t="inlineStr">
        <is>
          <t>Average endpoints</t>
        </is>
      </c>
      <c r="M32" s="4">
        <f>SUMPRODUCT((E32:G32+E33:G33)/2,$B$17:$D$17)*$B$6</f>
        <v/>
      </c>
      <c r="N32" s="4">
        <f>M32*J32</f>
        <v/>
      </c>
      <c r="O32" s="4">
        <f>SUMPRODUCT((E32:G32+E33:G33)/2,$B$18:$D$18)*$B$6</f>
        <v/>
      </c>
      <c r="P32" s="4">
        <f>O32*J32</f>
        <v/>
      </c>
      <c r="Q32" s="4">
        <f>SUMPRODUCT((E32:G32+E33:G33)/2,$B$19:$D$19)*$B$6</f>
        <v/>
      </c>
      <c r="R32" s="4">
        <f>Q32*J32</f>
        <v/>
      </c>
      <c r="S32" s="4">
        <f>IF(A32=0,SUMPRODUCT((E32:G32+E33:G33)/2,$B$20:$D$20)*$B$6,0)</f>
        <v/>
      </c>
      <c r="T32" s="4">
        <f>S32*J32</f>
        <v/>
      </c>
      <c r="U32" s="4">
        <f>N32+P32+R32+T32</f>
        <v/>
      </c>
      <c r="V32">
        <f>SUMPRODUCT((E32:G32+E33:G33)/2,$B$24:$D$24)*$B$6</f>
        <v/>
      </c>
      <c r="W32" s="5">
        <f>V32*K32</f>
        <v/>
      </c>
      <c r="X32">
        <f>SUMPRODUCT((E32:G32+E33:G33)/2,$B$25:$D$25)*$B$6</f>
        <v/>
      </c>
      <c r="Y32">
        <f>X32*K32</f>
        <v/>
      </c>
    </row>
    <row r="33">
      <c r="A33" t="n">
        <v>4</v>
      </c>
      <c r="B33">
        <f>A33*$B$6</f>
        <v/>
      </c>
      <c r="C33" s="5">
        <f>EXP(-$B$12*B33)</f>
        <v/>
      </c>
      <c r="D33" s="5">
        <f>EXP(-$B$13*B33)</f>
        <v/>
      </c>
      <c r="E33">
        <f>C33</f>
        <v/>
      </c>
      <c r="F33">
        <f>D33-C33</f>
        <v/>
      </c>
      <c r="G33">
        <f>1-D33</f>
        <v/>
      </c>
      <c r="H33">
        <f>SUM(E33:G33)</f>
        <v/>
      </c>
      <c r="I33">
        <f>IF(AND(MIN(C33:D33)&gt;=0,MAX(C33:D33)&lt;=1,MIN(E33:G33)&gt;=-1E-10,ABS(H33-1)&lt;1E-8,C33&lt;=C32+1E-10,D33&lt;=D32+1E-10),"OK","ERROR")</f>
        <v/>
      </c>
      <c r="J33">
        <f>1/(1+$B$4)^(B33+$B$6/2)</f>
        <v/>
      </c>
      <c r="K33">
        <f>1/(1+$B$5)^(B33+$B$6/2)</f>
        <v/>
      </c>
      <c r="L33" t="inlineStr">
        <is>
          <t>Average endpoints</t>
        </is>
      </c>
      <c r="M33" s="4">
        <f>SUMPRODUCT((E33:G33+E34:G34)/2,$B$17:$D$17)*$B$6</f>
        <v/>
      </c>
      <c r="N33" s="4">
        <f>M33*J33</f>
        <v/>
      </c>
      <c r="O33" s="4">
        <f>SUMPRODUCT((E33:G33+E34:G34)/2,$B$18:$D$18)*$B$6</f>
        <v/>
      </c>
      <c r="P33" s="4">
        <f>O33*J33</f>
        <v/>
      </c>
      <c r="Q33" s="4">
        <f>SUMPRODUCT((E33:G33+E34:G34)/2,$B$19:$D$19)*$B$6</f>
        <v/>
      </c>
      <c r="R33" s="4">
        <f>Q33*J33</f>
        <v/>
      </c>
      <c r="S33" s="4">
        <f>IF(A33=0,SUMPRODUCT((E33:G33+E34:G34)/2,$B$20:$D$20)*$B$6,0)</f>
        <v/>
      </c>
      <c r="T33" s="4">
        <f>S33*J33</f>
        <v/>
      </c>
      <c r="U33" s="4">
        <f>N33+P33+R33+T33</f>
        <v/>
      </c>
      <c r="V33">
        <f>SUMPRODUCT((E33:G33+E34:G34)/2,$B$24:$D$24)*$B$6</f>
        <v/>
      </c>
      <c r="W33" s="5">
        <f>V33*K33</f>
        <v/>
      </c>
      <c r="X33">
        <f>SUMPRODUCT((E33:G33+E34:G34)/2,$B$25:$D$25)*$B$6</f>
        <v/>
      </c>
      <c r="Y33">
        <f>X33*K33</f>
        <v/>
      </c>
    </row>
    <row r="34">
      <c r="A34" t="n">
        <v>5</v>
      </c>
      <c r="B34">
        <f>A34*$B$6</f>
        <v/>
      </c>
      <c r="C34" s="5">
        <f>EXP(-$B$12*B34)</f>
        <v/>
      </c>
      <c r="D34" s="5">
        <f>EXP(-$B$13*B34)</f>
        <v/>
      </c>
      <c r="E34">
        <f>C34</f>
        <v/>
      </c>
      <c r="F34">
        <f>D34-C34</f>
        <v/>
      </c>
      <c r="G34">
        <f>1-D34</f>
        <v/>
      </c>
      <c r="H34">
        <f>SUM(E34:G34)</f>
        <v/>
      </c>
      <c r="I34">
        <f>IF(AND(MIN(C34:D34)&gt;=0,MAX(C34:D34)&lt;=1,MIN(E34:G34)&gt;=-1E-10,ABS(H34-1)&lt;1E-8,C34&lt;=C33+1E-10,D34&lt;=D33+1E-10),"OK","ERROR")</f>
        <v/>
      </c>
      <c r="J34">
        <f>1/(1+$B$4)^(B34+$B$6/2)</f>
        <v/>
      </c>
      <c r="K34">
        <f>1/(1+$B$5)^(B34+$B$6/2)</f>
        <v/>
      </c>
      <c r="L34" t="inlineStr">
        <is>
          <t>Average endpoints</t>
        </is>
      </c>
      <c r="M34" s="4">
        <f>SUMPRODUCT((E34:G34+E35:G35)/2,$B$17:$D$17)*$B$6</f>
        <v/>
      </c>
      <c r="N34" s="4">
        <f>M34*J34</f>
        <v/>
      </c>
      <c r="O34" s="4">
        <f>SUMPRODUCT((E34:G34+E35:G35)/2,$B$18:$D$18)*$B$6</f>
        <v/>
      </c>
      <c r="P34" s="4">
        <f>O34*J34</f>
        <v/>
      </c>
      <c r="Q34" s="4">
        <f>SUMPRODUCT((E34:G34+E35:G35)/2,$B$19:$D$19)*$B$6</f>
        <v/>
      </c>
      <c r="R34" s="4">
        <f>Q34*J34</f>
        <v/>
      </c>
      <c r="S34" s="4">
        <f>IF(A34=0,SUMPRODUCT((E34:G34+E35:G35)/2,$B$20:$D$20)*$B$6,0)</f>
        <v/>
      </c>
      <c r="T34" s="4">
        <f>S34*J34</f>
        <v/>
      </c>
      <c r="U34" s="4">
        <f>N34+P34+R34+T34</f>
        <v/>
      </c>
      <c r="V34">
        <f>SUMPRODUCT((E34:G34+E35:G35)/2,$B$24:$D$24)*$B$6</f>
        <v/>
      </c>
      <c r="W34" s="5">
        <f>V34*K34</f>
        <v/>
      </c>
      <c r="X34">
        <f>SUMPRODUCT((E34:G34+E35:G35)/2,$B$25:$D$25)*$B$6</f>
        <v/>
      </c>
      <c r="Y34">
        <f>X34*K34</f>
        <v/>
      </c>
    </row>
    <row r="35">
      <c r="A35" t="n">
        <v>6</v>
      </c>
      <c r="B35">
        <f>A35*$B$6</f>
        <v/>
      </c>
      <c r="C35" s="5">
        <f>EXP(-$B$12*B35)</f>
        <v/>
      </c>
      <c r="D35" s="5">
        <f>EXP(-$B$13*B35)</f>
        <v/>
      </c>
      <c r="E35">
        <f>C35</f>
        <v/>
      </c>
      <c r="F35">
        <f>D35-C35</f>
        <v/>
      </c>
      <c r="G35">
        <f>1-D35</f>
        <v/>
      </c>
      <c r="H35">
        <f>SUM(E35:G35)</f>
        <v/>
      </c>
      <c r="I35">
        <f>IF(AND(MIN(C35:D35)&gt;=0,MAX(C35:D35)&lt;=1,MIN(E35:G35)&gt;=-1E-10,ABS(H35-1)&lt;1E-8,C35&lt;=C34+1E-10,D35&lt;=D34+1E-10),"OK","ERROR")</f>
        <v/>
      </c>
      <c r="J35">
        <f>1/(1+$B$4)^(B35+$B$6/2)</f>
        <v/>
      </c>
      <c r="K35">
        <f>1/(1+$B$5)^(B35+$B$6/2)</f>
        <v/>
      </c>
      <c r="L35" t="inlineStr">
        <is>
          <t>Average endpoints</t>
        </is>
      </c>
      <c r="M35" s="4">
        <f>SUMPRODUCT((E35:G35+E36:G36)/2,$B$17:$D$17)*$B$6</f>
        <v/>
      </c>
      <c r="N35" s="4">
        <f>M35*J35</f>
        <v/>
      </c>
      <c r="O35" s="4">
        <f>SUMPRODUCT((E35:G35+E36:G36)/2,$B$18:$D$18)*$B$6</f>
        <v/>
      </c>
      <c r="P35" s="4">
        <f>O35*J35</f>
        <v/>
      </c>
      <c r="Q35" s="4">
        <f>SUMPRODUCT((E35:G35+E36:G36)/2,$B$19:$D$19)*$B$6</f>
        <v/>
      </c>
      <c r="R35" s="4">
        <f>Q35*J35</f>
        <v/>
      </c>
      <c r="S35" s="4">
        <f>IF(A35=0,SUMPRODUCT((E35:G35+E36:G36)/2,$B$20:$D$20)*$B$6,0)</f>
        <v/>
      </c>
      <c r="T35" s="4">
        <f>S35*J35</f>
        <v/>
      </c>
      <c r="U35" s="4">
        <f>N35+P35+R35+T35</f>
        <v/>
      </c>
      <c r="V35">
        <f>SUMPRODUCT((E35:G35+E36:G36)/2,$B$24:$D$24)*$B$6</f>
        <v/>
      </c>
      <c r="W35" s="5">
        <f>V35*K35</f>
        <v/>
      </c>
      <c r="X35">
        <f>SUMPRODUCT((E35:G35+E36:G36)/2,$B$25:$D$25)*$B$6</f>
        <v/>
      </c>
      <c r="Y35">
        <f>X35*K35</f>
        <v/>
      </c>
    </row>
    <row r="36">
      <c r="A36" t="n">
        <v>7</v>
      </c>
      <c r="B36">
        <f>A36*$B$6</f>
        <v/>
      </c>
      <c r="C36" s="5">
        <f>EXP(-$B$12*B36)</f>
        <v/>
      </c>
      <c r="D36" s="5">
        <f>EXP(-$B$13*B36)</f>
        <v/>
      </c>
      <c r="E36">
        <f>C36</f>
        <v/>
      </c>
      <c r="F36">
        <f>D36-C36</f>
        <v/>
      </c>
      <c r="G36">
        <f>1-D36</f>
        <v/>
      </c>
      <c r="H36">
        <f>SUM(E36:G36)</f>
        <v/>
      </c>
      <c r="I36">
        <f>IF(AND(MIN(C36:D36)&gt;=0,MAX(C36:D36)&lt;=1,MIN(E36:G36)&gt;=-1E-10,ABS(H36-1)&lt;1E-8,C36&lt;=C35+1E-10,D36&lt;=D35+1E-10),"OK","ERROR")</f>
        <v/>
      </c>
      <c r="J36">
        <f>1/(1+$B$4)^(B36+$B$6/2)</f>
        <v/>
      </c>
      <c r="K36">
        <f>1/(1+$B$5)^(B36+$B$6/2)</f>
        <v/>
      </c>
      <c r="L36" t="inlineStr">
        <is>
          <t>Average endpoints</t>
        </is>
      </c>
      <c r="M36" s="4">
        <f>SUMPRODUCT((E36:G36+E37:G37)/2,$B$17:$D$17)*$B$6</f>
        <v/>
      </c>
      <c r="N36" s="4">
        <f>M36*J36</f>
        <v/>
      </c>
      <c r="O36" s="4">
        <f>SUMPRODUCT((E36:G36+E37:G37)/2,$B$18:$D$18)*$B$6</f>
        <v/>
      </c>
      <c r="P36" s="4">
        <f>O36*J36</f>
        <v/>
      </c>
      <c r="Q36" s="4">
        <f>SUMPRODUCT((E36:G36+E37:G37)/2,$B$19:$D$19)*$B$6</f>
        <v/>
      </c>
      <c r="R36" s="4">
        <f>Q36*J36</f>
        <v/>
      </c>
      <c r="S36" s="4">
        <f>IF(A36=0,SUMPRODUCT((E36:G36+E37:G37)/2,$B$20:$D$20)*$B$6,0)</f>
        <v/>
      </c>
      <c r="T36" s="4">
        <f>S36*J36</f>
        <v/>
      </c>
      <c r="U36" s="4">
        <f>N36+P36+R36+T36</f>
        <v/>
      </c>
      <c r="V36">
        <f>SUMPRODUCT((E36:G36+E37:G37)/2,$B$24:$D$24)*$B$6</f>
        <v/>
      </c>
      <c r="W36" s="5">
        <f>V36*K36</f>
        <v/>
      </c>
      <c r="X36">
        <f>SUMPRODUCT((E36:G36+E37:G37)/2,$B$25:$D$25)*$B$6</f>
        <v/>
      </c>
      <c r="Y36">
        <f>X36*K36</f>
        <v/>
      </c>
    </row>
    <row r="37">
      <c r="A37" t="n">
        <v>8</v>
      </c>
      <c r="B37">
        <f>A37*$B$6</f>
        <v/>
      </c>
      <c r="C37" s="5">
        <f>EXP(-$B$12*B37)</f>
        <v/>
      </c>
      <c r="D37" s="5">
        <f>EXP(-$B$13*B37)</f>
        <v/>
      </c>
      <c r="E37">
        <f>C37</f>
        <v/>
      </c>
      <c r="F37">
        <f>D37-C37</f>
        <v/>
      </c>
      <c r="G37">
        <f>1-D37</f>
        <v/>
      </c>
      <c r="H37">
        <f>SUM(E37:G37)</f>
        <v/>
      </c>
      <c r="I37">
        <f>IF(AND(MIN(C37:D37)&gt;=0,MAX(C37:D37)&lt;=1,MIN(E37:G37)&gt;=-1E-10,ABS(H37-1)&lt;1E-8,C37&lt;=C36+1E-10,D37&lt;=D36+1E-10),"OK","ERROR")</f>
        <v/>
      </c>
      <c r="J37">
        <f>1/(1+$B$4)^(B37+$B$6/2)</f>
        <v/>
      </c>
      <c r="K37">
        <f>1/(1+$B$5)^(B37+$B$6/2)</f>
        <v/>
      </c>
      <c r="L37" t="inlineStr">
        <is>
          <t>Average endpoints</t>
        </is>
      </c>
      <c r="M37" s="4">
        <f>SUMPRODUCT((E37:G37+E38:G38)/2,$B$17:$D$17)*$B$6</f>
        <v/>
      </c>
      <c r="N37" s="4">
        <f>M37*J37</f>
        <v/>
      </c>
      <c r="O37" s="4">
        <f>SUMPRODUCT((E37:G37+E38:G38)/2,$B$18:$D$18)*$B$6</f>
        <v/>
      </c>
      <c r="P37" s="4">
        <f>O37*J37</f>
        <v/>
      </c>
      <c r="Q37" s="4">
        <f>SUMPRODUCT((E37:G37+E38:G38)/2,$B$19:$D$19)*$B$6</f>
        <v/>
      </c>
      <c r="R37" s="4">
        <f>Q37*J37</f>
        <v/>
      </c>
      <c r="S37" s="4">
        <f>IF(A37=0,SUMPRODUCT((E37:G37+E38:G38)/2,$B$20:$D$20)*$B$6,0)</f>
        <v/>
      </c>
      <c r="T37" s="4">
        <f>S37*J37</f>
        <v/>
      </c>
      <c r="U37" s="4">
        <f>N37+P37+R37+T37</f>
        <v/>
      </c>
      <c r="V37">
        <f>SUMPRODUCT((E37:G37+E38:G38)/2,$B$24:$D$24)*$B$6</f>
        <v/>
      </c>
      <c r="W37" s="5">
        <f>V37*K37</f>
        <v/>
      </c>
      <c r="X37">
        <f>SUMPRODUCT((E37:G37+E38:G38)/2,$B$25:$D$25)*$B$6</f>
        <v/>
      </c>
      <c r="Y37">
        <f>X37*K37</f>
        <v/>
      </c>
    </row>
    <row r="38">
      <c r="A38" t="n">
        <v>9</v>
      </c>
      <c r="B38">
        <f>A38*$B$6</f>
        <v/>
      </c>
      <c r="C38" s="5">
        <f>EXP(-$B$12*B38)</f>
        <v/>
      </c>
      <c r="D38" s="5">
        <f>EXP(-$B$13*B38)</f>
        <v/>
      </c>
      <c r="E38">
        <f>C38</f>
        <v/>
      </c>
      <c r="F38">
        <f>D38-C38</f>
        <v/>
      </c>
      <c r="G38">
        <f>1-D38</f>
        <v/>
      </c>
      <c r="H38">
        <f>SUM(E38:G38)</f>
        <v/>
      </c>
      <c r="I38">
        <f>IF(AND(MIN(C38:D38)&gt;=0,MAX(C38:D38)&lt;=1,MIN(E38:G38)&gt;=-1E-10,ABS(H38-1)&lt;1E-8,C38&lt;=C37+1E-10,D38&lt;=D37+1E-10),"OK","ERROR")</f>
        <v/>
      </c>
      <c r="J38">
        <f>1/(1+$B$4)^(B38+$B$6/2)</f>
        <v/>
      </c>
      <c r="K38">
        <f>1/(1+$B$5)^(B38+$B$6/2)</f>
        <v/>
      </c>
      <c r="L38" t="inlineStr">
        <is>
          <t>Average endpoints</t>
        </is>
      </c>
      <c r="M38" s="4">
        <f>SUMPRODUCT((E38:G38+E39:G39)/2,$B$17:$D$17)*$B$6</f>
        <v/>
      </c>
      <c r="N38" s="4">
        <f>M38*J38</f>
        <v/>
      </c>
      <c r="O38" s="4">
        <f>SUMPRODUCT((E38:G38+E39:G39)/2,$B$18:$D$18)*$B$6</f>
        <v/>
      </c>
      <c r="P38" s="4">
        <f>O38*J38</f>
        <v/>
      </c>
      <c r="Q38" s="4">
        <f>SUMPRODUCT((E38:G38+E39:G39)/2,$B$19:$D$19)*$B$6</f>
        <v/>
      </c>
      <c r="R38" s="4">
        <f>Q38*J38</f>
        <v/>
      </c>
      <c r="S38" s="4">
        <f>IF(A38=0,SUMPRODUCT((E38:G38+E39:G39)/2,$B$20:$D$20)*$B$6,0)</f>
        <v/>
      </c>
      <c r="T38" s="4">
        <f>S38*J38</f>
        <v/>
      </c>
      <c r="U38" s="4">
        <f>N38+P38+R38+T38</f>
        <v/>
      </c>
      <c r="V38">
        <f>SUMPRODUCT((E38:G38+E39:G39)/2,$B$24:$D$24)*$B$6</f>
        <v/>
      </c>
      <c r="W38" s="5">
        <f>V38*K38</f>
        <v/>
      </c>
      <c r="X38">
        <f>SUMPRODUCT((E38:G38+E39:G39)/2,$B$25:$D$25)*$B$6</f>
        <v/>
      </c>
      <c r="Y38">
        <f>X38*K38</f>
        <v/>
      </c>
    </row>
    <row r="39">
      <c r="A39" t="n">
        <v>10</v>
      </c>
      <c r="B39">
        <f>A39*$B$6</f>
        <v/>
      </c>
      <c r="C39" s="5">
        <f>EXP(-$B$12*B39)</f>
        <v/>
      </c>
      <c r="D39" s="5">
        <f>EXP(-$B$13*B39)</f>
        <v/>
      </c>
      <c r="E39">
        <f>C39</f>
        <v/>
      </c>
      <c r="F39">
        <f>D39-C39</f>
        <v/>
      </c>
      <c r="G39">
        <f>1-D39</f>
        <v/>
      </c>
      <c r="H39">
        <f>SUM(E39:G39)</f>
        <v/>
      </c>
      <c r="I39">
        <f>IF(AND(MIN(C39:D39)&gt;=0,MAX(C39:D39)&lt;=1,MIN(E39:G39)&gt;=-1E-10,ABS(H39-1)&lt;1E-8,C39&lt;=C38+1E-10,D39&lt;=D38+1E-10),"OK","ERROR")</f>
        <v/>
      </c>
      <c r="J39">
        <f>1/(1+$B$4)^(B39+$B$6/2)</f>
        <v/>
      </c>
      <c r="K39">
        <f>1/(1+$B$5)^(B39+$B$6/2)</f>
        <v/>
      </c>
      <c r="L39" t="inlineStr">
        <is>
          <t>Average endpoints</t>
        </is>
      </c>
      <c r="M39" s="4">
        <f>SUMPRODUCT((E39:G39+E40:G40)/2,$B$17:$D$17)*$B$6</f>
        <v/>
      </c>
      <c r="N39" s="4">
        <f>M39*J39</f>
        <v/>
      </c>
      <c r="O39" s="4">
        <f>SUMPRODUCT((E39:G39+E40:G40)/2,$B$18:$D$18)*$B$6</f>
        <v/>
      </c>
      <c r="P39" s="4">
        <f>O39*J39</f>
        <v/>
      </c>
      <c r="Q39" s="4">
        <f>SUMPRODUCT((E39:G39+E40:G40)/2,$B$19:$D$19)*$B$6</f>
        <v/>
      </c>
      <c r="R39" s="4">
        <f>Q39*J39</f>
        <v/>
      </c>
      <c r="S39" s="4">
        <f>IF(A39=0,SUMPRODUCT((E39:G39+E40:G40)/2,$B$20:$D$20)*$B$6,0)</f>
        <v/>
      </c>
      <c r="T39" s="4">
        <f>S39*J39</f>
        <v/>
      </c>
      <c r="U39" s="4">
        <f>N39+P39+R39+T39</f>
        <v/>
      </c>
      <c r="V39">
        <f>SUMPRODUCT((E39:G39+E40:G40)/2,$B$24:$D$24)*$B$6</f>
        <v/>
      </c>
      <c r="W39" s="5">
        <f>V39*K39</f>
        <v/>
      </c>
      <c r="X39">
        <f>SUMPRODUCT((E39:G39+E40:G40)/2,$B$25:$D$25)*$B$6</f>
        <v/>
      </c>
      <c r="Y39">
        <f>X39*K39</f>
        <v/>
      </c>
    </row>
    <row r="40">
      <c r="A40" t="n">
        <v>11</v>
      </c>
      <c r="B40">
        <f>A40*$B$6</f>
        <v/>
      </c>
      <c r="C40" s="5">
        <f>EXP(-$B$12*B40)</f>
        <v/>
      </c>
      <c r="D40" s="5">
        <f>EXP(-$B$13*B40)</f>
        <v/>
      </c>
      <c r="E40">
        <f>C40</f>
        <v/>
      </c>
      <c r="F40">
        <f>D40-C40</f>
        <v/>
      </c>
      <c r="G40">
        <f>1-D40</f>
        <v/>
      </c>
      <c r="H40">
        <f>SUM(E40:G40)</f>
        <v/>
      </c>
      <c r="I40">
        <f>IF(AND(MIN(C40:D40)&gt;=0,MAX(C40:D40)&lt;=1,MIN(E40:G40)&gt;=-1E-10,ABS(H40-1)&lt;1E-8,C40&lt;=C39+1E-10,D40&lt;=D39+1E-10),"OK","ERROR")</f>
        <v/>
      </c>
      <c r="J40">
        <f>1/(1+$B$4)^(B40+$B$6/2)</f>
        <v/>
      </c>
      <c r="K40">
        <f>1/(1+$B$5)^(B40+$B$6/2)</f>
        <v/>
      </c>
      <c r="L40" t="inlineStr">
        <is>
          <t>Average endpoints</t>
        </is>
      </c>
      <c r="M40" s="4">
        <f>SUMPRODUCT((E40:G40+E41:G41)/2,$B$17:$D$17)*$B$6</f>
        <v/>
      </c>
      <c r="N40" s="4">
        <f>M40*J40</f>
        <v/>
      </c>
      <c r="O40" s="4">
        <f>SUMPRODUCT((E40:G40+E41:G41)/2,$B$18:$D$18)*$B$6</f>
        <v/>
      </c>
      <c r="P40" s="4">
        <f>O40*J40</f>
        <v/>
      </c>
      <c r="Q40" s="4">
        <f>SUMPRODUCT((E40:G40+E41:G41)/2,$B$19:$D$19)*$B$6</f>
        <v/>
      </c>
      <c r="R40" s="4">
        <f>Q40*J40</f>
        <v/>
      </c>
      <c r="S40" s="4">
        <f>IF(A40=0,SUMPRODUCT((E40:G40+E41:G41)/2,$B$20:$D$20)*$B$6,0)</f>
        <v/>
      </c>
      <c r="T40" s="4">
        <f>S40*J40</f>
        <v/>
      </c>
      <c r="U40" s="4">
        <f>N40+P40+R40+T40</f>
        <v/>
      </c>
      <c r="V40">
        <f>SUMPRODUCT((E40:G40+E41:G41)/2,$B$24:$D$24)*$B$6</f>
        <v/>
      </c>
      <c r="W40" s="5">
        <f>V40*K40</f>
        <v/>
      </c>
      <c r="X40">
        <f>SUMPRODUCT((E40:G40+E41:G41)/2,$B$25:$D$25)*$B$6</f>
        <v/>
      </c>
      <c r="Y40">
        <f>X40*K40</f>
        <v/>
      </c>
    </row>
    <row r="41">
      <c r="A41" t="n">
        <v>12</v>
      </c>
      <c r="B41">
        <f>A41*$B$6</f>
        <v/>
      </c>
      <c r="C41" s="5">
        <f>EXP(-$B$12*B41)</f>
        <v/>
      </c>
      <c r="D41" s="5">
        <f>EXP(-$B$13*B41)</f>
        <v/>
      </c>
      <c r="E41">
        <f>C41</f>
        <v/>
      </c>
      <c r="F41">
        <f>D41-C41</f>
        <v/>
      </c>
      <c r="G41">
        <f>1-D41</f>
        <v/>
      </c>
      <c r="H41">
        <f>SUM(E41:G41)</f>
        <v/>
      </c>
      <c r="I41">
        <f>IF(AND(MIN(C41:D41)&gt;=0,MAX(C41:D41)&lt;=1,MIN(E41:G41)&gt;=-1E-10,ABS(H41-1)&lt;1E-8,C41&lt;=C40+1E-10,D41&lt;=D40+1E-10),"OK","ERROR")</f>
        <v/>
      </c>
      <c r="J41">
        <f>1/(1+$B$4)^(B41+$B$6/2)</f>
        <v/>
      </c>
      <c r="K41">
        <f>1/(1+$B$5)^(B41+$B$6/2)</f>
        <v/>
      </c>
      <c r="L41" t="inlineStr">
        <is>
          <t>Average endpoints</t>
        </is>
      </c>
      <c r="M41" s="4">
        <f>SUMPRODUCT((E41:G41+E42:G42)/2,$B$17:$D$17)*$B$6</f>
        <v/>
      </c>
      <c r="N41" s="4">
        <f>M41*J41</f>
        <v/>
      </c>
      <c r="O41" s="4">
        <f>SUMPRODUCT((E41:G41+E42:G42)/2,$B$18:$D$18)*$B$6</f>
        <v/>
      </c>
      <c r="P41" s="4">
        <f>O41*J41</f>
        <v/>
      </c>
      <c r="Q41" s="4">
        <f>SUMPRODUCT((E41:G41+E42:G42)/2,$B$19:$D$19)*$B$6</f>
        <v/>
      </c>
      <c r="R41" s="4">
        <f>Q41*J41</f>
        <v/>
      </c>
      <c r="S41" s="4">
        <f>IF(A41=0,SUMPRODUCT((E41:G41+E42:G42)/2,$B$20:$D$20)*$B$6,0)</f>
        <v/>
      </c>
      <c r="T41" s="4">
        <f>S41*J41</f>
        <v/>
      </c>
      <c r="U41" s="4">
        <f>N41+P41+R41+T41</f>
        <v/>
      </c>
      <c r="V41">
        <f>SUMPRODUCT((E41:G41+E42:G42)/2,$B$24:$D$24)*$B$6</f>
        <v/>
      </c>
      <c r="W41" s="5">
        <f>V41*K41</f>
        <v/>
      </c>
      <c r="X41">
        <f>SUMPRODUCT((E41:G41+E42:G42)/2,$B$25:$D$25)*$B$6</f>
        <v/>
      </c>
      <c r="Y41">
        <f>X41*K41</f>
        <v/>
      </c>
    </row>
    <row r="42">
      <c r="A42" t="n">
        <v>13</v>
      </c>
      <c r="B42">
        <f>A42*$B$6</f>
        <v/>
      </c>
      <c r="C42" s="5">
        <f>EXP(-$B$12*B42)</f>
        <v/>
      </c>
      <c r="D42" s="5">
        <f>EXP(-$B$13*B42)</f>
        <v/>
      </c>
      <c r="E42">
        <f>C42</f>
        <v/>
      </c>
      <c r="F42">
        <f>D42-C42</f>
        <v/>
      </c>
      <c r="G42">
        <f>1-D42</f>
        <v/>
      </c>
      <c r="H42">
        <f>SUM(E42:G42)</f>
        <v/>
      </c>
      <c r="I42">
        <f>IF(AND(MIN(C42:D42)&gt;=0,MAX(C42:D42)&lt;=1,MIN(E42:G42)&gt;=-1E-10,ABS(H42-1)&lt;1E-8,C42&lt;=C41+1E-10,D42&lt;=D41+1E-10),"OK","ERROR")</f>
        <v/>
      </c>
      <c r="J42">
        <f>1/(1+$B$4)^(B42+$B$6/2)</f>
        <v/>
      </c>
      <c r="K42">
        <f>1/(1+$B$5)^(B42+$B$6/2)</f>
        <v/>
      </c>
      <c r="L42" t="inlineStr">
        <is>
          <t>Average endpoints</t>
        </is>
      </c>
      <c r="M42" s="4">
        <f>SUMPRODUCT((E42:G42+E43:G43)/2,$B$17:$D$17)*$B$6</f>
        <v/>
      </c>
      <c r="N42" s="4">
        <f>M42*J42</f>
        <v/>
      </c>
      <c r="O42" s="4">
        <f>SUMPRODUCT((E42:G42+E43:G43)/2,$B$18:$D$18)*$B$6</f>
        <v/>
      </c>
      <c r="P42" s="4">
        <f>O42*J42</f>
        <v/>
      </c>
      <c r="Q42" s="4">
        <f>SUMPRODUCT((E42:G42+E43:G43)/2,$B$19:$D$19)*$B$6</f>
        <v/>
      </c>
      <c r="R42" s="4">
        <f>Q42*J42</f>
        <v/>
      </c>
      <c r="S42" s="4">
        <f>IF(A42=0,SUMPRODUCT((E42:G42+E43:G43)/2,$B$20:$D$20)*$B$6,0)</f>
        <v/>
      </c>
      <c r="T42" s="4">
        <f>S42*J42</f>
        <v/>
      </c>
      <c r="U42" s="4">
        <f>N42+P42+R42+T42</f>
        <v/>
      </c>
      <c r="V42">
        <f>SUMPRODUCT((E42:G42+E43:G43)/2,$B$24:$D$24)*$B$6</f>
        <v/>
      </c>
      <c r="W42" s="5">
        <f>V42*K42</f>
        <v/>
      </c>
      <c r="X42">
        <f>SUMPRODUCT((E42:G42+E43:G43)/2,$B$25:$D$25)*$B$6</f>
        <v/>
      </c>
      <c r="Y42">
        <f>X42*K42</f>
        <v/>
      </c>
    </row>
    <row r="43">
      <c r="A43" t="n">
        <v>14</v>
      </c>
      <c r="B43">
        <f>A43*$B$6</f>
        <v/>
      </c>
      <c r="C43" s="5">
        <f>EXP(-$B$12*B43)</f>
        <v/>
      </c>
      <c r="D43" s="5">
        <f>EXP(-$B$13*B43)</f>
        <v/>
      </c>
      <c r="E43">
        <f>C43</f>
        <v/>
      </c>
      <c r="F43">
        <f>D43-C43</f>
        <v/>
      </c>
      <c r="G43">
        <f>1-D43</f>
        <v/>
      </c>
      <c r="H43">
        <f>SUM(E43:G43)</f>
        <v/>
      </c>
      <c r="I43">
        <f>IF(AND(MIN(C43:D43)&gt;=0,MAX(C43:D43)&lt;=1,MIN(E43:G43)&gt;=-1E-10,ABS(H43-1)&lt;1E-8,C43&lt;=C42+1E-10,D43&lt;=D42+1E-10),"OK","ERROR")</f>
        <v/>
      </c>
      <c r="J43">
        <f>1/(1+$B$4)^(B43+$B$6/2)</f>
        <v/>
      </c>
      <c r="K43">
        <f>1/(1+$B$5)^(B43+$B$6/2)</f>
        <v/>
      </c>
      <c r="L43" t="inlineStr">
        <is>
          <t>Average endpoints</t>
        </is>
      </c>
      <c r="M43" s="4">
        <f>SUMPRODUCT((E43:G43+E44:G44)/2,$B$17:$D$17)*$B$6</f>
        <v/>
      </c>
      <c r="N43" s="4">
        <f>M43*J43</f>
        <v/>
      </c>
      <c r="O43" s="4">
        <f>SUMPRODUCT((E43:G43+E44:G44)/2,$B$18:$D$18)*$B$6</f>
        <v/>
      </c>
      <c r="P43" s="4">
        <f>O43*J43</f>
        <v/>
      </c>
      <c r="Q43" s="4">
        <f>SUMPRODUCT((E43:G43+E44:G44)/2,$B$19:$D$19)*$B$6</f>
        <v/>
      </c>
      <c r="R43" s="4">
        <f>Q43*J43</f>
        <v/>
      </c>
      <c r="S43" s="4">
        <f>IF(A43=0,SUMPRODUCT((E43:G43+E44:G44)/2,$B$20:$D$20)*$B$6,0)</f>
        <v/>
      </c>
      <c r="T43" s="4">
        <f>S43*J43</f>
        <v/>
      </c>
      <c r="U43" s="4">
        <f>N43+P43+R43+T43</f>
        <v/>
      </c>
      <c r="V43">
        <f>SUMPRODUCT((E43:G43+E44:G44)/2,$B$24:$D$24)*$B$6</f>
        <v/>
      </c>
      <c r="W43" s="5">
        <f>V43*K43</f>
        <v/>
      </c>
      <c r="X43">
        <f>SUMPRODUCT((E43:G43+E44:G44)/2,$B$25:$D$25)*$B$6</f>
        <v/>
      </c>
      <c r="Y43">
        <f>X43*K43</f>
        <v/>
      </c>
    </row>
    <row r="44">
      <c r="A44" t="n">
        <v>15</v>
      </c>
      <c r="B44">
        <f>A44*$B$6</f>
        <v/>
      </c>
      <c r="C44" s="5">
        <f>EXP(-$B$12*B44)</f>
        <v/>
      </c>
      <c r="D44" s="5">
        <f>EXP(-$B$13*B44)</f>
        <v/>
      </c>
      <c r="E44">
        <f>C44</f>
        <v/>
      </c>
      <c r="F44">
        <f>D44-C44</f>
        <v/>
      </c>
      <c r="G44">
        <f>1-D44</f>
        <v/>
      </c>
      <c r="H44">
        <f>SUM(E44:G44)</f>
        <v/>
      </c>
      <c r="I44">
        <f>IF(AND(MIN(C44:D44)&gt;=0,MAX(C44:D44)&lt;=1,MIN(E44:G44)&gt;=-1E-10,ABS(H44-1)&lt;1E-8,C44&lt;=C43+1E-10,D44&lt;=D43+1E-10),"OK","ERROR")</f>
        <v/>
      </c>
      <c r="J44">
        <f>1/(1+$B$4)^(B44+$B$6/2)</f>
        <v/>
      </c>
      <c r="K44">
        <f>1/(1+$B$5)^(B44+$B$6/2)</f>
        <v/>
      </c>
      <c r="L44" t="inlineStr">
        <is>
          <t>Average endpoints</t>
        </is>
      </c>
      <c r="M44" s="4">
        <f>SUMPRODUCT((E44:G44+E45:G45)/2,$B$17:$D$17)*$B$6</f>
        <v/>
      </c>
      <c r="N44" s="4">
        <f>M44*J44</f>
        <v/>
      </c>
      <c r="O44" s="4">
        <f>SUMPRODUCT((E44:G44+E45:G45)/2,$B$18:$D$18)*$B$6</f>
        <v/>
      </c>
      <c r="P44" s="4">
        <f>O44*J44</f>
        <v/>
      </c>
      <c r="Q44" s="4">
        <f>SUMPRODUCT((E44:G44+E45:G45)/2,$B$19:$D$19)*$B$6</f>
        <v/>
      </c>
      <c r="R44" s="4">
        <f>Q44*J44</f>
        <v/>
      </c>
      <c r="S44" s="4">
        <f>IF(A44=0,SUMPRODUCT((E44:G44+E45:G45)/2,$B$20:$D$20)*$B$6,0)</f>
        <v/>
      </c>
      <c r="T44" s="4">
        <f>S44*J44</f>
        <v/>
      </c>
      <c r="U44" s="4">
        <f>N44+P44+R44+T44</f>
        <v/>
      </c>
      <c r="V44">
        <f>SUMPRODUCT((E44:G44+E45:G45)/2,$B$24:$D$24)*$B$6</f>
        <v/>
      </c>
      <c r="W44" s="5">
        <f>V44*K44</f>
        <v/>
      </c>
      <c r="X44">
        <f>SUMPRODUCT((E44:G44+E45:G45)/2,$B$25:$D$25)*$B$6</f>
        <v/>
      </c>
      <c r="Y44">
        <f>X44*K44</f>
        <v/>
      </c>
    </row>
    <row r="45">
      <c r="A45" t="n">
        <v>16</v>
      </c>
      <c r="B45">
        <f>A45*$B$6</f>
        <v/>
      </c>
      <c r="C45" s="5">
        <f>EXP(-$B$12*B45)</f>
        <v/>
      </c>
      <c r="D45" s="5">
        <f>EXP(-$B$13*B45)</f>
        <v/>
      </c>
      <c r="E45">
        <f>C45</f>
        <v/>
      </c>
      <c r="F45">
        <f>D45-C45</f>
        <v/>
      </c>
      <c r="G45">
        <f>1-D45</f>
        <v/>
      </c>
      <c r="H45">
        <f>SUM(E45:G45)</f>
        <v/>
      </c>
      <c r="I45">
        <f>IF(AND(MIN(C45:D45)&gt;=0,MAX(C45:D45)&lt;=1,MIN(E45:G45)&gt;=-1E-10,ABS(H45-1)&lt;1E-8,C45&lt;=C44+1E-10,D45&lt;=D44+1E-10),"OK","ERROR")</f>
        <v/>
      </c>
      <c r="J45">
        <f>1/(1+$B$4)^(B45+$B$6/2)</f>
        <v/>
      </c>
      <c r="K45">
        <f>1/(1+$B$5)^(B45+$B$6/2)</f>
        <v/>
      </c>
      <c r="L45" t="inlineStr">
        <is>
          <t>Average endpoints</t>
        </is>
      </c>
      <c r="M45" s="4">
        <f>SUMPRODUCT((E45:G45+E46:G46)/2,$B$17:$D$17)*$B$6</f>
        <v/>
      </c>
      <c r="N45" s="4">
        <f>M45*J45</f>
        <v/>
      </c>
      <c r="O45" s="4">
        <f>SUMPRODUCT((E45:G45+E46:G46)/2,$B$18:$D$18)*$B$6</f>
        <v/>
      </c>
      <c r="P45" s="4">
        <f>O45*J45</f>
        <v/>
      </c>
      <c r="Q45" s="4">
        <f>SUMPRODUCT((E45:G45+E46:G46)/2,$B$19:$D$19)*$B$6</f>
        <v/>
      </c>
      <c r="R45" s="4">
        <f>Q45*J45</f>
        <v/>
      </c>
      <c r="S45" s="4">
        <f>IF(A45=0,SUMPRODUCT((E45:G45+E46:G46)/2,$B$20:$D$20)*$B$6,0)</f>
        <v/>
      </c>
      <c r="T45" s="4">
        <f>S45*J45</f>
        <v/>
      </c>
      <c r="U45" s="4">
        <f>N45+P45+R45+T45</f>
        <v/>
      </c>
      <c r="V45">
        <f>SUMPRODUCT((E45:G45+E46:G46)/2,$B$24:$D$24)*$B$6</f>
        <v/>
      </c>
      <c r="W45" s="5">
        <f>V45*K45</f>
        <v/>
      </c>
      <c r="X45">
        <f>SUMPRODUCT((E45:G45+E46:G46)/2,$B$25:$D$25)*$B$6</f>
        <v/>
      </c>
      <c r="Y45">
        <f>X45*K45</f>
        <v/>
      </c>
    </row>
    <row r="46">
      <c r="A46" t="n">
        <v>17</v>
      </c>
      <c r="B46">
        <f>A46*$B$6</f>
        <v/>
      </c>
      <c r="C46" s="5">
        <f>EXP(-$B$12*B46)</f>
        <v/>
      </c>
      <c r="D46" s="5">
        <f>EXP(-$B$13*B46)</f>
        <v/>
      </c>
      <c r="E46">
        <f>C46</f>
        <v/>
      </c>
      <c r="F46">
        <f>D46-C46</f>
        <v/>
      </c>
      <c r="G46">
        <f>1-D46</f>
        <v/>
      </c>
      <c r="H46">
        <f>SUM(E46:G46)</f>
        <v/>
      </c>
      <c r="I46">
        <f>IF(AND(MIN(C46:D46)&gt;=0,MAX(C46:D46)&lt;=1,MIN(E46:G46)&gt;=-1E-10,ABS(H46-1)&lt;1E-8,C46&lt;=C45+1E-10,D46&lt;=D45+1E-10),"OK","ERROR")</f>
        <v/>
      </c>
      <c r="J46">
        <f>1/(1+$B$4)^(B46+$B$6/2)</f>
        <v/>
      </c>
      <c r="K46">
        <f>1/(1+$B$5)^(B46+$B$6/2)</f>
        <v/>
      </c>
      <c r="L46" t="inlineStr">
        <is>
          <t>Average endpoints</t>
        </is>
      </c>
      <c r="M46" s="4">
        <f>SUMPRODUCT((E46:G46+E47:G47)/2,$B$17:$D$17)*$B$6</f>
        <v/>
      </c>
      <c r="N46" s="4">
        <f>M46*J46</f>
        <v/>
      </c>
      <c r="O46" s="4">
        <f>SUMPRODUCT((E46:G46+E47:G47)/2,$B$18:$D$18)*$B$6</f>
        <v/>
      </c>
      <c r="P46" s="4">
        <f>O46*J46</f>
        <v/>
      </c>
      <c r="Q46" s="4">
        <f>SUMPRODUCT((E46:G46+E47:G47)/2,$B$19:$D$19)*$B$6</f>
        <v/>
      </c>
      <c r="R46" s="4">
        <f>Q46*J46</f>
        <v/>
      </c>
      <c r="S46" s="4">
        <f>IF(A46=0,SUMPRODUCT((E46:G46+E47:G47)/2,$B$20:$D$20)*$B$6,0)</f>
        <v/>
      </c>
      <c r="T46" s="4">
        <f>S46*J46</f>
        <v/>
      </c>
      <c r="U46" s="4">
        <f>N46+P46+R46+T46</f>
        <v/>
      </c>
      <c r="V46">
        <f>SUMPRODUCT((E46:G46+E47:G47)/2,$B$24:$D$24)*$B$6</f>
        <v/>
      </c>
      <c r="W46" s="5">
        <f>V46*K46</f>
        <v/>
      </c>
      <c r="X46">
        <f>SUMPRODUCT((E46:G46+E47:G47)/2,$B$25:$D$25)*$B$6</f>
        <v/>
      </c>
      <c r="Y46">
        <f>X46*K46</f>
        <v/>
      </c>
    </row>
    <row r="47">
      <c r="A47" t="n">
        <v>18</v>
      </c>
      <c r="B47">
        <f>A47*$B$6</f>
        <v/>
      </c>
      <c r="C47" s="5">
        <f>EXP(-$B$12*B47)</f>
        <v/>
      </c>
      <c r="D47" s="5">
        <f>EXP(-$B$13*B47)</f>
        <v/>
      </c>
      <c r="E47">
        <f>C47</f>
        <v/>
      </c>
      <c r="F47">
        <f>D47-C47</f>
        <v/>
      </c>
      <c r="G47">
        <f>1-D47</f>
        <v/>
      </c>
      <c r="H47">
        <f>SUM(E47:G47)</f>
        <v/>
      </c>
      <c r="I47">
        <f>IF(AND(MIN(C47:D47)&gt;=0,MAX(C47:D47)&lt;=1,MIN(E47:G47)&gt;=-1E-10,ABS(H47-1)&lt;1E-8,C47&lt;=C46+1E-10,D47&lt;=D46+1E-10),"OK","ERROR")</f>
        <v/>
      </c>
      <c r="J47">
        <f>1/(1+$B$4)^(B47+$B$6/2)</f>
        <v/>
      </c>
      <c r="K47">
        <f>1/(1+$B$5)^(B47+$B$6/2)</f>
        <v/>
      </c>
      <c r="L47" t="inlineStr">
        <is>
          <t>Average endpoints</t>
        </is>
      </c>
      <c r="M47" s="4">
        <f>SUMPRODUCT((E47:G47+E48:G48)/2,$B$17:$D$17)*$B$6</f>
        <v/>
      </c>
      <c r="N47" s="4">
        <f>M47*J47</f>
        <v/>
      </c>
      <c r="O47" s="4">
        <f>SUMPRODUCT((E47:G47+E48:G48)/2,$B$18:$D$18)*$B$6</f>
        <v/>
      </c>
      <c r="P47" s="4">
        <f>O47*J47</f>
        <v/>
      </c>
      <c r="Q47" s="4">
        <f>SUMPRODUCT((E47:G47+E48:G48)/2,$B$19:$D$19)*$B$6</f>
        <v/>
      </c>
      <c r="R47" s="4">
        <f>Q47*J47</f>
        <v/>
      </c>
      <c r="S47" s="4">
        <f>IF(A47=0,SUMPRODUCT((E47:G47+E48:G48)/2,$B$20:$D$20)*$B$6,0)</f>
        <v/>
      </c>
      <c r="T47" s="4">
        <f>S47*J47</f>
        <v/>
      </c>
      <c r="U47" s="4">
        <f>N47+P47+R47+T47</f>
        <v/>
      </c>
      <c r="V47">
        <f>SUMPRODUCT((E47:G47+E48:G48)/2,$B$24:$D$24)*$B$6</f>
        <v/>
      </c>
      <c r="W47" s="5">
        <f>V47*K47</f>
        <v/>
      </c>
      <c r="X47">
        <f>SUMPRODUCT((E47:G47+E48:G48)/2,$B$25:$D$25)*$B$6</f>
        <v/>
      </c>
      <c r="Y47">
        <f>X47*K47</f>
        <v/>
      </c>
    </row>
    <row r="48">
      <c r="A48" t="n">
        <v>19</v>
      </c>
      <c r="B48">
        <f>A48*$B$6</f>
        <v/>
      </c>
      <c r="C48" s="5">
        <f>EXP(-$B$12*B48)</f>
        <v/>
      </c>
      <c r="D48" s="5">
        <f>EXP(-$B$13*B48)</f>
        <v/>
      </c>
      <c r="E48">
        <f>C48</f>
        <v/>
      </c>
      <c r="F48">
        <f>D48-C48</f>
        <v/>
      </c>
      <c r="G48">
        <f>1-D48</f>
        <v/>
      </c>
      <c r="H48">
        <f>SUM(E48:G48)</f>
        <v/>
      </c>
      <c r="I48">
        <f>IF(AND(MIN(C48:D48)&gt;=0,MAX(C48:D48)&lt;=1,MIN(E48:G48)&gt;=-1E-10,ABS(H48-1)&lt;1E-8,C48&lt;=C47+1E-10,D48&lt;=D47+1E-10),"OK","ERROR")</f>
        <v/>
      </c>
      <c r="J48">
        <f>1/(1+$B$4)^(B48+$B$6/2)</f>
        <v/>
      </c>
      <c r="K48">
        <f>1/(1+$B$5)^(B48+$B$6/2)</f>
        <v/>
      </c>
      <c r="L48" t="inlineStr">
        <is>
          <t>Average endpoints</t>
        </is>
      </c>
      <c r="M48" s="4">
        <f>SUMPRODUCT((E48:G48+E49:G49)/2,$B$17:$D$17)*$B$6</f>
        <v/>
      </c>
      <c r="N48" s="4">
        <f>M48*J48</f>
        <v/>
      </c>
      <c r="O48" s="4">
        <f>SUMPRODUCT((E48:G48+E49:G49)/2,$B$18:$D$18)*$B$6</f>
        <v/>
      </c>
      <c r="P48" s="4">
        <f>O48*J48</f>
        <v/>
      </c>
      <c r="Q48" s="4">
        <f>SUMPRODUCT((E48:G48+E49:G49)/2,$B$19:$D$19)*$B$6</f>
        <v/>
      </c>
      <c r="R48" s="4">
        <f>Q48*J48</f>
        <v/>
      </c>
      <c r="S48" s="4">
        <f>IF(A48=0,SUMPRODUCT((E48:G48+E49:G49)/2,$B$20:$D$20)*$B$6,0)</f>
        <v/>
      </c>
      <c r="T48" s="4">
        <f>S48*J48</f>
        <v/>
      </c>
      <c r="U48" s="4">
        <f>N48+P48+R48+T48</f>
        <v/>
      </c>
      <c r="V48">
        <f>SUMPRODUCT((E48:G48+E49:G49)/2,$B$24:$D$24)*$B$6</f>
        <v/>
      </c>
      <c r="W48" s="5">
        <f>V48*K48</f>
        <v/>
      </c>
      <c r="X48">
        <f>SUMPRODUCT((E48:G48+E49:G49)/2,$B$25:$D$25)*$B$6</f>
        <v/>
      </c>
      <c r="Y48">
        <f>X48*K48</f>
        <v/>
      </c>
    </row>
    <row r="49">
      <c r="A49" t="n">
        <v>20</v>
      </c>
      <c r="B49">
        <f>A49*$B$6</f>
        <v/>
      </c>
      <c r="C49" s="5">
        <f>EXP(-$B$12*B49)</f>
        <v/>
      </c>
      <c r="D49" s="5">
        <f>EXP(-$B$13*B49)</f>
        <v/>
      </c>
      <c r="E49">
        <f>C49</f>
        <v/>
      </c>
      <c r="F49">
        <f>D49-C49</f>
        <v/>
      </c>
      <c r="G49">
        <f>1-D49</f>
        <v/>
      </c>
      <c r="H49">
        <f>SUM(E49:G49)</f>
        <v/>
      </c>
      <c r="I49">
        <f>IF(AND(MIN(C49:D49)&gt;=0,MAX(C49:D49)&lt;=1,MIN(E49:G49)&gt;=-1E-10,ABS(H49-1)&lt;1E-8,C49&lt;=C48+1E-10,D49&lt;=D48+1E-10),"OK","ERROR")</f>
        <v/>
      </c>
      <c r="J49">
        <f>1/(1+$B$4)^(B49+$B$6/2)</f>
        <v/>
      </c>
      <c r="K49">
        <f>1/(1+$B$5)^(B49+$B$6/2)</f>
        <v/>
      </c>
      <c r="L49" t="inlineStr">
        <is>
          <t>Average endpoints</t>
        </is>
      </c>
      <c r="M49" s="4">
        <f>SUMPRODUCT((E49:G49+E50:G50)/2,$B$17:$D$17)*$B$6</f>
        <v/>
      </c>
      <c r="N49" s="4">
        <f>M49*J49</f>
        <v/>
      </c>
      <c r="O49" s="4">
        <f>SUMPRODUCT((E49:G49+E50:G50)/2,$B$18:$D$18)*$B$6</f>
        <v/>
      </c>
      <c r="P49" s="4">
        <f>O49*J49</f>
        <v/>
      </c>
      <c r="Q49" s="4">
        <f>SUMPRODUCT((E49:G49+E50:G50)/2,$B$19:$D$19)*$B$6</f>
        <v/>
      </c>
      <c r="R49" s="4">
        <f>Q49*J49</f>
        <v/>
      </c>
      <c r="S49" s="4">
        <f>IF(A49=0,SUMPRODUCT((E49:G49+E50:G50)/2,$B$20:$D$20)*$B$6,0)</f>
        <v/>
      </c>
      <c r="T49" s="4">
        <f>S49*J49</f>
        <v/>
      </c>
      <c r="U49" s="4">
        <f>N49+P49+R49+T49</f>
        <v/>
      </c>
      <c r="V49">
        <f>SUMPRODUCT((E49:G49+E50:G50)/2,$B$24:$D$24)*$B$6</f>
        <v/>
      </c>
      <c r="W49" s="5">
        <f>V49*K49</f>
        <v/>
      </c>
      <c r="X49">
        <f>SUMPRODUCT((E49:G49+E50:G50)/2,$B$25:$D$25)*$B$6</f>
        <v/>
      </c>
      <c r="Y49">
        <f>X49*K49</f>
        <v/>
      </c>
    </row>
    <row r="50">
      <c r="A50" t="n">
        <v>21</v>
      </c>
      <c r="B50">
        <f>A50*$B$6</f>
        <v/>
      </c>
      <c r="C50" s="5">
        <f>EXP(-$B$12*B50)</f>
        <v/>
      </c>
      <c r="D50" s="5">
        <f>EXP(-$B$13*B50)</f>
        <v/>
      </c>
      <c r="E50">
        <f>C50</f>
        <v/>
      </c>
      <c r="F50">
        <f>D50-C50</f>
        <v/>
      </c>
      <c r="G50">
        <f>1-D50</f>
        <v/>
      </c>
      <c r="H50">
        <f>SUM(E50:G50)</f>
        <v/>
      </c>
      <c r="I50">
        <f>IF(AND(MIN(C50:D50)&gt;=0,MAX(C50:D50)&lt;=1,MIN(E50:G50)&gt;=-1E-10,ABS(H50-1)&lt;1E-8,C50&lt;=C49+1E-10,D50&lt;=D49+1E-10),"OK","ERROR")</f>
        <v/>
      </c>
      <c r="J50">
        <f>1/(1+$B$4)^(B50+$B$6/2)</f>
        <v/>
      </c>
      <c r="K50">
        <f>1/(1+$B$5)^(B50+$B$6/2)</f>
        <v/>
      </c>
      <c r="L50" t="inlineStr">
        <is>
          <t>Average endpoints</t>
        </is>
      </c>
      <c r="M50" s="4">
        <f>SUMPRODUCT((E50:G50+E51:G51)/2,$B$17:$D$17)*$B$6</f>
        <v/>
      </c>
      <c r="N50" s="4">
        <f>M50*J50</f>
        <v/>
      </c>
      <c r="O50" s="4">
        <f>SUMPRODUCT((E50:G50+E51:G51)/2,$B$18:$D$18)*$B$6</f>
        <v/>
      </c>
      <c r="P50" s="4">
        <f>O50*J50</f>
        <v/>
      </c>
      <c r="Q50" s="4">
        <f>SUMPRODUCT((E50:G50+E51:G51)/2,$B$19:$D$19)*$B$6</f>
        <v/>
      </c>
      <c r="R50" s="4">
        <f>Q50*J50</f>
        <v/>
      </c>
      <c r="S50" s="4">
        <f>IF(A50=0,SUMPRODUCT((E50:G50+E51:G51)/2,$B$20:$D$20)*$B$6,0)</f>
        <v/>
      </c>
      <c r="T50" s="4">
        <f>S50*J50</f>
        <v/>
      </c>
      <c r="U50" s="4">
        <f>N50+P50+R50+T50</f>
        <v/>
      </c>
      <c r="V50">
        <f>SUMPRODUCT((E50:G50+E51:G51)/2,$B$24:$D$24)*$B$6</f>
        <v/>
      </c>
      <c r="W50" s="5">
        <f>V50*K50</f>
        <v/>
      </c>
      <c r="X50">
        <f>SUMPRODUCT((E50:G50+E51:G51)/2,$B$25:$D$25)*$B$6</f>
        <v/>
      </c>
      <c r="Y50">
        <f>X50*K50</f>
        <v/>
      </c>
    </row>
    <row r="51">
      <c r="A51" t="n">
        <v>22</v>
      </c>
      <c r="B51">
        <f>A51*$B$6</f>
        <v/>
      </c>
      <c r="C51" s="5">
        <f>EXP(-$B$12*B51)</f>
        <v/>
      </c>
      <c r="D51" s="5">
        <f>EXP(-$B$13*B51)</f>
        <v/>
      </c>
      <c r="E51">
        <f>C51</f>
        <v/>
      </c>
      <c r="F51">
        <f>D51-C51</f>
        <v/>
      </c>
      <c r="G51">
        <f>1-D51</f>
        <v/>
      </c>
      <c r="H51">
        <f>SUM(E51:G51)</f>
        <v/>
      </c>
      <c r="I51">
        <f>IF(AND(MIN(C51:D51)&gt;=0,MAX(C51:D51)&lt;=1,MIN(E51:G51)&gt;=-1E-10,ABS(H51-1)&lt;1E-8,C51&lt;=C50+1E-10,D51&lt;=D50+1E-10),"OK","ERROR")</f>
        <v/>
      </c>
      <c r="J51">
        <f>1/(1+$B$4)^(B51+$B$6/2)</f>
        <v/>
      </c>
      <c r="K51">
        <f>1/(1+$B$5)^(B51+$B$6/2)</f>
        <v/>
      </c>
      <c r="L51" t="inlineStr">
        <is>
          <t>Average endpoints</t>
        </is>
      </c>
      <c r="M51" s="4">
        <f>SUMPRODUCT((E51:G51+E52:G52)/2,$B$17:$D$17)*$B$6</f>
        <v/>
      </c>
      <c r="N51" s="4">
        <f>M51*J51</f>
        <v/>
      </c>
      <c r="O51" s="4">
        <f>SUMPRODUCT((E51:G51+E52:G52)/2,$B$18:$D$18)*$B$6</f>
        <v/>
      </c>
      <c r="P51" s="4">
        <f>O51*J51</f>
        <v/>
      </c>
      <c r="Q51" s="4">
        <f>SUMPRODUCT((E51:G51+E52:G52)/2,$B$19:$D$19)*$B$6</f>
        <v/>
      </c>
      <c r="R51" s="4">
        <f>Q51*J51</f>
        <v/>
      </c>
      <c r="S51" s="4">
        <f>IF(A51=0,SUMPRODUCT((E51:G51+E52:G52)/2,$B$20:$D$20)*$B$6,0)</f>
        <v/>
      </c>
      <c r="T51" s="4">
        <f>S51*J51</f>
        <v/>
      </c>
      <c r="U51" s="4">
        <f>N51+P51+R51+T51</f>
        <v/>
      </c>
      <c r="V51">
        <f>SUMPRODUCT((E51:G51+E52:G52)/2,$B$24:$D$24)*$B$6</f>
        <v/>
      </c>
      <c r="W51" s="5">
        <f>V51*K51</f>
        <v/>
      </c>
      <c r="X51">
        <f>SUMPRODUCT((E51:G51+E52:G52)/2,$B$25:$D$25)*$B$6</f>
        <v/>
      </c>
      <c r="Y51">
        <f>X51*K51</f>
        <v/>
      </c>
    </row>
    <row r="52">
      <c r="A52" t="n">
        <v>23</v>
      </c>
      <c r="B52">
        <f>A52*$B$6</f>
        <v/>
      </c>
      <c r="C52" s="5">
        <f>EXP(-$B$12*B52)</f>
        <v/>
      </c>
      <c r="D52" s="5">
        <f>EXP(-$B$13*B52)</f>
        <v/>
      </c>
      <c r="E52">
        <f>C52</f>
        <v/>
      </c>
      <c r="F52">
        <f>D52-C52</f>
        <v/>
      </c>
      <c r="G52">
        <f>1-D52</f>
        <v/>
      </c>
      <c r="H52">
        <f>SUM(E52:G52)</f>
        <v/>
      </c>
      <c r="I52">
        <f>IF(AND(MIN(C52:D52)&gt;=0,MAX(C52:D52)&lt;=1,MIN(E52:G52)&gt;=-1E-10,ABS(H52-1)&lt;1E-8,C52&lt;=C51+1E-10,D52&lt;=D51+1E-10),"OK","ERROR")</f>
        <v/>
      </c>
      <c r="J52">
        <f>1/(1+$B$4)^(B52+$B$6/2)</f>
        <v/>
      </c>
      <c r="K52">
        <f>1/(1+$B$5)^(B52+$B$6/2)</f>
        <v/>
      </c>
      <c r="L52" t="inlineStr">
        <is>
          <t>Average endpoints</t>
        </is>
      </c>
      <c r="M52" s="4">
        <f>SUMPRODUCT((E52:G52+E53:G53)/2,$B$17:$D$17)*$B$6</f>
        <v/>
      </c>
      <c r="N52" s="4">
        <f>M52*J52</f>
        <v/>
      </c>
      <c r="O52" s="4">
        <f>SUMPRODUCT((E52:G52+E53:G53)/2,$B$18:$D$18)*$B$6</f>
        <v/>
      </c>
      <c r="P52" s="4">
        <f>O52*J52</f>
        <v/>
      </c>
      <c r="Q52" s="4">
        <f>SUMPRODUCT((E52:G52+E53:G53)/2,$B$19:$D$19)*$B$6</f>
        <v/>
      </c>
      <c r="R52" s="4">
        <f>Q52*J52</f>
        <v/>
      </c>
      <c r="S52" s="4">
        <f>IF(A52=0,SUMPRODUCT((E52:G52+E53:G53)/2,$B$20:$D$20)*$B$6,0)</f>
        <v/>
      </c>
      <c r="T52" s="4">
        <f>S52*J52</f>
        <v/>
      </c>
      <c r="U52" s="4">
        <f>N52+P52+R52+T52</f>
        <v/>
      </c>
      <c r="V52">
        <f>SUMPRODUCT((E52:G52+E53:G53)/2,$B$24:$D$24)*$B$6</f>
        <v/>
      </c>
      <c r="W52" s="5">
        <f>V52*K52</f>
        <v/>
      </c>
      <c r="X52">
        <f>SUMPRODUCT((E52:G52+E53:G53)/2,$B$25:$D$25)*$B$6</f>
        <v/>
      </c>
      <c r="Y52">
        <f>X52*K52</f>
        <v/>
      </c>
    </row>
    <row r="53">
      <c r="A53" t="n">
        <v>24</v>
      </c>
      <c r="B53">
        <f>A53*$B$6</f>
        <v/>
      </c>
      <c r="C53" s="5">
        <f>EXP(-$B$12*B53)</f>
        <v/>
      </c>
      <c r="D53" s="5">
        <f>EXP(-$B$13*B53)</f>
        <v/>
      </c>
      <c r="E53">
        <f>C53</f>
        <v/>
      </c>
      <c r="F53">
        <f>D53-C53</f>
        <v/>
      </c>
      <c r="G53">
        <f>1-D53</f>
        <v/>
      </c>
      <c r="H53">
        <f>SUM(E53:G53)</f>
        <v/>
      </c>
      <c r="I53">
        <f>IF(AND(MIN(C53:D53)&gt;=0,MAX(C53:D53)&lt;=1,MIN(E53:G53)&gt;=-1E-10,ABS(H53-1)&lt;1E-8,C53&lt;=C52+1E-10,D53&lt;=D52+1E-10),"OK","ERROR")</f>
        <v/>
      </c>
      <c r="J53">
        <f>1/(1+$B$4)^(B53+$B$6/2)</f>
        <v/>
      </c>
      <c r="K53">
        <f>1/(1+$B$5)^(B53+$B$6/2)</f>
        <v/>
      </c>
      <c r="L53" t="inlineStr">
        <is>
          <t>Average endpoints</t>
        </is>
      </c>
      <c r="M53" s="4">
        <f>SUMPRODUCT((E53:G53+E54:G54)/2,$B$17:$D$17)*$B$6</f>
        <v/>
      </c>
      <c r="N53" s="4">
        <f>M53*J53</f>
        <v/>
      </c>
      <c r="O53" s="4">
        <f>SUMPRODUCT((E53:G53+E54:G54)/2,$B$18:$D$18)*$B$6</f>
        <v/>
      </c>
      <c r="P53" s="4">
        <f>O53*J53</f>
        <v/>
      </c>
      <c r="Q53" s="4">
        <f>SUMPRODUCT((E53:G53+E54:G54)/2,$B$19:$D$19)*$B$6</f>
        <v/>
      </c>
      <c r="R53" s="4">
        <f>Q53*J53</f>
        <v/>
      </c>
      <c r="S53" s="4">
        <f>IF(A53=0,SUMPRODUCT((E53:G53+E54:G54)/2,$B$20:$D$20)*$B$6,0)</f>
        <v/>
      </c>
      <c r="T53" s="4">
        <f>S53*J53</f>
        <v/>
      </c>
      <c r="U53" s="4">
        <f>N53+P53+R53+T53</f>
        <v/>
      </c>
      <c r="V53">
        <f>SUMPRODUCT((E53:G53+E54:G54)/2,$B$24:$D$24)*$B$6</f>
        <v/>
      </c>
      <c r="W53" s="5">
        <f>V53*K53</f>
        <v/>
      </c>
      <c r="X53">
        <f>SUMPRODUCT((E53:G53+E54:G54)/2,$B$25:$D$25)*$B$6</f>
        <v/>
      </c>
      <c r="Y53">
        <f>X53*K53</f>
        <v/>
      </c>
    </row>
    <row r="54">
      <c r="A54" t="n">
        <v>25</v>
      </c>
      <c r="B54">
        <f>A54*$B$6</f>
        <v/>
      </c>
      <c r="C54" s="5">
        <f>EXP(-$B$12*B54)</f>
        <v/>
      </c>
      <c r="D54" s="5">
        <f>EXP(-$B$13*B54)</f>
        <v/>
      </c>
      <c r="E54">
        <f>C54</f>
        <v/>
      </c>
      <c r="F54">
        <f>D54-C54</f>
        <v/>
      </c>
      <c r="G54">
        <f>1-D54</f>
        <v/>
      </c>
      <c r="H54">
        <f>SUM(E54:G54)</f>
        <v/>
      </c>
      <c r="I54">
        <f>IF(AND(MIN(C54:D54)&gt;=0,MAX(C54:D54)&lt;=1,MIN(E54:G54)&gt;=-1E-10,ABS(H54-1)&lt;1E-8,C54&lt;=C53+1E-10,D54&lt;=D53+1E-10),"OK","ERROR")</f>
        <v/>
      </c>
      <c r="J54">
        <f>1/(1+$B$4)^(B54+$B$6/2)</f>
        <v/>
      </c>
      <c r="K54">
        <f>1/(1+$B$5)^(B54+$B$6/2)</f>
        <v/>
      </c>
      <c r="L54" t="inlineStr">
        <is>
          <t>Average endpoints</t>
        </is>
      </c>
      <c r="M54" s="4">
        <f>SUMPRODUCT((E54:G54+E55:G55)/2,$B$17:$D$17)*$B$6</f>
        <v/>
      </c>
      <c r="N54" s="4">
        <f>M54*J54</f>
        <v/>
      </c>
      <c r="O54" s="4">
        <f>SUMPRODUCT((E54:G54+E55:G55)/2,$B$18:$D$18)*$B$6</f>
        <v/>
      </c>
      <c r="P54" s="4">
        <f>O54*J54</f>
        <v/>
      </c>
      <c r="Q54" s="4">
        <f>SUMPRODUCT((E54:G54+E55:G55)/2,$B$19:$D$19)*$B$6</f>
        <v/>
      </c>
      <c r="R54" s="4">
        <f>Q54*J54</f>
        <v/>
      </c>
      <c r="S54" s="4">
        <f>IF(A54=0,SUMPRODUCT((E54:G54+E55:G55)/2,$B$20:$D$20)*$B$6,0)</f>
        <v/>
      </c>
      <c r="T54" s="4">
        <f>S54*J54</f>
        <v/>
      </c>
      <c r="U54" s="4">
        <f>N54+P54+R54+T54</f>
        <v/>
      </c>
      <c r="V54">
        <f>SUMPRODUCT((E54:G54+E55:G55)/2,$B$24:$D$24)*$B$6</f>
        <v/>
      </c>
      <c r="W54" s="5">
        <f>V54*K54</f>
        <v/>
      </c>
      <c r="X54">
        <f>SUMPRODUCT((E54:G54+E55:G55)/2,$B$25:$D$25)*$B$6</f>
        <v/>
      </c>
      <c r="Y54">
        <f>X54*K54</f>
        <v/>
      </c>
    </row>
    <row r="55">
      <c r="A55" t="n">
        <v>26</v>
      </c>
      <c r="B55">
        <f>A55*$B$6</f>
        <v/>
      </c>
      <c r="C55" s="5">
        <f>EXP(-$B$12*B55)</f>
        <v/>
      </c>
      <c r="D55" s="5">
        <f>EXP(-$B$13*B55)</f>
        <v/>
      </c>
      <c r="E55">
        <f>C55</f>
        <v/>
      </c>
      <c r="F55">
        <f>D55-C55</f>
        <v/>
      </c>
      <c r="G55">
        <f>1-D55</f>
        <v/>
      </c>
      <c r="H55">
        <f>SUM(E55:G55)</f>
        <v/>
      </c>
      <c r="I55">
        <f>IF(AND(MIN(C55:D55)&gt;=0,MAX(C55:D55)&lt;=1,MIN(E55:G55)&gt;=-1E-10,ABS(H55-1)&lt;1E-8,C55&lt;=C54+1E-10,D55&lt;=D54+1E-10),"OK","ERROR")</f>
        <v/>
      </c>
      <c r="J55">
        <f>1/(1+$B$4)^(B55+$B$6/2)</f>
        <v/>
      </c>
      <c r="K55">
        <f>1/(1+$B$5)^(B55+$B$6/2)</f>
        <v/>
      </c>
      <c r="L55" t="inlineStr">
        <is>
          <t>Average endpoints</t>
        </is>
      </c>
      <c r="M55" s="4">
        <f>SUMPRODUCT((E55:G55+E56:G56)/2,$B$17:$D$17)*$B$6</f>
        <v/>
      </c>
      <c r="N55" s="4">
        <f>M55*J55</f>
        <v/>
      </c>
      <c r="O55" s="4">
        <f>SUMPRODUCT((E55:G55+E56:G56)/2,$B$18:$D$18)*$B$6</f>
        <v/>
      </c>
      <c r="P55" s="4">
        <f>O55*J55</f>
        <v/>
      </c>
      <c r="Q55" s="4">
        <f>SUMPRODUCT((E55:G55+E56:G56)/2,$B$19:$D$19)*$B$6</f>
        <v/>
      </c>
      <c r="R55" s="4">
        <f>Q55*J55</f>
        <v/>
      </c>
      <c r="S55" s="4">
        <f>IF(A55=0,SUMPRODUCT((E55:G55+E56:G56)/2,$B$20:$D$20)*$B$6,0)</f>
        <v/>
      </c>
      <c r="T55" s="4">
        <f>S55*J55</f>
        <v/>
      </c>
      <c r="U55" s="4">
        <f>N55+P55+R55+T55</f>
        <v/>
      </c>
      <c r="V55">
        <f>SUMPRODUCT((E55:G55+E56:G56)/2,$B$24:$D$24)*$B$6</f>
        <v/>
      </c>
      <c r="W55" s="5">
        <f>V55*K55</f>
        <v/>
      </c>
      <c r="X55">
        <f>SUMPRODUCT((E55:G55+E56:G56)/2,$B$25:$D$25)*$B$6</f>
        <v/>
      </c>
      <c r="Y55">
        <f>X55*K55</f>
        <v/>
      </c>
    </row>
    <row r="56">
      <c r="A56" t="n">
        <v>27</v>
      </c>
      <c r="B56">
        <f>A56*$B$6</f>
        <v/>
      </c>
      <c r="C56" s="5">
        <f>EXP(-$B$12*B56)</f>
        <v/>
      </c>
      <c r="D56" s="5">
        <f>EXP(-$B$13*B56)</f>
        <v/>
      </c>
      <c r="E56">
        <f>C56</f>
        <v/>
      </c>
      <c r="F56">
        <f>D56-C56</f>
        <v/>
      </c>
      <c r="G56">
        <f>1-D56</f>
        <v/>
      </c>
      <c r="H56">
        <f>SUM(E56:G56)</f>
        <v/>
      </c>
      <c r="I56">
        <f>IF(AND(MIN(C56:D56)&gt;=0,MAX(C56:D56)&lt;=1,MIN(E56:G56)&gt;=-1E-10,ABS(H56-1)&lt;1E-8,C56&lt;=C55+1E-10,D56&lt;=D55+1E-10),"OK","ERROR")</f>
        <v/>
      </c>
      <c r="J56">
        <f>1/(1+$B$4)^(B56+$B$6/2)</f>
        <v/>
      </c>
      <c r="K56">
        <f>1/(1+$B$5)^(B56+$B$6/2)</f>
        <v/>
      </c>
      <c r="L56" t="inlineStr">
        <is>
          <t>Average endpoints</t>
        </is>
      </c>
      <c r="M56" s="4">
        <f>SUMPRODUCT((E56:G56+E57:G57)/2,$B$17:$D$17)*$B$6</f>
        <v/>
      </c>
      <c r="N56" s="4">
        <f>M56*J56</f>
        <v/>
      </c>
      <c r="O56" s="4">
        <f>SUMPRODUCT((E56:G56+E57:G57)/2,$B$18:$D$18)*$B$6</f>
        <v/>
      </c>
      <c r="P56" s="4">
        <f>O56*J56</f>
        <v/>
      </c>
      <c r="Q56" s="4">
        <f>SUMPRODUCT((E56:G56+E57:G57)/2,$B$19:$D$19)*$B$6</f>
        <v/>
      </c>
      <c r="R56" s="4">
        <f>Q56*J56</f>
        <v/>
      </c>
      <c r="S56" s="4">
        <f>IF(A56=0,SUMPRODUCT((E56:G56+E57:G57)/2,$B$20:$D$20)*$B$6,0)</f>
        <v/>
      </c>
      <c r="T56" s="4">
        <f>S56*J56</f>
        <v/>
      </c>
      <c r="U56" s="4">
        <f>N56+P56+R56+T56</f>
        <v/>
      </c>
      <c r="V56">
        <f>SUMPRODUCT((E56:G56+E57:G57)/2,$B$24:$D$24)*$B$6</f>
        <v/>
      </c>
      <c r="W56" s="5">
        <f>V56*K56</f>
        <v/>
      </c>
      <c r="X56">
        <f>SUMPRODUCT((E56:G56+E57:G57)/2,$B$25:$D$25)*$B$6</f>
        <v/>
      </c>
      <c r="Y56">
        <f>X56*K56</f>
        <v/>
      </c>
    </row>
    <row r="57">
      <c r="A57" t="n">
        <v>28</v>
      </c>
      <c r="B57">
        <f>A57*$B$6</f>
        <v/>
      </c>
      <c r="C57" s="5">
        <f>EXP(-$B$12*B57)</f>
        <v/>
      </c>
      <c r="D57" s="5">
        <f>EXP(-$B$13*B57)</f>
        <v/>
      </c>
      <c r="E57">
        <f>C57</f>
        <v/>
      </c>
      <c r="F57">
        <f>D57-C57</f>
        <v/>
      </c>
      <c r="G57">
        <f>1-D57</f>
        <v/>
      </c>
      <c r="H57">
        <f>SUM(E57:G57)</f>
        <v/>
      </c>
      <c r="I57">
        <f>IF(AND(MIN(C57:D57)&gt;=0,MAX(C57:D57)&lt;=1,MIN(E57:G57)&gt;=-1E-10,ABS(H57-1)&lt;1E-8,C57&lt;=C56+1E-10,D57&lt;=D56+1E-10),"OK","ERROR")</f>
        <v/>
      </c>
      <c r="J57">
        <f>1/(1+$B$4)^(B57+$B$6/2)</f>
        <v/>
      </c>
      <c r="K57">
        <f>1/(1+$B$5)^(B57+$B$6/2)</f>
        <v/>
      </c>
      <c r="L57" t="inlineStr">
        <is>
          <t>Average endpoints</t>
        </is>
      </c>
      <c r="M57" s="4">
        <f>SUMPRODUCT((E57:G57+E58:G58)/2,$B$17:$D$17)*$B$6</f>
        <v/>
      </c>
      <c r="N57" s="4">
        <f>M57*J57</f>
        <v/>
      </c>
      <c r="O57" s="4">
        <f>SUMPRODUCT((E57:G57+E58:G58)/2,$B$18:$D$18)*$B$6</f>
        <v/>
      </c>
      <c r="P57" s="4">
        <f>O57*J57</f>
        <v/>
      </c>
      <c r="Q57" s="4">
        <f>SUMPRODUCT((E57:G57+E58:G58)/2,$B$19:$D$19)*$B$6</f>
        <v/>
      </c>
      <c r="R57" s="4">
        <f>Q57*J57</f>
        <v/>
      </c>
      <c r="S57" s="4">
        <f>IF(A57=0,SUMPRODUCT((E57:G57+E58:G58)/2,$B$20:$D$20)*$B$6,0)</f>
        <v/>
      </c>
      <c r="T57" s="4">
        <f>S57*J57</f>
        <v/>
      </c>
      <c r="U57" s="4">
        <f>N57+P57+R57+T57</f>
        <v/>
      </c>
      <c r="V57">
        <f>SUMPRODUCT((E57:G57+E58:G58)/2,$B$24:$D$24)*$B$6</f>
        <v/>
      </c>
      <c r="W57" s="5">
        <f>V57*K57</f>
        <v/>
      </c>
      <c r="X57">
        <f>SUMPRODUCT((E57:G57+E58:G58)/2,$B$25:$D$25)*$B$6</f>
        <v/>
      </c>
      <c r="Y57">
        <f>X57*K57</f>
        <v/>
      </c>
    </row>
    <row r="58">
      <c r="A58" t="n">
        <v>29</v>
      </c>
      <c r="B58">
        <f>A58*$B$6</f>
        <v/>
      </c>
      <c r="C58" s="5">
        <f>EXP(-$B$12*B58)</f>
        <v/>
      </c>
      <c r="D58" s="5">
        <f>EXP(-$B$13*B58)</f>
        <v/>
      </c>
      <c r="E58">
        <f>C58</f>
        <v/>
      </c>
      <c r="F58">
        <f>D58-C58</f>
        <v/>
      </c>
      <c r="G58">
        <f>1-D58</f>
        <v/>
      </c>
      <c r="H58">
        <f>SUM(E58:G58)</f>
        <v/>
      </c>
      <c r="I58">
        <f>IF(AND(MIN(C58:D58)&gt;=0,MAX(C58:D58)&lt;=1,MIN(E58:G58)&gt;=-1E-10,ABS(H58-1)&lt;1E-8,C58&lt;=C57+1E-10,D58&lt;=D57+1E-10),"OK","ERROR")</f>
        <v/>
      </c>
      <c r="J58">
        <f>1/(1+$B$4)^(B58+$B$6/2)</f>
        <v/>
      </c>
      <c r="K58">
        <f>1/(1+$B$5)^(B58+$B$6/2)</f>
        <v/>
      </c>
      <c r="L58" t="inlineStr">
        <is>
          <t>Average endpoints</t>
        </is>
      </c>
      <c r="M58" s="4">
        <f>SUMPRODUCT((E58:G58+E59:G59)/2,$B$17:$D$17)*$B$6</f>
        <v/>
      </c>
      <c r="N58" s="4">
        <f>M58*J58</f>
        <v/>
      </c>
      <c r="O58" s="4">
        <f>SUMPRODUCT((E58:G58+E59:G59)/2,$B$18:$D$18)*$B$6</f>
        <v/>
      </c>
      <c r="P58" s="4">
        <f>O58*J58</f>
        <v/>
      </c>
      <c r="Q58" s="4">
        <f>SUMPRODUCT((E58:G58+E59:G59)/2,$B$19:$D$19)*$B$6</f>
        <v/>
      </c>
      <c r="R58" s="4">
        <f>Q58*J58</f>
        <v/>
      </c>
      <c r="S58" s="4">
        <f>IF(A58=0,SUMPRODUCT((E58:G58+E59:G59)/2,$B$20:$D$20)*$B$6,0)</f>
        <v/>
      </c>
      <c r="T58" s="4">
        <f>S58*J58</f>
        <v/>
      </c>
      <c r="U58" s="4">
        <f>N58+P58+R58+T58</f>
        <v/>
      </c>
      <c r="V58">
        <f>SUMPRODUCT((E58:G58+E59:G59)/2,$B$24:$D$24)*$B$6</f>
        <v/>
      </c>
      <c r="W58" s="5">
        <f>V58*K58</f>
        <v/>
      </c>
      <c r="X58">
        <f>SUMPRODUCT((E58:G58+E59:G59)/2,$B$25:$D$25)*$B$6</f>
        <v/>
      </c>
      <c r="Y58">
        <f>X58*K58</f>
        <v/>
      </c>
    </row>
    <row r="59">
      <c r="A59" t="n">
        <v>30</v>
      </c>
      <c r="B59">
        <f>A59*$B$6</f>
        <v/>
      </c>
      <c r="C59" s="5">
        <f>EXP(-$B$12*B59)</f>
        <v/>
      </c>
      <c r="D59" s="5">
        <f>EXP(-$B$13*B59)</f>
        <v/>
      </c>
      <c r="E59">
        <f>C59</f>
        <v/>
      </c>
      <c r="F59">
        <f>D59-C59</f>
        <v/>
      </c>
      <c r="G59">
        <f>1-D59</f>
        <v/>
      </c>
      <c r="H59">
        <f>SUM(E59:G59)</f>
        <v/>
      </c>
      <c r="I59">
        <f>IF(AND(MIN(C59:D59)&gt;=0,MAX(C59:D59)&lt;=1,MIN(E59:G59)&gt;=-1E-10,ABS(H59-1)&lt;1E-8,C59&lt;=C58+1E-10,D59&lt;=D58+1E-10),"OK","ERROR")</f>
        <v/>
      </c>
      <c r="J59">
        <f>1/(1+$B$4)^(B59+$B$6/2)</f>
        <v/>
      </c>
      <c r="K59">
        <f>1/(1+$B$5)^(B59+$B$6/2)</f>
        <v/>
      </c>
      <c r="L59" t="inlineStr">
        <is>
          <t>Average endpoints</t>
        </is>
      </c>
      <c r="M59" s="4">
        <f>SUMPRODUCT((E59:G59+E60:G60)/2,$B$17:$D$17)*$B$6</f>
        <v/>
      </c>
      <c r="N59" s="4">
        <f>M59*J59</f>
        <v/>
      </c>
      <c r="O59" s="4">
        <f>SUMPRODUCT((E59:G59+E60:G60)/2,$B$18:$D$18)*$B$6</f>
        <v/>
      </c>
      <c r="P59" s="4">
        <f>O59*J59</f>
        <v/>
      </c>
      <c r="Q59" s="4">
        <f>SUMPRODUCT((E59:G59+E60:G60)/2,$B$19:$D$19)*$B$6</f>
        <v/>
      </c>
      <c r="R59" s="4">
        <f>Q59*J59</f>
        <v/>
      </c>
      <c r="S59" s="4">
        <f>IF(A59=0,SUMPRODUCT((E59:G59+E60:G60)/2,$B$20:$D$20)*$B$6,0)</f>
        <v/>
      </c>
      <c r="T59" s="4">
        <f>S59*J59</f>
        <v/>
      </c>
      <c r="U59" s="4">
        <f>N59+P59+R59+T59</f>
        <v/>
      </c>
      <c r="V59">
        <f>SUMPRODUCT((E59:G59+E60:G60)/2,$B$24:$D$24)*$B$6</f>
        <v/>
      </c>
      <c r="W59" s="5">
        <f>V59*K59</f>
        <v/>
      </c>
      <c r="X59">
        <f>SUMPRODUCT((E59:G59+E60:G60)/2,$B$25:$D$25)*$B$6</f>
        <v/>
      </c>
      <c r="Y59">
        <f>X59*K59</f>
        <v/>
      </c>
    </row>
    <row r="60">
      <c r="A60" t="n">
        <v>31</v>
      </c>
      <c r="B60">
        <f>A60*$B$6</f>
        <v/>
      </c>
      <c r="C60" s="5">
        <f>EXP(-$B$12*B60)</f>
        <v/>
      </c>
      <c r="D60" s="5">
        <f>EXP(-$B$13*B60)</f>
        <v/>
      </c>
      <c r="E60">
        <f>C60</f>
        <v/>
      </c>
      <c r="F60">
        <f>D60-C60</f>
        <v/>
      </c>
      <c r="G60">
        <f>1-D60</f>
        <v/>
      </c>
      <c r="H60">
        <f>SUM(E60:G60)</f>
        <v/>
      </c>
      <c r="I60">
        <f>IF(AND(MIN(C60:D60)&gt;=0,MAX(C60:D60)&lt;=1,MIN(E60:G60)&gt;=-1E-10,ABS(H60-1)&lt;1E-8,C60&lt;=C59+1E-10,D60&lt;=D59+1E-10),"OK","ERROR")</f>
        <v/>
      </c>
      <c r="J60">
        <f>1/(1+$B$4)^(B60+$B$6/2)</f>
        <v/>
      </c>
      <c r="K60">
        <f>1/(1+$B$5)^(B60+$B$6/2)</f>
        <v/>
      </c>
      <c r="L60" t="inlineStr">
        <is>
          <t>Average endpoints</t>
        </is>
      </c>
      <c r="M60" s="4">
        <f>SUMPRODUCT((E60:G60+E61:G61)/2,$B$17:$D$17)*$B$6</f>
        <v/>
      </c>
      <c r="N60" s="4">
        <f>M60*J60</f>
        <v/>
      </c>
      <c r="O60" s="4">
        <f>SUMPRODUCT((E60:G60+E61:G61)/2,$B$18:$D$18)*$B$6</f>
        <v/>
      </c>
      <c r="P60" s="4">
        <f>O60*J60</f>
        <v/>
      </c>
      <c r="Q60" s="4">
        <f>SUMPRODUCT((E60:G60+E61:G61)/2,$B$19:$D$19)*$B$6</f>
        <v/>
      </c>
      <c r="R60" s="4">
        <f>Q60*J60</f>
        <v/>
      </c>
      <c r="S60" s="4">
        <f>IF(A60=0,SUMPRODUCT((E60:G60+E61:G61)/2,$B$20:$D$20)*$B$6,0)</f>
        <v/>
      </c>
      <c r="T60" s="4">
        <f>S60*J60</f>
        <v/>
      </c>
      <c r="U60" s="4">
        <f>N60+P60+R60+T60</f>
        <v/>
      </c>
      <c r="V60">
        <f>SUMPRODUCT((E60:G60+E61:G61)/2,$B$24:$D$24)*$B$6</f>
        <v/>
      </c>
      <c r="W60" s="5">
        <f>V60*K60</f>
        <v/>
      </c>
      <c r="X60">
        <f>SUMPRODUCT((E60:G60+E61:G61)/2,$B$25:$D$25)*$B$6</f>
        <v/>
      </c>
      <c r="Y60">
        <f>X60*K60</f>
        <v/>
      </c>
    </row>
    <row r="61">
      <c r="A61" t="n">
        <v>32</v>
      </c>
      <c r="B61">
        <f>A61*$B$6</f>
        <v/>
      </c>
      <c r="C61" s="5">
        <f>EXP(-$B$12*B61)</f>
        <v/>
      </c>
      <c r="D61" s="5">
        <f>EXP(-$B$13*B61)</f>
        <v/>
      </c>
      <c r="E61">
        <f>C61</f>
        <v/>
      </c>
      <c r="F61">
        <f>D61-C61</f>
        <v/>
      </c>
      <c r="G61">
        <f>1-D61</f>
        <v/>
      </c>
      <c r="H61">
        <f>SUM(E61:G61)</f>
        <v/>
      </c>
      <c r="I61">
        <f>IF(AND(MIN(C61:D61)&gt;=0,MAX(C61:D61)&lt;=1,MIN(E61:G61)&gt;=-1E-10,ABS(H61-1)&lt;1E-8,C61&lt;=C60+1E-10,D61&lt;=D60+1E-10),"OK","ERROR")</f>
        <v/>
      </c>
      <c r="J61">
        <f>1/(1+$B$4)^(B61+$B$6/2)</f>
        <v/>
      </c>
      <c r="K61">
        <f>1/(1+$B$5)^(B61+$B$6/2)</f>
        <v/>
      </c>
      <c r="L61" t="inlineStr">
        <is>
          <t>Average endpoints</t>
        </is>
      </c>
      <c r="M61" s="4">
        <f>SUMPRODUCT((E61:G61+E62:G62)/2,$B$17:$D$17)*$B$6</f>
        <v/>
      </c>
      <c r="N61" s="4">
        <f>M61*J61</f>
        <v/>
      </c>
      <c r="O61" s="4">
        <f>SUMPRODUCT((E61:G61+E62:G62)/2,$B$18:$D$18)*$B$6</f>
        <v/>
      </c>
      <c r="P61" s="4">
        <f>O61*J61</f>
        <v/>
      </c>
      <c r="Q61" s="4">
        <f>SUMPRODUCT((E61:G61+E62:G62)/2,$B$19:$D$19)*$B$6</f>
        <v/>
      </c>
      <c r="R61" s="4">
        <f>Q61*J61</f>
        <v/>
      </c>
      <c r="S61" s="4">
        <f>IF(A61=0,SUMPRODUCT((E61:G61+E62:G62)/2,$B$20:$D$20)*$B$6,0)</f>
        <v/>
      </c>
      <c r="T61" s="4">
        <f>S61*J61</f>
        <v/>
      </c>
      <c r="U61" s="4">
        <f>N61+P61+R61+T61</f>
        <v/>
      </c>
      <c r="V61">
        <f>SUMPRODUCT((E61:G61+E62:G62)/2,$B$24:$D$24)*$B$6</f>
        <v/>
      </c>
      <c r="W61" s="5">
        <f>V61*K61</f>
        <v/>
      </c>
      <c r="X61">
        <f>SUMPRODUCT((E61:G61+E62:G62)/2,$B$25:$D$25)*$B$6</f>
        <v/>
      </c>
      <c r="Y61">
        <f>X61*K61</f>
        <v/>
      </c>
    </row>
    <row r="62">
      <c r="A62" t="n">
        <v>33</v>
      </c>
      <c r="B62">
        <f>A62*$B$6</f>
        <v/>
      </c>
      <c r="C62" s="5">
        <f>EXP(-$B$12*B62)</f>
        <v/>
      </c>
      <c r="D62" s="5">
        <f>EXP(-$B$13*B62)</f>
        <v/>
      </c>
      <c r="E62">
        <f>C62</f>
        <v/>
      </c>
      <c r="F62">
        <f>D62-C62</f>
        <v/>
      </c>
      <c r="G62">
        <f>1-D62</f>
        <v/>
      </c>
      <c r="H62">
        <f>SUM(E62:G62)</f>
        <v/>
      </c>
      <c r="I62">
        <f>IF(AND(MIN(C62:D62)&gt;=0,MAX(C62:D62)&lt;=1,MIN(E62:G62)&gt;=-1E-10,ABS(H62-1)&lt;1E-8,C62&lt;=C61+1E-10,D62&lt;=D61+1E-10),"OK","ERROR")</f>
        <v/>
      </c>
      <c r="J62">
        <f>1/(1+$B$4)^(B62+$B$6/2)</f>
        <v/>
      </c>
      <c r="K62">
        <f>1/(1+$B$5)^(B62+$B$6/2)</f>
        <v/>
      </c>
      <c r="L62" t="inlineStr">
        <is>
          <t>Average endpoints</t>
        </is>
      </c>
      <c r="M62" s="4">
        <f>SUMPRODUCT((E62:G62+E63:G63)/2,$B$17:$D$17)*$B$6</f>
        <v/>
      </c>
      <c r="N62" s="4">
        <f>M62*J62</f>
        <v/>
      </c>
      <c r="O62" s="4">
        <f>SUMPRODUCT((E62:G62+E63:G63)/2,$B$18:$D$18)*$B$6</f>
        <v/>
      </c>
      <c r="P62" s="4">
        <f>O62*J62</f>
        <v/>
      </c>
      <c r="Q62" s="4">
        <f>SUMPRODUCT((E62:G62+E63:G63)/2,$B$19:$D$19)*$B$6</f>
        <v/>
      </c>
      <c r="R62" s="4">
        <f>Q62*J62</f>
        <v/>
      </c>
      <c r="S62" s="4">
        <f>IF(A62=0,SUMPRODUCT((E62:G62+E63:G63)/2,$B$20:$D$20)*$B$6,0)</f>
        <v/>
      </c>
      <c r="T62" s="4">
        <f>S62*J62</f>
        <v/>
      </c>
      <c r="U62" s="4">
        <f>N62+P62+R62+T62</f>
        <v/>
      </c>
      <c r="V62">
        <f>SUMPRODUCT((E62:G62+E63:G63)/2,$B$24:$D$24)*$B$6</f>
        <v/>
      </c>
      <c r="W62" s="5">
        <f>V62*K62</f>
        <v/>
      </c>
      <c r="X62">
        <f>SUMPRODUCT((E62:G62+E63:G63)/2,$B$25:$D$25)*$B$6</f>
        <v/>
      </c>
      <c r="Y62">
        <f>X62*K62</f>
        <v/>
      </c>
    </row>
    <row r="63">
      <c r="A63" t="n">
        <v>34</v>
      </c>
      <c r="B63">
        <f>A63*$B$6</f>
        <v/>
      </c>
      <c r="C63" s="5">
        <f>EXP(-$B$12*B63)</f>
        <v/>
      </c>
      <c r="D63" s="5">
        <f>EXP(-$B$13*B63)</f>
        <v/>
      </c>
      <c r="E63">
        <f>C63</f>
        <v/>
      </c>
      <c r="F63">
        <f>D63-C63</f>
        <v/>
      </c>
      <c r="G63">
        <f>1-D63</f>
        <v/>
      </c>
      <c r="H63">
        <f>SUM(E63:G63)</f>
        <v/>
      </c>
      <c r="I63">
        <f>IF(AND(MIN(C63:D63)&gt;=0,MAX(C63:D63)&lt;=1,MIN(E63:G63)&gt;=-1E-10,ABS(H63-1)&lt;1E-8,C63&lt;=C62+1E-10,D63&lt;=D62+1E-10),"OK","ERROR")</f>
        <v/>
      </c>
      <c r="J63">
        <f>1/(1+$B$4)^(B63+$B$6/2)</f>
        <v/>
      </c>
      <c r="K63">
        <f>1/(1+$B$5)^(B63+$B$6/2)</f>
        <v/>
      </c>
      <c r="L63" t="inlineStr">
        <is>
          <t>Average endpoints</t>
        </is>
      </c>
      <c r="M63" s="4">
        <f>SUMPRODUCT((E63:G63+E64:G64)/2,$B$17:$D$17)*$B$6</f>
        <v/>
      </c>
      <c r="N63" s="4">
        <f>M63*J63</f>
        <v/>
      </c>
      <c r="O63" s="4">
        <f>SUMPRODUCT((E63:G63+E64:G64)/2,$B$18:$D$18)*$B$6</f>
        <v/>
      </c>
      <c r="P63" s="4">
        <f>O63*J63</f>
        <v/>
      </c>
      <c r="Q63" s="4">
        <f>SUMPRODUCT((E63:G63+E64:G64)/2,$B$19:$D$19)*$B$6</f>
        <v/>
      </c>
      <c r="R63" s="4">
        <f>Q63*J63</f>
        <v/>
      </c>
      <c r="S63" s="4">
        <f>IF(A63=0,SUMPRODUCT((E63:G63+E64:G64)/2,$B$20:$D$20)*$B$6,0)</f>
        <v/>
      </c>
      <c r="T63" s="4">
        <f>S63*J63</f>
        <v/>
      </c>
      <c r="U63" s="4">
        <f>N63+P63+R63+T63</f>
        <v/>
      </c>
      <c r="V63">
        <f>SUMPRODUCT((E63:G63+E64:G64)/2,$B$24:$D$24)*$B$6</f>
        <v/>
      </c>
      <c r="W63" s="5">
        <f>V63*K63</f>
        <v/>
      </c>
      <c r="X63">
        <f>SUMPRODUCT((E63:G63+E64:G64)/2,$B$25:$D$25)*$B$6</f>
        <v/>
      </c>
      <c r="Y63">
        <f>X63*K63</f>
        <v/>
      </c>
    </row>
    <row r="64">
      <c r="A64" t="n">
        <v>35</v>
      </c>
      <c r="B64">
        <f>A64*$B$6</f>
        <v/>
      </c>
      <c r="C64" s="5">
        <f>EXP(-$B$12*B64)</f>
        <v/>
      </c>
      <c r="D64" s="5">
        <f>EXP(-$B$13*B64)</f>
        <v/>
      </c>
      <c r="E64">
        <f>C64</f>
        <v/>
      </c>
      <c r="F64">
        <f>D64-C64</f>
        <v/>
      </c>
      <c r="G64">
        <f>1-D64</f>
        <v/>
      </c>
      <c r="H64">
        <f>SUM(E64:G64)</f>
        <v/>
      </c>
      <c r="I64">
        <f>IF(AND(MIN(C64:D64)&gt;=0,MAX(C64:D64)&lt;=1,MIN(E64:G64)&gt;=-1E-10,ABS(H64-1)&lt;1E-8,C64&lt;=C63+1E-10,D64&lt;=D63+1E-10),"OK","ERROR")</f>
        <v/>
      </c>
      <c r="J64">
        <f>1/(1+$B$4)^(B64+$B$6/2)</f>
        <v/>
      </c>
      <c r="K64">
        <f>1/(1+$B$5)^(B64+$B$6/2)</f>
        <v/>
      </c>
      <c r="L64" t="inlineStr">
        <is>
          <t>Average endpoints</t>
        </is>
      </c>
      <c r="M64" s="4">
        <f>SUMPRODUCT((E64:G64+E65:G65)/2,$B$17:$D$17)*$B$6</f>
        <v/>
      </c>
      <c r="N64" s="4">
        <f>M64*J64</f>
        <v/>
      </c>
      <c r="O64" s="4">
        <f>SUMPRODUCT((E64:G64+E65:G65)/2,$B$18:$D$18)*$B$6</f>
        <v/>
      </c>
      <c r="P64" s="4">
        <f>O64*J64</f>
        <v/>
      </c>
      <c r="Q64" s="4">
        <f>SUMPRODUCT((E64:G64+E65:G65)/2,$B$19:$D$19)*$B$6</f>
        <v/>
      </c>
      <c r="R64" s="4">
        <f>Q64*J64</f>
        <v/>
      </c>
      <c r="S64" s="4">
        <f>IF(A64=0,SUMPRODUCT((E64:G64+E65:G65)/2,$B$20:$D$20)*$B$6,0)</f>
        <v/>
      </c>
      <c r="T64" s="4">
        <f>S64*J64</f>
        <v/>
      </c>
      <c r="U64" s="4">
        <f>N64+P64+R64+T64</f>
        <v/>
      </c>
      <c r="V64">
        <f>SUMPRODUCT((E64:G64+E65:G65)/2,$B$24:$D$24)*$B$6</f>
        <v/>
      </c>
      <c r="W64" s="5">
        <f>V64*K64</f>
        <v/>
      </c>
      <c r="X64">
        <f>SUMPRODUCT((E64:G64+E65:G65)/2,$B$25:$D$25)*$B$6</f>
        <v/>
      </c>
      <c r="Y64">
        <f>X64*K64</f>
        <v/>
      </c>
    </row>
    <row r="65">
      <c r="A65" t="n">
        <v>36</v>
      </c>
      <c r="B65">
        <f>A65*$B$6</f>
        <v/>
      </c>
      <c r="C65" s="5">
        <f>EXP(-$B$12*B65)</f>
        <v/>
      </c>
      <c r="D65" s="5">
        <f>EXP(-$B$13*B65)</f>
        <v/>
      </c>
      <c r="E65">
        <f>C65</f>
        <v/>
      </c>
      <c r="F65">
        <f>D65-C65</f>
        <v/>
      </c>
      <c r="G65">
        <f>1-D65</f>
        <v/>
      </c>
      <c r="H65">
        <f>SUM(E65:G65)</f>
        <v/>
      </c>
      <c r="I65">
        <f>IF(AND(MIN(C65:D65)&gt;=0,MAX(C65:D65)&lt;=1,MIN(E65:G65)&gt;=-1E-10,ABS(H65-1)&lt;1E-8,C65&lt;=C64+1E-10,D65&lt;=D64+1E-10),"OK","ERROR")</f>
        <v/>
      </c>
      <c r="J65">
        <f>1/(1+$B$4)^(B65+$B$6/2)</f>
        <v/>
      </c>
      <c r="K65">
        <f>1/(1+$B$5)^(B65+$B$6/2)</f>
        <v/>
      </c>
      <c r="L65" t="inlineStr">
        <is>
          <t>Average endpoints</t>
        </is>
      </c>
      <c r="M65" s="4">
        <f>SUMPRODUCT((E65:G65+E66:G66)/2,$B$17:$D$17)*$B$6</f>
        <v/>
      </c>
      <c r="N65" s="4">
        <f>M65*J65</f>
        <v/>
      </c>
      <c r="O65" s="4">
        <f>SUMPRODUCT((E65:G65+E66:G66)/2,$B$18:$D$18)*$B$6</f>
        <v/>
      </c>
      <c r="P65" s="4">
        <f>O65*J65</f>
        <v/>
      </c>
      <c r="Q65" s="4">
        <f>SUMPRODUCT((E65:G65+E66:G66)/2,$B$19:$D$19)*$B$6</f>
        <v/>
      </c>
      <c r="R65" s="4">
        <f>Q65*J65</f>
        <v/>
      </c>
      <c r="S65" s="4">
        <f>IF(A65=0,SUMPRODUCT((E65:G65+E66:G66)/2,$B$20:$D$20)*$B$6,0)</f>
        <v/>
      </c>
      <c r="T65" s="4">
        <f>S65*J65</f>
        <v/>
      </c>
      <c r="U65" s="4">
        <f>N65+P65+R65+T65</f>
        <v/>
      </c>
      <c r="V65">
        <f>SUMPRODUCT((E65:G65+E66:G66)/2,$B$24:$D$24)*$B$6</f>
        <v/>
      </c>
      <c r="W65" s="5">
        <f>V65*K65</f>
        <v/>
      </c>
      <c r="X65">
        <f>SUMPRODUCT((E65:G65+E66:G66)/2,$B$25:$D$25)*$B$6</f>
        <v/>
      </c>
      <c r="Y65">
        <f>X65*K65</f>
        <v/>
      </c>
    </row>
    <row r="66">
      <c r="A66" t="n">
        <v>37</v>
      </c>
      <c r="B66">
        <f>A66*$B$6</f>
        <v/>
      </c>
      <c r="C66" s="5">
        <f>EXP(-$B$12*B66)</f>
        <v/>
      </c>
      <c r="D66" s="5">
        <f>EXP(-$B$13*B66)</f>
        <v/>
      </c>
      <c r="E66">
        <f>C66</f>
        <v/>
      </c>
      <c r="F66">
        <f>D66-C66</f>
        <v/>
      </c>
      <c r="G66">
        <f>1-D66</f>
        <v/>
      </c>
      <c r="H66">
        <f>SUM(E66:G66)</f>
        <v/>
      </c>
      <c r="I66">
        <f>IF(AND(MIN(C66:D66)&gt;=0,MAX(C66:D66)&lt;=1,MIN(E66:G66)&gt;=-1E-10,ABS(H66-1)&lt;1E-8,C66&lt;=C65+1E-10,D66&lt;=D65+1E-10),"OK","ERROR")</f>
        <v/>
      </c>
      <c r="J66">
        <f>1/(1+$B$4)^(B66+$B$6/2)</f>
        <v/>
      </c>
      <c r="K66">
        <f>1/(1+$B$5)^(B66+$B$6/2)</f>
        <v/>
      </c>
      <c r="L66" t="inlineStr">
        <is>
          <t>Average endpoints</t>
        </is>
      </c>
      <c r="M66" s="4">
        <f>SUMPRODUCT((E66:G66+E67:G67)/2,$B$17:$D$17)*$B$6</f>
        <v/>
      </c>
      <c r="N66" s="4">
        <f>M66*J66</f>
        <v/>
      </c>
      <c r="O66" s="4">
        <f>SUMPRODUCT((E66:G66+E67:G67)/2,$B$18:$D$18)*$B$6</f>
        <v/>
      </c>
      <c r="P66" s="4">
        <f>O66*J66</f>
        <v/>
      </c>
      <c r="Q66" s="4">
        <f>SUMPRODUCT((E66:G66+E67:G67)/2,$B$19:$D$19)*$B$6</f>
        <v/>
      </c>
      <c r="R66" s="4">
        <f>Q66*J66</f>
        <v/>
      </c>
      <c r="S66" s="4">
        <f>IF(A66=0,SUMPRODUCT((E66:G66+E67:G67)/2,$B$20:$D$20)*$B$6,0)</f>
        <v/>
      </c>
      <c r="T66" s="4">
        <f>S66*J66</f>
        <v/>
      </c>
      <c r="U66" s="4">
        <f>N66+P66+R66+T66</f>
        <v/>
      </c>
      <c r="V66">
        <f>SUMPRODUCT((E66:G66+E67:G67)/2,$B$24:$D$24)*$B$6</f>
        <v/>
      </c>
      <c r="W66" s="5">
        <f>V66*K66</f>
        <v/>
      </c>
      <c r="X66">
        <f>SUMPRODUCT((E66:G66+E67:G67)/2,$B$25:$D$25)*$B$6</f>
        <v/>
      </c>
      <c r="Y66">
        <f>X66*K66</f>
        <v/>
      </c>
    </row>
    <row r="67">
      <c r="A67" t="n">
        <v>38</v>
      </c>
      <c r="B67">
        <f>A67*$B$6</f>
        <v/>
      </c>
      <c r="C67" s="5">
        <f>EXP(-$B$12*B67)</f>
        <v/>
      </c>
      <c r="D67" s="5">
        <f>EXP(-$B$13*B67)</f>
        <v/>
      </c>
      <c r="E67">
        <f>C67</f>
        <v/>
      </c>
      <c r="F67">
        <f>D67-C67</f>
        <v/>
      </c>
      <c r="G67">
        <f>1-D67</f>
        <v/>
      </c>
      <c r="H67">
        <f>SUM(E67:G67)</f>
        <v/>
      </c>
      <c r="I67">
        <f>IF(AND(MIN(C67:D67)&gt;=0,MAX(C67:D67)&lt;=1,MIN(E67:G67)&gt;=-1E-10,ABS(H67-1)&lt;1E-8,C67&lt;=C66+1E-10,D67&lt;=D66+1E-10),"OK","ERROR")</f>
        <v/>
      </c>
      <c r="J67">
        <f>1/(1+$B$4)^(B67+$B$6/2)</f>
        <v/>
      </c>
      <c r="K67">
        <f>1/(1+$B$5)^(B67+$B$6/2)</f>
        <v/>
      </c>
      <c r="L67" t="inlineStr">
        <is>
          <t>Average endpoints</t>
        </is>
      </c>
      <c r="M67" s="4">
        <f>SUMPRODUCT((E67:G67+E68:G68)/2,$B$17:$D$17)*$B$6</f>
        <v/>
      </c>
      <c r="N67" s="4">
        <f>M67*J67</f>
        <v/>
      </c>
      <c r="O67" s="4">
        <f>SUMPRODUCT((E67:G67+E68:G68)/2,$B$18:$D$18)*$B$6</f>
        <v/>
      </c>
      <c r="P67" s="4">
        <f>O67*J67</f>
        <v/>
      </c>
      <c r="Q67" s="4">
        <f>SUMPRODUCT((E67:G67+E68:G68)/2,$B$19:$D$19)*$B$6</f>
        <v/>
      </c>
      <c r="R67" s="4">
        <f>Q67*J67</f>
        <v/>
      </c>
      <c r="S67" s="4">
        <f>IF(A67=0,SUMPRODUCT((E67:G67+E68:G68)/2,$B$20:$D$20)*$B$6,0)</f>
        <v/>
      </c>
      <c r="T67" s="4">
        <f>S67*J67</f>
        <v/>
      </c>
      <c r="U67" s="4">
        <f>N67+P67+R67+T67</f>
        <v/>
      </c>
      <c r="V67">
        <f>SUMPRODUCT((E67:G67+E68:G68)/2,$B$24:$D$24)*$B$6</f>
        <v/>
      </c>
      <c r="W67" s="5">
        <f>V67*K67</f>
        <v/>
      </c>
      <c r="X67">
        <f>SUMPRODUCT((E67:G67+E68:G68)/2,$B$25:$D$25)*$B$6</f>
        <v/>
      </c>
      <c r="Y67">
        <f>X67*K67</f>
        <v/>
      </c>
    </row>
    <row r="68">
      <c r="A68" t="n">
        <v>39</v>
      </c>
      <c r="B68">
        <f>A68*$B$6</f>
        <v/>
      </c>
      <c r="C68" s="5">
        <f>EXP(-$B$12*B68)</f>
        <v/>
      </c>
      <c r="D68" s="5">
        <f>EXP(-$B$13*B68)</f>
        <v/>
      </c>
      <c r="E68">
        <f>C68</f>
        <v/>
      </c>
      <c r="F68">
        <f>D68-C68</f>
        <v/>
      </c>
      <c r="G68">
        <f>1-D68</f>
        <v/>
      </c>
      <c r="H68">
        <f>SUM(E68:G68)</f>
        <v/>
      </c>
      <c r="I68">
        <f>IF(AND(MIN(C68:D68)&gt;=0,MAX(C68:D68)&lt;=1,MIN(E68:G68)&gt;=-1E-10,ABS(H68-1)&lt;1E-8,C68&lt;=C67+1E-10,D68&lt;=D67+1E-10),"OK","ERROR")</f>
        <v/>
      </c>
      <c r="J68">
        <f>1/(1+$B$4)^(B68+$B$6/2)</f>
        <v/>
      </c>
      <c r="K68">
        <f>1/(1+$B$5)^(B68+$B$6/2)</f>
        <v/>
      </c>
      <c r="L68" t="inlineStr">
        <is>
          <t>Average endpoints</t>
        </is>
      </c>
      <c r="M68" s="4">
        <f>SUMPRODUCT((E68:G68+E69:G69)/2,$B$17:$D$17)*$B$6</f>
        <v/>
      </c>
      <c r="N68" s="4">
        <f>M68*J68</f>
        <v/>
      </c>
      <c r="O68" s="4">
        <f>SUMPRODUCT((E68:G68+E69:G69)/2,$B$18:$D$18)*$B$6</f>
        <v/>
      </c>
      <c r="P68" s="4">
        <f>O68*J68</f>
        <v/>
      </c>
      <c r="Q68" s="4">
        <f>SUMPRODUCT((E68:G68+E69:G69)/2,$B$19:$D$19)*$B$6</f>
        <v/>
      </c>
      <c r="R68" s="4">
        <f>Q68*J68</f>
        <v/>
      </c>
      <c r="S68" s="4">
        <f>IF(A68=0,SUMPRODUCT((E68:G68+E69:G69)/2,$B$20:$D$20)*$B$6,0)</f>
        <v/>
      </c>
      <c r="T68" s="4">
        <f>S68*J68</f>
        <v/>
      </c>
      <c r="U68" s="4">
        <f>N68+P68+R68+T68</f>
        <v/>
      </c>
      <c r="V68">
        <f>SUMPRODUCT((E68:G68+E69:G69)/2,$B$24:$D$24)*$B$6</f>
        <v/>
      </c>
      <c r="W68" s="5">
        <f>V68*K68</f>
        <v/>
      </c>
      <c r="X68">
        <f>SUMPRODUCT((E68:G68+E69:G69)/2,$B$25:$D$25)*$B$6</f>
        <v/>
      </c>
      <c r="Y68">
        <f>X68*K68</f>
        <v/>
      </c>
    </row>
    <row r="69">
      <c r="A69" t="n">
        <v>40</v>
      </c>
      <c r="B69">
        <f>A69*$B$6</f>
        <v/>
      </c>
      <c r="C69" s="5">
        <f>EXP(-$B$12*B69)</f>
        <v/>
      </c>
      <c r="D69" s="5">
        <f>EXP(-$B$13*B69)</f>
        <v/>
      </c>
      <c r="E69">
        <f>C69</f>
        <v/>
      </c>
      <c r="F69">
        <f>D69-C69</f>
        <v/>
      </c>
      <c r="G69">
        <f>1-D69</f>
        <v/>
      </c>
      <c r="H69">
        <f>SUM(E69:G69)</f>
        <v/>
      </c>
      <c r="I69">
        <f>IF(AND(MIN(C69:D69)&gt;=0,MAX(C69:D69)&lt;=1,MIN(E69:G69)&gt;=-1E-10,ABS(H69-1)&lt;1E-8,C69&lt;=C68+1E-10,D69&lt;=D68+1E-10),"OK","ERROR")</f>
        <v/>
      </c>
      <c r="J69">
        <f>1/(1+$B$4)^(B69+$B$6/2)</f>
        <v/>
      </c>
      <c r="K69">
        <f>1/(1+$B$5)^(B69+$B$6/2)</f>
        <v/>
      </c>
      <c r="L69" t="inlineStr">
        <is>
          <t>Average endpoints</t>
        </is>
      </c>
      <c r="M69" s="4">
        <f>SUMPRODUCT((E69:G69+E70:G70)/2,$B$17:$D$17)*$B$6</f>
        <v/>
      </c>
      <c r="N69" s="4">
        <f>M69*J69</f>
        <v/>
      </c>
      <c r="O69" s="4">
        <f>SUMPRODUCT((E69:G69+E70:G70)/2,$B$18:$D$18)*$B$6</f>
        <v/>
      </c>
      <c r="P69" s="4">
        <f>O69*J69</f>
        <v/>
      </c>
      <c r="Q69" s="4">
        <f>SUMPRODUCT((E69:G69+E70:G70)/2,$B$19:$D$19)*$B$6</f>
        <v/>
      </c>
      <c r="R69" s="4">
        <f>Q69*J69</f>
        <v/>
      </c>
      <c r="S69" s="4">
        <f>IF(A69=0,SUMPRODUCT((E69:G69+E70:G70)/2,$B$20:$D$20)*$B$6,0)</f>
        <v/>
      </c>
      <c r="T69" s="4">
        <f>S69*J69</f>
        <v/>
      </c>
      <c r="U69" s="4">
        <f>N69+P69+R69+T69</f>
        <v/>
      </c>
      <c r="V69">
        <f>SUMPRODUCT((E69:G69+E70:G70)/2,$B$24:$D$24)*$B$6</f>
        <v/>
      </c>
      <c r="W69" s="5">
        <f>V69*K69</f>
        <v/>
      </c>
      <c r="X69">
        <f>SUMPRODUCT((E69:G69+E70:G70)/2,$B$25:$D$25)*$B$6</f>
        <v/>
      </c>
      <c r="Y69">
        <f>X69*K69</f>
        <v/>
      </c>
    </row>
    <row r="70">
      <c r="A70" t="n">
        <v>41</v>
      </c>
      <c r="B70">
        <f>A70*$B$6</f>
        <v/>
      </c>
      <c r="C70" s="5">
        <f>EXP(-$B$12*B70)</f>
        <v/>
      </c>
      <c r="D70" s="5">
        <f>EXP(-$B$13*B70)</f>
        <v/>
      </c>
      <c r="E70">
        <f>C70</f>
        <v/>
      </c>
      <c r="F70">
        <f>D70-C70</f>
        <v/>
      </c>
      <c r="G70">
        <f>1-D70</f>
        <v/>
      </c>
      <c r="H70">
        <f>SUM(E70:G70)</f>
        <v/>
      </c>
      <c r="I70">
        <f>IF(AND(MIN(C70:D70)&gt;=0,MAX(C70:D70)&lt;=1,MIN(E70:G70)&gt;=-1E-10,ABS(H70-1)&lt;1E-8,C70&lt;=C69+1E-10,D70&lt;=D69+1E-10),"OK","ERROR")</f>
        <v/>
      </c>
      <c r="J70">
        <f>1/(1+$B$4)^(B70+$B$6/2)</f>
        <v/>
      </c>
      <c r="K70">
        <f>1/(1+$B$5)^(B70+$B$6/2)</f>
        <v/>
      </c>
      <c r="L70" t="inlineStr">
        <is>
          <t>Average endpoints</t>
        </is>
      </c>
      <c r="M70" s="4">
        <f>SUMPRODUCT((E70:G70+E71:G71)/2,$B$17:$D$17)*$B$6</f>
        <v/>
      </c>
      <c r="N70" s="4">
        <f>M70*J70</f>
        <v/>
      </c>
      <c r="O70" s="4">
        <f>SUMPRODUCT((E70:G70+E71:G71)/2,$B$18:$D$18)*$B$6</f>
        <v/>
      </c>
      <c r="P70" s="4">
        <f>O70*J70</f>
        <v/>
      </c>
      <c r="Q70" s="4">
        <f>SUMPRODUCT((E70:G70+E71:G71)/2,$B$19:$D$19)*$B$6</f>
        <v/>
      </c>
      <c r="R70" s="4">
        <f>Q70*J70</f>
        <v/>
      </c>
      <c r="S70" s="4">
        <f>IF(A70=0,SUMPRODUCT((E70:G70+E71:G71)/2,$B$20:$D$20)*$B$6,0)</f>
        <v/>
      </c>
      <c r="T70" s="4">
        <f>S70*J70</f>
        <v/>
      </c>
      <c r="U70" s="4">
        <f>N70+P70+R70+T70</f>
        <v/>
      </c>
      <c r="V70">
        <f>SUMPRODUCT((E70:G70+E71:G71)/2,$B$24:$D$24)*$B$6</f>
        <v/>
      </c>
      <c r="W70" s="5">
        <f>V70*K70</f>
        <v/>
      </c>
      <c r="X70">
        <f>SUMPRODUCT((E70:G70+E71:G71)/2,$B$25:$D$25)*$B$6</f>
        <v/>
      </c>
      <c r="Y70">
        <f>X70*K70</f>
        <v/>
      </c>
    </row>
    <row r="71">
      <c r="A71" t="n">
        <v>42</v>
      </c>
      <c r="B71">
        <f>A71*$B$6</f>
        <v/>
      </c>
      <c r="C71" s="5">
        <f>EXP(-$B$12*B71)</f>
        <v/>
      </c>
      <c r="D71" s="5">
        <f>EXP(-$B$13*B71)</f>
        <v/>
      </c>
      <c r="E71">
        <f>C71</f>
        <v/>
      </c>
      <c r="F71">
        <f>D71-C71</f>
        <v/>
      </c>
      <c r="G71">
        <f>1-D71</f>
        <v/>
      </c>
      <c r="H71">
        <f>SUM(E71:G71)</f>
        <v/>
      </c>
      <c r="I71">
        <f>IF(AND(MIN(C71:D71)&gt;=0,MAX(C71:D71)&lt;=1,MIN(E71:G71)&gt;=-1E-10,ABS(H71-1)&lt;1E-8,C71&lt;=C70+1E-10,D71&lt;=D70+1E-10),"OK","ERROR")</f>
        <v/>
      </c>
      <c r="J71">
        <f>1/(1+$B$4)^(B71+$B$6/2)</f>
        <v/>
      </c>
      <c r="K71">
        <f>1/(1+$B$5)^(B71+$B$6/2)</f>
        <v/>
      </c>
      <c r="L71" t="inlineStr">
        <is>
          <t>Average endpoints</t>
        </is>
      </c>
      <c r="M71" s="4">
        <f>SUMPRODUCT((E71:G71+E72:G72)/2,$B$17:$D$17)*$B$6</f>
        <v/>
      </c>
      <c r="N71" s="4">
        <f>M71*J71</f>
        <v/>
      </c>
      <c r="O71" s="4">
        <f>SUMPRODUCT((E71:G71+E72:G72)/2,$B$18:$D$18)*$B$6</f>
        <v/>
      </c>
      <c r="P71" s="4">
        <f>O71*J71</f>
        <v/>
      </c>
      <c r="Q71" s="4">
        <f>SUMPRODUCT((E71:G71+E72:G72)/2,$B$19:$D$19)*$B$6</f>
        <v/>
      </c>
      <c r="R71" s="4">
        <f>Q71*J71</f>
        <v/>
      </c>
      <c r="S71" s="4">
        <f>IF(A71=0,SUMPRODUCT((E71:G71+E72:G72)/2,$B$20:$D$20)*$B$6,0)</f>
        <v/>
      </c>
      <c r="T71" s="4">
        <f>S71*J71</f>
        <v/>
      </c>
      <c r="U71" s="4">
        <f>N71+P71+R71+T71</f>
        <v/>
      </c>
      <c r="V71">
        <f>SUMPRODUCT((E71:G71+E72:G72)/2,$B$24:$D$24)*$B$6</f>
        <v/>
      </c>
      <c r="W71" s="5">
        <f>V71*K71</f>
        <v/>
      </c>
      <c r="X71">
        <f>SUMPRODUCT((E71:G71+E72:G72)/2,$B$25:$D$25)*$B$6</f>
        <v/>
      </c>
      <c r="Y71">
        <f>X71*K71</f>
        <v/>
      </c>
    </row>
    <row r="72">
      <c r="A72" t="n">
        <v>43</v>
      </c>
      <c r="B72">
        <f>A72*$B$6</f>
        <v/>
      </c>
      <c r="C72" s="5">
        <f>EXP(-$B$12*B72)</f>
        <v/>
      </c>
      <c r="D72" s="5">
        <f>EXP(-$B$13*B72)</f>
        <v/>
      </c>
      <c r="E72">
        <f>C72</f>
        <v/>
      </c>
      <c r="F72">
        <f>D72-C72</f>
        <v/>
      </c>
      <c r="G72">
        <f>1-D72</f>
        <v/>
      </c>
      <c r="H72">
        <f>SUM(E72:G72)</f>
        <v/>
      </c>
      <c r="I72">
        <f>IF(AND(MIN(C72:D72)&gt;=0,MAX(C72:D72)&lt;=1,MIN(E72:G72)&gt;=-1E-10,ABS(H72-1)&lt;1E-8,C72&lt;=C71+1E-10,D72&lt;=D71+1E-10),"OK","ERROR")</f>
        <v/>
      </c>
      <c r="J72">
        <f>1/(1+$B$4)^(B72+$B$6/2)</f>
        <v/>
      </c>
      <c r="K72">
        <f>1/(1+$B$5)^(B72+$B$6/2)</f>
        <v/>
      </c>
      <c r="L72" t="inlineStr">
        <is>
          <t>Average endpoints</t>
        </is>
      </c>
      <c r="M72" s="4">
        <f>SUMPRODUCT((E72:G72+E73:G73)/2,$B$17:$D$17)*$B$6</f>
        <v/>
      </c>
      <c r="N72" s="4">
        <f>M72*J72</f>
        <v/>
      </c>
      <c r="O72" s="4">
        <f>SUMPRODUCT((E72:G72+E73:G73)/2,$B$18:$D$18)*$B$6</f>
        <v/>
      </c>
      <c r="P72" s="4">
        <f>O72*J72</f>
        <v/>
      </c>
      <c r="Q72" s="4">
        <f>SUMPRODUCT((E72:G72+E73:G73)/2,$B$19:$D$19)*$B$6</f>
        <v/>
      </c>
      <c r="R72" s="4">
        <f>Q72*J72</f>
        <v/>
      </c>
      <c r="S72" s="4">
        <f>IF(A72=0,SUMPRODUCT((E72:G72+E73:G73)/2,$B$20:$D$20)*$B$6,0)</f>
        <v/>
      </c>
      <c r="T72" s="4">
        <f>S72*J72</f>
        <v/>
      </c>
      <c r="U72" s="4">
        <f>N72+P72+R72+T72</f>
        <v/>
      </c>
      <c r="V72">
        <f>SUMPRODUCT((E72:G72+E73:G73)/2,$B$24:$D$24)*$B$6</f>
        <v/>
      </c>
      <c r="W72" s="5">
        <f>V72*K72</f>
        <v/>
      </c>
      <c r="X72">
        <f>SUMPRODUCT((E72:G72+E73:G73)/2,$B$25:$D$25)*$B$6</f>
        <v/>
      </c>
      <c r="Y72">
        <f>X72*K72</f>
        <v/>
      </c>
    </row>
    <row r="73">
      <c r="A73" t="n">
        <v>44</v>
      </c>
      <c r="B73">
        <f>A73*$B$6</f>
        <v/>
      </c>
      <c r="C73" s="5">
        <f>EXP(-$B$12*B73)</f>
        <v/>
      </c>
      <c r="D73" s="5">
        <f>EXP(-$B$13*B73)</f>
        <v/>
      </c>
      <c r="E73">
        <f>C73</f>
        <v/>
      </c>
      <c r="F73">
        <f>D73-C73</f>
        <v/>
      </c>
      <c r="G73">
        <f>1-D73</f>
        <v/>
      </c>
      <c r="H73">
        <f>SUM(E73:G73)</f>
        <v/>
      </c>
      <c r="I73">
        <f>IF(AND(MIN(C73:D73)&gt;=0,MAX(C73:D73)&lt;=1,MIN(E73:G73)&gt;=-1E-10,ABS(H73-1)&lt;1E-8,C73&lt;=C72+1E-10,D73&lt;=D72+1E-10),"OK","ERROR")</f>
        <v/>
      </c>
      <c r="J73">
        <f>1/(1+$B$4)^(B73+$B$6/2)</f>
        <v/>
      </c>
      <c r="K73">
        <f>1/(1+$B$5)^(B73+$B$6/2)</f>
        <v/>
      </c>
      <c r="L73" t="inlineStr">
        <is>
          <t>Average endpoints</t>
        </is>
      </c>
      <c r="M73" s="4">
        <f>SUMPRODUCT((E73:G73+E74:G74)/2,$B$17:$D$17)*$B$6</f>
        <v/>
      </c>
      <c r="N73" s="4">
        <f>M73*J73</f>
        <v/>
      </c>
      <c r="O73" s="4">
        <f>SUMPRODUCT((E73:G73+E74:G74)/2,$B$18:$D$18)*$B$6</f>
        <v/>
      </c>
      <c r="P73" s="4">
        <f>O73*J73</f>
        <v/>
      </c>
      <c r="Q73" s="4">
        <f>SUMPRODUCT((E73:G73+E74:G74)/2,$B$19:$D$19)*$B$6</f>
        <v/>
      </c>
      <c r="R73" s="4">
        <f>Q73*J73</f>
        <v/>
      </c>
      <c r="S73" s="4">
        <f>IF(A73=0,SUMPRODUCT((E73:G73+E74:G74)/2,$B$20:$D$20)*$B$6,0)</f>
        <v/>
      </c>
      <c r="T73" s="4">
        <f>S73*J73</f>
        <v/>
      </c>
      <c r="U73" s="4">
        <f>N73+P73+R73+T73</f>
        <v/>
      </c>
      <c r="V73">
        <f>SUMPRODUCT((E73:G73+E74:G74)/2,$B$24:$D$24)*$B$6</f>
        <v/>
      </c>
      <c r="W73" s="5">
        <f>V73*K73</f>
        <v/>
      </c>
      <c r="X73">
        <f>SUMPRODUCT((E73:G73+E74:G74)/2,$B$25:$D$25)*$B$6</f>
        <v/>
      </c>
      <c r="Y73">
        <f>X73*K73</f>
        <v/>
      </c>
    </row>
    <row r="74">
      <c r="A74" t="n">
        <v>45</v>
      </c>
      <c r="B74">
        <f>A74*$B$6</f>
        <v/>
      </c>
      <c r="C74" s="5">
        <f>EXP(-$B$12*B74)</f>
        <v/>
      </c>
      <c r="D74" s="5">
        <f>EXP(-$B$13*B74)</f>
        <v/>
      </c>
      <c r="E74">
        <f>C74</f>
        <v/>
      </c>
      <c r="F74">
        <f>D74-C74</f>
        <v/>
      </c>
      <c r="G74">
        <f>1-D74</f>
        <v/>
      </c>
      <c r="H74">
        <f>SUM(E74:G74)</f>
        <v/>
      </c>
      <c r="I74">
        <f>IF(AND(MIN(C74:D74)&gt;=0,MAX(C74:D74)&lt;=1,MIN(E74:G74)&gt;=-1E-10,ABS(H74-1)&lt;1E-8,C74&lt;=C73+1E-10,D74&lt;=D73+1E-10),"OK","ERROR")</f>
        <v/>
      </c>
      <c r="J74">
        <f>1/(1+$B$4)^(B74+$B$6/2)</f>
        <v/>
      </c>
      <c r="K74">
        <f>1/(1+$B$5)^(B74+$B$6/2)</f>
        <v/>
      </c>
      <c r="L74" t="inlineStr">
        <is>
          <t>Average endpoints</t>
        </is>
      </c>
      <c r="M74" s="4">
        <f>SUMPRODUCT((E74:G74+E75:G75)/2,$B$17:$D$17)*$B$6</f>
        <v/>
      </c>
      <c r="N74" s="4">
        <f>M74*J74</f>
        <v/>
      </c>
      <c r="O74" s="4">
        <f>SUMPRODUCT((E74:G74+E75:G75)/2,$B$18:$D$18)*$B$6</f>
        <v/>
      </c>
      <c r="P74" s="4">
        <f>O74*J74</f>
        <v/>
      </c>
      <c r="Q74" s="4">
        <f>SUMPRODUCT((E74:G74+E75:G75)/2,$B$19:$D$19)*$B$6</f>
        <v/>
      </c>
      <c r="R74" s="4">
        <f>Q74*J74</f>
        <v/>
      </c>
      <c r="S74" s="4">
        <f>IF(A74=0,SUMPRODUCT((E74:G74+E75:G75)/2,$B$20:$D$20)*$B$6,0)</f>
        <v/>
      </c>
      <c r="T74" s="4">
        <f>S74*J74</f>
        <v/>
      </c>
      <c r="U74" s="4">
        <f>N74+P74+R74+T74</f>
        <v/>
      </c>
      <c r="V74">
        <f>SUMPRODUCT((E74:G74+E75:G75)/2,$B$24:$D$24)*$B$6</f>
        <v/>
      </c>
      <c r="W74" s="5">
        <f>V74*K74</f>
        <v/>
      </c>
      <c r="X74">
        <f>SUMPRODUCT((E74:G74+E75:G75)/2,$B$25:$D$25)*$B$6</f>
        <v/>
      </c>
      <c r="Y74">
        <f>X74*K74</f>
        <v/>
      </c>
    </row>
    <row r="75">
      <c r="A75" t="n">
        <v>46</v>
      </c>
      <c r="B75">
        <f>A75*$B$6</f>
        <v/>
      </c>
      <c r="C75" s="5">
        <f>EXP(-$B$12*B75)</f>
        <v/>
      </c>
      <c r="D75" s="5">
        <f>EXP(-$B$13*B75)</f>
        <v/>
      </c>
      <c r="E75">
        <f>C75</f>
        <v/>
      </c>
      <c r="F75">
        <f>D75-C75</f>
        <v/>
      </c>
      <c r="G75">
        <f>1-D75</f>
        <v/>
      </c>
      <c r="H75">
        <f>SUM(E75:G75)</f>
        <v/>
      </c>
      <c r="I75">
        <f>IF(AND(MIN(C75:D75)&gt;=0,MAX(C75:D75)&lt;=1,MIN(E75:G75)&gt;=-1E-10,ABS(H75-1)&lt;1E-8,C75&lt;=C74+1E-10,D75&lt;=D74+1E-10),"OK","ERROR")</f>
        <v/>
      </c>
      <c r="J75">
        <f>1/(1+$B$4)^(B75+$B$6/2)</f>
        <v/>
      </c>
      <c r="K75">
        <f>1/(1+$B$5)^(B75+$B$6/2)</f>
        <v/>
      </c>
      <c r="L75" t="inlineStr">
        <is>
          <t>Average endpoints</t>
        </is>
      </c>
      <c r="M75" s="4">
        <f>SUMPRODUCT((E75:G75+E76:G76)/2,$B$17:$D$17)*$B$6</f>
        <v/>
      </c>
      <c r="N75" s="4">
        <f>M75*J75</f>
        <v/>
      </c>
      <c r="O75" s="4">
        <f>SUMPRODUCT((E75:G75+E76:G76)/2,$B$18:$D$18)*$B$6</f>
        <v/>
      </c>
      <c r="P75" s="4">
        <f>O75*J75</f>
        <v/>
      </c>
      <c r="Q75" s="4">
        <f>SUMPRODUCT((E75:G75+E76:G76)/2,$B$19:$D$19)*$B$6</f>
        <v/>
      </c>
      <c r="R75" s="4">
        <f>Q75*J75</f>
        <v/>
      </c>
      <c r="S75" s="4">
        <f>IF(A75=0,SUMPRODUCT((E75:G75+E76:G76)/2,$B$20:$D$20)*$B$6,0)</f>
        <v/>
      </c>
      <c r="T75" s="4">
        <f>S75*J75</f>
        <v/>
      </c>
      <c r="U75" s="4">
        <f>N75+P75+R75+T75</f>
        <v/>
      </c>
      <c r="V75">
        <f>SUMPRODUCT((E75:G75+E76:G76)/2,$B$24:$D$24)*$B$6</f>
        <v/>
      </c>
      <c r="W75" s="5">
        <f>V75*K75</f>
        <v/>
      </c>
      <c r="X75">
        <f>SUMPRODUCT((E75:G75+E76:G76)/2,$B$25:$D$25)*$B$6</f>
        <v/>
      </c>
      <c r="Y75">
        <f>X75*K75</f>
        <v/>
      </c>
    </row>
    <row r="76">
      <c r="A76" t="n">
        <v>47</v>
      </c>
      <c r="B76">
        <f>A76*$B$6</f>
        <v/>
      </c>
      <c r="C76" s="5">
        <f>EXP(-$B$12*B76)</f>
        <v/>
      </c>
      <c r="D76" s="5">
        <f>EXP(-$B$13*B76)</f>
        <v/>
      </c>
      <c r="E76">
        <f>C76</f>
        <v/>
      </c>
      <c r="F76">
        <f>D76-C76</f>
        <v/>
      </c>
      <c r="G76">
        <f>1-D76</f>
        <v/>
      </c>
      <c r="H76">
        <f>SUM(E76:G76)</f>
        <v/>
      </c>
      <c r="I76">
        <f>IF(AND(MIN(C76:D76)&gt;=0,MAX(C76:D76)&lt;=1,MIN(E76:G76)&gt;=-1E-10,ABS(H76-1)&lt;1E-8,C76&lt;=C75+1E-10,D76&lt;=D75+1E-10),"OK","ERROR")</f>
        <v/>
      </c>
      <c r="J76">
        <f>1/(1+$B$4)^(B76+$B$6/2)</f>
        <v/>
      </c>
      <c r="K76">
        <f>1/(1+$B$5)^(B76+$B$6/2)</f>
        <v/>
      </c>
      <c r="L76" t="inlineStr">
        <is>
          <t>Average endpoints</t>
        </is>
      </c>
      <c r="M76" s="4">
        <f>SUMPRODUCT((E76:G76+E77:G77)/2,$B$17:$D$17)*$B$6</f>
        <v/>
      </c>
      <c r="N76" s="4">
        <f>M76*J76</f>
        <v/>
      </c>
      <c r="O76" s="4">
        <f>SUMPRODUCT((E76:G76+E77:G77)/2,$B$18:$D$18)*$B$6</f>
        <v/>
      </c>
      <c r="P76" s="4">
        <f>O76*J76</f>
        <v/>
      </c>
      <c r="Q76" s="4">
        <f>SUMPRODUCT((E76:G76+E77:G77)/2,$B$19:$D$19)*$B$6</f>
        <v/>
      </c>
      <c r="R76" s="4">
        <f>Q76*J76</f>
        <v/>
      </c>
      <c r="S76" s="4">
        <f>IF(A76=0,SUMPRODUCT((E76:G76+E77:G77)/2,$B$20:$D$20)*$B$6,0)</f>
        <v/>
      </c>
      <c r="T76" s="4">
        <f>S76*J76</f>
        <v/>
      </c>
      <c r="U76" s="4">
        <f>N76+P76+R76+T76</f>
        <v/>
      </c>
      <c r="V76">
        <f>SUMPRODUCT((E76:G76+E77:G77)/2,$B$24:$D$24)*$B$6</f>
        <v/>
      </c>
      <c r="W76" s="5">
        <f>V76*K76</f>
        <v/>
      </c>
      <c r="X76">
        <f>SUMPRODUCT((E76:G76+E77:G77)/2,$B$25:$D$25)*$B$6</f>
        <v/>
      </c>
      <c r="Y76">
        <f>X76*K76</f>
        <v/>
      </c>
    </row>
    <row r="77">
      <c r="A77" t="n">
        <v>48</v>
      </c>
      <c r="B77">
        <f>A77*$B$6</f>
        <v/>
      </c>
      <c r="C77" s="5">
        <f>EXP(-$B$12*B77)</f>
        <v/>
      </c>
      <c r="D77" s="5">
        <f>EXP(-$B$13*B77)</f>
        <v/>
      </c>
      <c r="E77">
        <f>C77</f>
        <v/>
      </c>
      <c r="F77">
        <f>D77-C77</f>
        <v/>
      </c>
      <c r="G77">
        <f>1-D77</f>
        <v/>
      </c>
      <c r="H77">
        <f>SUM(E77:G77)</f>
        <v/>
      </c>
      <c r="I77">
        <f>IF(AND(MIN(C77:D77)&gt;=0,MAX(C77:D77)&lt;=1,MIN(E77:G77)&gt;=-1E-10,ABS(H77-1)&lt;1E-8,C77&lt;=C76+1E-10,D77&lt;=D76+1E-10),"OK","ERROR")</f>
        <v/>
      </c>
      <c r="J77">
        <f>1/(1+$B$4)^(B77+$B$6/2)</f>
        <v/>
      </c>
      <c r="K77">
        <f>1/(1+$B$5)^(B77+$B$6/2)</f>
        <v/>
      </c>
      <c r="L77" t="inlineStr">
        <is>
          <t>Average endpoints</t>
        </is>
      </c>
      <c r="M77" s="4">
        <f>SUMPRODUCT((E77:G77+E78:G78)/2,$B$17:$D$17)*$B$6</f>
        <v/>
      </c>
      <c r="N77" s="4">
        <f>M77*J77</f>
        <v/>
      </c>
      <c r="O77" s="4">
        <f>SUMPRODUCT((E77:G77+E78:G78)/2,$B$18:$D$18)*$B$6</f>
        <v/>
      </c>
      <c r="P77" s="4">
        <f>O77*J77</f>
        <v/>
      </c>
      <c r="Q77" s="4">
        <f>SUMPRODUCT((E77:G77+E78:G78)/2,$B$19:$D$19)*$B$6</f>
        <v/>
      </c>
      <c r="R77" s="4">
        <f>Q77*J77</f>
        <v/>
      </c>
      <c r="S77" s="4">
        <f>IF(A77=0,SUMPRODUCT((E77:G77+E78:G78)/2,$B$20:$D$20)*$B$6,0)</f>
        <v/>
      </c>
      <c r="T77" s="4">
        <f>S77*J77</f>
        <v/>
      </c>
      <c r="U77" s="4">
        <f>N77+P77+R77+T77</f>
        <v/>
      </c>
      <c r="V77">
        <f>SUMPRODUCT((E77:G77+E78:G78)/2,$B$24:$D$24)*$B$6</f>
        <v/>
      </c>
      <c r="W77" s="5">
        <f>V77*K77</f>
        <v/>
      </c>
      <c r="X77">
        <f>SUMPRODUCT((E77:G77+E78:G78)/2,$B$25:$D$25)*$B$6</f>
        <v/>
      </c>
      <c r="Y77">
        <f>X77*K77</f>
        <v/>
      </c>
    </row>
    <row r="78">
      <c r="A78" t="n">
        <v>49</v>
      </c>
      <c r="B78">
        <f>A78*$B$6</f>
        <v/>
      </c>
      <c r="C78" s="5">
        <f>EXP(-$B$12*B78)</f>
        <v/>
      </c>
      <c r="D78" s="5">
        <f>EXP(-$B$13*B78)</f>
        <v/>
      </c>
      <c r="E78">
        <f>C78</f>
        <v/>
      </c>
      <c r="F78">
        <f>D78-C78</f>
        <v/>
      </c>
      <c r="G78">
        <f>1-D78</f>
        <v/>
      </c>
      <c r="H78">
        <f>SUM(E78:G78)</f>
        <v/>
      </c>
      <c r="I78">
        <f>IF(AND(MIN(C78:D78)&gt;=0,MAX(C78:D78)&lt;=1,MIN(E78:G78)&gt;=-1E-10,ABS(H78-1)&lt;1E-8,C78&lt;=C77+1E-10,D78&lt;=D77+1E-10),"OK","ERROR")</f>
        <v/>
      </c>
      <c r="J78">
        <f>1/(1+$B$4)^(B78+$B$6/2)</f>
        <v/>
      </c>
      <c r="K78">
        <f>1/(1+$B$5)^(B78+$B$6/2)</f>
        <v/>
      </c>
      <c r="L78" t="inlineStr">
        <is>
          <t>Average endpoints</t>
        </is>
      </c>
      <c r="M78" s="4">
        <f>SUMPRODUCT((E78:G78+E79:G79)/2,$B$17:$D$17)*$B$6</f>
        <v/>
      </c>
      <c r="N78" s="4">
        <f>M78*J78</f>
        <v/>
      </c>
      <c r="O78" s="4">
        <f>SUMPRODUCT((E78:G78+E79:G79)/2,$B$18:$D$18)*$B$6</f>
        <v/>
      </c>
      <c r="P78" s="4">
        <f>O78*J78</f>
        <v/>
      </c>
      <c r="Q78" s="4">
        <f>SUMPRODUCT((E78:G78+E79:G79)/2,$B$19:$D$19)*$B$6</f>
        <v/>
      </c>
      <c r="R78" s="4">
        <f>Q78*J78</f>
        <v/>
      </c>
      <c r="S78" s="4">
        <f>IF(A78=0,SUMPRODUCT((E78:G78+E79:G79)/2,$B$20:$D$20)*$B$6,0)</f>
        <v/>
      </c>
      <c r="T78" s="4">
        <f>S78*J78</f>
        <v/>
      </c>
      <c r="U78" s="4">
        <f>N78+P78+R78+T78</f>
        <v/>
      </c>
      <c r="V78">
        <f>SUMPRODUCT((E78:G78+E79:G79)/2,$B$24:$D$24)*$B$6</f>
        <v/>
      </c>
      <c r="W78" s="5">
        <f>V78*K78</f>
        <v/>
      </c>
      <c r="X78">
        <f>SUMPRODUCT((E78:G78+E79:G79)/2,$B$25:$D$25)*$B$6</f>
        <v/>
      </c>
      <c r="Y78">
        <f>X78*K78</f>
        <v/>
      </c>
    </row>
    <row r="79">
      <c r="A79" t="n">
        <v>50</v>
      </c>
      <c r="B79">
        <f>A79*$B$6</f>
        <v/>
      </c>
      <c r="C79" s="5">
        <f>EXP(-$B$12*B79)</f>
        <v/>
      </c>
      <c r="D79" s="5">
        <f>EXP(-$B$13*B79)</f>
        <v/>
      </c>
      <c r="E79">
        <f>C79</f>
        <v/>
      </c>
      <c r="F79">
        <f>D79-C79</f>
        <v/>
      </c>
      <c r="G79">
        <f>1-D79</f>
        <v/>
      </c>
      <c r="H79">
        <f>SUM(E79:G79)</f>
        <v/>
      </c>
      <c r="I79">
        <f>IF(AND(MIN(C79:D79)&gt;=0,MAX(C79:D79)&lt;=1,MIN(E79:G79)&gt;=-1E-10,ABS(H79-1)&lt;1E-8,C79&lt;=C78+1E-10,D79&lt;=D78+1E-10),"OK","ERROR")</f>
        <v/>
      </c>
      <c r="J79">
        <f>1/(1+$B$4)^(B79+$B$6/2)</f>
        <v/>
      </c>
      <c r="K79">
        <f>1/(1+$B$5)^(B79+$B$6/2)</f>
        <v/>
      </c>
      <c r="L79" t="inlineStr">
        <is>
          <t>Average endpoints</t>
        </is>
      </c>
      <c r="M79" s="4">
        <f>SUMPRODUCT((E79:G79+E80:G80)/2,$B$17:$D$17)*$B$6</f>
        <v/>
      </c>
      <c r="N79" s="4">
        <f>M79*J79</f>
        <v/>
      </c>
      <c r="O79" s="4">
        <f>SUMPRODUCT((E79:G79+E80:G80)/2,$B$18:$D$18)*$B$6</f>
        <v/>
      </c>
      <c r="P79" s="4">
        <f>O79*J79</f>
        <v/>
      </c>
      <c r="Q79" s="4">
        <f>SUMPRODUCT((E79:G79+E80:G80)/2,$B$19:$D$19)*$B$6</f>
        <v/>
      </c>
      <c r="R79" s="4">
        <f>Q79*J79</f>
        <v/>
      </c>
      <c r="S79" s="4">
        <f>IF(A79=0,SUMPRODUCT((E79:G79+E80:G80)/2,$B$20:$D$20)*$B$6,0)</f>
        <v/>
      </c>
      <c r="T79" s="4">
        <f>S79*J79</f>
        <v/>
      </c>
      <c r="U79" s="4">
        <f>N79+P79+R79+T79</f>
        <v/>
      </c>
      <c r="V79">
        <f>SUMPRODUCT((E79:G79+E80:G80)/2,$B$24:$D$24)*$B$6</f>
        <v/>
      </c>
      <c r="W79" s="5">
        <f>V79*K79</f>
        <v/>
      </c>
      <c r="X79">
        <f>SUMPRODUCT((E79:G79+E80:G80)/2,$B$25:$D$25)*$B$6</f>
        <v/>
      </c>
      <c r="Y79">
        <f>X79*K79</f>
        <v/>
      </c>
    </row>
    <row r="80">
      <c r="A80" t="n">
        <v>51</v>
      </c>
      <c r="B80">
        <f>A80*$B$6</f>
        <v/>
      </c>
      <c r="C80" s="5">
        <f>EXP(-$B$12*B80)</f>
        <v/>
      </c>
      <c r="D80" s="5">
        <f>EXP(-$B$13*B80)</f>
        <v/>
      </c>
      <c r="E80">
        <f>C80</f>
        <v/>
      </c>
      <c r="F80">
        <f>D80-C80</f>
        <v/>
      </c>
      <c r="G80">
        <f>1-D80</f>
        <v/>
      </c>
      <c r="H80">
        <f>SUM(E80:G80)</f>
        <v/>
      </c>
      <c r="I80">
        <f>IF(AND(MIN(C80:D80)&gt;=0,MAX(C80:D80)&lt;=1,MIN(E80:G80)&gt;=-1E-10,ABS(H80-1)&lt;1E-8,C80&lt;=C79+1E-10,D80&lt;=D79+1E-10),"OK","ERROR")</f>
        <v/>
      </c>
      <c r="J80">
        <f>1/(1+$B$4)^(B80+$B$6/2)</f>
        <v/>
      </c>
      <c r="K80">
        <f>1/(1+$B$5)^(B80+$B$6/2)</f>
        <v/>
      </c>
      <c r="L80" t="inlineStr">
        <is>
          <t>Average endpoints</t>
        </is>
      </c>
      <c r="M80" s="4">
        <f>SUMPRODUCT((E80:G80+E81:G81)/2,$B$17:$D$17)*$B$6</f>
        <v/>
      </c>
      <c r="N80" s="4">
        <f>M80*J80</f>
        <v/>
      </c>
      <c r="O80" s="4">
        <f>SUMPRODUCT((E80:G80+E81:G81)/2,$B$18:$D$18)*$B$6</f>
        <v/>
      </c>
      <c r="P80" s="4">
        <f>O80*J80</f>
        <v/>
      </c>
      <c r="Q80" s="4">
        <f>SUMPRODUCT((E80:G80+E81:G81)/2,$B$19:$D$19)*$B$6</f>
        <v/>
      </c>
      <c r="R80" s="4">
        <f>Q80*J80</f>
        <v/>
      </c>
      <c r="S80" s="4">
        <f>IF(A80=0,SUMPRODUCT((E80:G80+E81:G81)/2,$B$20:$D$20)*$B$6,0)</f>
        <v/>
      </c>
      <c r="T80" s="4">
        <f>S80*J80</f>
        <v/>
      </c>
      <c r="U80" s="4">
        <f>N80+P80+R80+T80</f>
        <v/>
      </c>
      <c r="V80">
        <f>SUMPRODUCT((E80:G80+E81:G81)/2,$B$24:$D$24)*$B$6</f>
        <v/>
      </c>
      <c r="W80" s="5">
        <f>V80*K80</f>
        <v/>
      </c>
      <c r="X80">
        <f>SUMPRODUCT((E80:G80+E81:G81)/2,$B$25:$D$25)*$B$6</f>
        <v/>
      </c>
      <c r="Y80">
        <f>X80*K80</f>
        <v/>
      </c>
    </row>
    <row r="81">
      <c r="A81" t="n">
        <v>52</v>
      </c>
      <c r="B81">
        <f>A81*$B$6</f>
        <v/>
      </c>
      <c r="C81" s="5">
        <f>EXP(-$B$12*B81)</f>
        <v/>
      </c>
      <c r="D81" s="5">
        <f>EXP(-$B$13*B81)</f>
        <v/>
      </c>
      <c r="E81">
        <f>C81</f>
        <v/>
      </c>
      <c r="F81">
        <f>D81-C81</f>
        <v/>
      </c>
      <c r="G81">
        <f>1-D81</f>
        <v/>
      </c>
      <c r="H81">
        <f>SUM(E81:G81)</f>
        <v/>
      </c>
      <c r="I81">
        <f>IF(AND(MIN(C81:D81)&gt;=0,MAX(C81:D81)&lt;=1,MIN(E81:G81)&gt;=-1E-10,ABS(H81-1)&lt;1E-8,C81&lt;=C80+1E-10,D81&lt;=D80+1E-10),"OK","ERROR")</f>
        <v/>
      </c>
      <c r="J81">
        <f>1/(1+$B$4)^(B81+$B$6/2)</f>
        <v/>
      </c>
      <c r="K81">
        <f>1/(1+$B$5)^(B81+$B$6/2)</f>
        <v/>
      </c>
      <c r="L81" t="inlineStr">
        <is>
          <t>Average endpoints</t>
        </is>
      </c>
      <c r="M81" s="4">
        <f>SUMPRODUCT((E81:G81+E82:G82)/2,$B$17:$D$17)*$B$6</f>
        <v/>
      </c>
      <c r="N81" s="4">
        <f>M81*J81</f>
        <v/>
      </c>
      <c r="O81" s="4">
        <f>SUMPRODUCT((E81:G81+E82:G82)/2,$B$18:$D$18)*$B$6</f>
        <v/>
      </c>
      <c r="P81" s="4">
        <f>O81*J81</f>
        <v/>
      </c>
      <c r="Q81" s="4">
        <f>SUMPRODUCT((E81:G81+E82:G82)/2,$B$19:$D$19)*$B$6</f>
        <v/>
      </c>
      <c r="R81" s="4">
        <f>Q81*J81</f>
        <v/>
      </c>
      <c r="S81" s="4">
        <f>IF(A81=0,SUMPRODUCT((E81:G81+E82:G82)/2,$B$20:$D$20)*$B$6,0)</f>
        <v/>
      </c>
      <c r="T81" s="4">
        <f>S81*J81</f>
        <v/>
      </c>
      <c r="U81" s="4">
        <f>N81+P81+R81+T81</f>
        <v/>
      </c>
      <c r="V81">
        <f>SUMPRODUCT((E81:G81+E82:G82)/2,$B$24:$D$24)*$B$6</f>
        <v/>
      </c>
      <c r="W81" s="5">
        <f>V81*K81</f>
        <v/>
      </c>
      <c r="X81">
        <f>SUMPRODUCT((E81:G81+E82:G82)/2,$B$25:$D$25)*$B$6</f>
        <v/>
      </c>
      <c r="Y81">
        <f>X81*K81</f>
        <v/>
      </c>
    </row>
    <row r="82">
      <c r="A82" t="n">
        <v>53</v>
      </c>
      <c r="B82">
        <f>A82*$B$6</f>
        <v/>
      </c>
      <c r="C82" s="5">
        <f>EXP(-$B$12*B82)</f>
        <v/>
      </c>
      <c r="D82" s="5">
        <f>EXP(-$B$13*B82)</f>
        <v/>
      </c>
      <c r="E82">
        <f>C82</f>
        <v/>
      </c>
      <c r="F82">
        <f>D82-C82</f>
        <v/>
      </c>
      <c r="G82">
        <f>1-D82</f>
        <v/>
      </c>
      <c r="H82">
        <f>SUM(E82:G82)</f>
        <v/>
      </c>
      <c r="I82">
        <f>IF(AND(MIN(C82:D82)&gt;=0,MAX(C82:D82)&lt;=1,MIN(E82:G82)&gt;=-1E-10,ABS(H82-1)&lt;1E-8,C82&lt;=C81+1E-10,D82&lt;=D81+1E-10),"OK","ERROR")</f>
        <v/>
      </c>
      <c r="J82">
        <f>1/(1+$B$4)^(B82+$B$6/2)</f>
        <v/>
      </c>
      <c r="K82">
        <f>1/(1+$B$5)^(B82+$B$6/2)</f>
        <v/>
      </c>
      <c r="L82" t="inlineStr">
        <is>
          <t>Average endpoints</t>
        </is>
      </c>
      <c r="M82" s="4">
        <f>SUMPRODUCT((E82:G82+E83:G83)/2,$B$17:$D$17)*$B$6</f>
        <v/>
      </c>
      <c r="N82" s="4">
        <f>M82*J82</f>
        <v/>
      </c>
      <c r="O82" s="4">
        <f>SUMPRODUCT((E82:G82+E83:G83)/2,$B$18:$D$18)*$B$6</f>
        <v/>
      </c>
      <c r="P82" s="4">
        <f>O82*J82</f>
        <v/>
      </c>
      <c r="Q82" s="4">
        <f>SUMPRODUCT((E82:G82+E83:G83)/2,$B$19:$D$19)*$B$6</f>
        <v/>
      </c>
      <c r="R82" s="4">
        <f>Q82*J82</f>
        <v/>
      </c>
      <c r="S82" s="4">
        <f>IF(A82=0,SUMPRODUCT((E82:G82+E83:G83)/2,$B$20:$D$20)*$B$6,0)</f>
        <v/>
      </c>
      <c r="T82" s="4">
        <f>S82*J82</f>
        <v/>
      </c>
      <c r="U82" s="4">
        <f>N82+P82+R82+T82</f>
        <v/>
      </c>
      <c r="V82">
        <f>SUMPRODUCT((E82:G82+E83:G83)/2,$B$24:$D$24)*$B$6</f>
        <v/>
      </c>
      <c r="W82" s="5">
        <f>V82*K82</f>
        <v/>
      </c>
      <c r="X82">
        <f>SUMPRODUCT((E82:G82+E83:G83)/2,$B$25:$D$25)*$B$6</f>
        <v/>
      </c>
      <c r="Y82">
        <f>X82*K82</f>
        <v/>
      </c>
    </row>
    <row r="83">
      <c r="A83" t="n">
        <v>54</v>
      </c>
      <c r="B83">
        <f>A83*$B$6</f>
        <v/>
      </c>
      <c r="C83" s="5">
        <f>EXP(-$B$12*B83)</f>
        <v/>
      </c>
      <c r="D83" s="5">
        <f>EXP(-$B$13*B83)</f>
        <v/>
      </c>
      <c r="E83">
        <f>C83</f>
        <v/>
      </c>
      <c r="F83">
        <f>D83-C83</f>
        <v/>
      </c>
      <c r="G83">
        <f>1-D83</f>
        <v/>
      </c>
      <c r="H83">
        <f>SUM(E83:G83)</f>
        <v/>
      </c>
      <c r="I83">
        <f>IF(AND(MIN(C83:D83)&gt;=0,MAX(C83:D83)&lt;=1,MIN(E83:G83)&gt;=-1E-10,ABS(H83-1)&lt;1E-8,C83&lt;=C82+1E-10,D83&lt;=D82+1E-10),"OK","ERROR")</f>
        <v/>
      </c>
      <c r="J83">
        <f>1/(1+$B$4)^(B83+$B$6/2)</f>
        <v/>
      </c>
      <c r="K83">
        <f>1/(1+$B$5)^(B83+$B$6/2)</f>
        <v/>
      </c>
      <c r="L83" t="inlineStr">
        <is>
          <t>Average endpoints</t>
        </is>
      </c>
      <c r="M83" s="4">
        <f>SUMPRODUCT((E83:G83+E84:G84)/2,$B$17:$D$17)*$B$6</f>
        <v/>
      </c>
      <c r="N83" s="4">
        <f>M83*J83</f>
        <v/>
      </c>
      <c r="O83" s="4">
        <f>SUMPRODUCT((E83:G83+E84:G84)/2,$B$18:$D$18)*$B$6</f>
        <v/>
      </c>
      <c r="P83" s="4">
        <f>O83*J83</f>
        <v/>
      </c>
      <c r="Q83" s="4">
        <f>SUMPRODUCT((E83:G83+E84:G84)/2,$B$19:$D$19)*$B$6</f>
        <v/>
      </c>
      <c r="R83" s="4">
        <f>Q83*J83</f>
        <v/>
      </c>
      <c r="S83" s="4">
        <f>IF(A83=0,SUMPRODUCT((E83:G83+E84:G84)/2,$B$20:$D$20)*$B$6,0)</f>
        <v/>
      </c>
      <c r="T83" s="4">
        <f>S83*J83</f>
        <v/>
      </c>
      <c r="U83" s="4">
        <f>N83+P83+R83+T83</f>
        <v/>
      </c>
      <c r="V83">
        <f>SUMPRODUCT((E83:G83+E84:G84)/2,$B$24:$D$24)*$B$6</f>
        <v/>
      </c>
      <c r="W83" s="5">
        <f>V83*K83</f>
        <v/>
      </c>
      <c r="X83">
        <f>SUMPRODUCT((E83:G83+E84:G84)/2,$B$25:$D$25)*$B$6</f>
        <v/>
      </c>
      <c r="Y83">
        <f>X83*K83</f>
        <v/>
      </c>
    </row>
    <row r="84">
      <c r="A84" t="n">
        <v>55</v>
      </c>
      <c r="B84">
        <f>A84*$B$6</f>
        <v/>
      </c>
      <c r="C84" s="5">
        <f>EXP(-$B$12*B84)</f>
        <v/>
      </c>
      <c r="D84" s="5">
        <f>EXP(-$B$13*B84)</f>
        <v/>
      </c>
      <c r="E84">
        <f>C84</f>
        <v/>
      </c>
      <c r="F84">
        <f>D84-C84</f>
        <v/>
      </c>
      <c r="G84">
        <f>1-D84</f>
        <v/>
      </c>
      <c r="H84">
        <f>SUM(E84:G84)</f>
        <v/>
      </c>
      <c r="I84">
        <f>IF(AND(MIN(C84:D84)&gt;=0,MAX(C84:D84)&lt;=1,MIN(E84:G84)&gt;=-1E-10,ABS(H84-1)&lt;1E-8,C84&lt;=C83+1E-10,D84&lt;=D83+1E-10),"OK","ERROR")</f>
        <v/>
      </c>
      <c r="J84">
        <f>1/(1+$B$4)^(B84+$B$6/2)</f>
        <v/>
      </c>
      <c r="K84">
        <f>1/(1+$B$5)^(B84+$B$6/2)</f>
        <v/>
      </c>
      <c r="L84" t="inlineStr">
        <is>
          <t>Average endpoints</t>
        </is>
      </c>
      <c r="M84" s="4">
        <f>SUMPRODUCT((E84:G84+E85:G85)/2,$B$17:$D$17)*$B$6</f>
        <v/>
      </c>
      <c r="N84" s="4">
        <f>M84*J84</f>
        <v/>
      </c>
      <c r="O84" s="4">
        <f>SUMPRODUCT((E84:G84+E85:G85)/2,$B$18:$D$18)*$B$6</f>
        <v/>
      </c>
      <c r="P84" s="4">
        <f>O84*J84</f>
        <v/>
      </c>
      <c r="Q84" s="4">
        <f>SUMPRODUCT((E84:G84+E85:G85)/2,$B$19:$D$19)*$B$6</f>
        <v/>
      </c>
      <c r="R84" s="4">
        <f>Q84*J84</f>
        <v/>
      </c>
      <c r="S84" s="4">
        <f>IF(A84=0,SUMPRODUCT((E84:G84+E85:G85)/2,$B$20:$D$20)*$B$6,0)</f>
        <v/>
      </c>
      <c r="T84" s="4">
        <f>S84*J84</f>
        <v/>
      </c>
      <c r="U84" s="4">
        <f>N84+P84+R84+T84</f>
        <v/>
      </c>
      <c r="V84">
        <f>SUMPRODUCT((E84:G84+E85:G85)/2,$B$24:$D$24)*$B$6</f>
        <v/>
      </c>
      <c r="W84" s="5">
        <f>V84*K84</f>
        <v/>
      </c>
      <c r="X84">
        <f>SUMPRODUCT((E84:G84+E85:G85)/2,$B$25:$D$25)*$B$6</f>
        <v/>
      </c>
      <c r="Y84">
        <f>X84*K84</f>
        <v/>
      </c>
    </row>
    <row r="85">
      <c r="A85" t="n">
        <v>56</v>
      </c>
      <c r="B85">
        <f>A85*$B$6</f>
        <v/>
      </c>
      <c r="C85" s="5">
        <f>EXP(-$B$12*B85)</f>
        <v/>
      </c>
      <c r="D85" s="5">
        <f>EXP(-$B$13*B85)</f>
        <v/>
      </c>
      <c r="E85">
        <f>C85</f>
        <v/>
      </c>
      <c r="F85">
        <f>D85-C85</f>
        <v/>
      </c>
      <c r="G85">
        <f>1-D85</f>
        <v/>
      </c>
      <c r="H85">
        <f>SUM(E85:G85)</f>
        <v/>
      </c>
      <c r="I85">
        <f>IF(AND(MIN(C85:D85)&gt;=0,MAX(C85:D85)&lt;=1,MIN(E85:G85)&gt;=-1E-10,ABS(H85-1)&lt;1E-8,C85&lt;=C84+1E-10,D85&lt;=D84+1E-10),"OK","ERROR")</f>
        <v/>
      </c>
      <c r="J85">
        <f>1/(1+$B$4)^(B85+$B$6/2)</f>
        <v/>
      </c>
      <c r="K85">
        <f>1/(1+$B$5)^(B85+$B$6/2)</f>
        <v/>
      </c>
      <c r="L85" t="inlineStr">
        <is>
          <t>Average endpoints</t>
        </is>
      </c>
      <c r="M85" s="4">
        <f>SUMPRODUCT((E85:G85+E86:G86)/2,$B$17:$D$17)*$B$6</f>
        <v/>
      </c>
      <c r="N85" s="4">
        <f>M85*J85</f>
        <v/>
      </c>
      <c r="O85" s="4">
        <f>SUMPRODUCT((E85:G85+E86:G86)/2,$B$18:$D$18)*$B$6</f>
        <v/>
      </c>
      <c r="P85" s="4">
        <f>O85*J85</f>
        <v/>
      </c>
      <c r="Q85" s="4">
        <f>SUMPRODUCT((E85:G85+E86:G86)/2,$B$19:$D$19)*$B$6</f>
        <v/>
      </c>
      <c r="R85" s="4">
        <f>Q85*J85</f>
        <v/>
      </c>
      <c r="S85" s="4">
        <f>IF(A85=0,SUMPRODUCT((E85:G85+E86:G86)/2,$B$20:$D$20)*$B$6,0)</f>
        <v/>
      </c>
      <c r="T85" s="4">
        <f>S85*J85</f>
        <v/>
      </c>
      <c r="U85" s="4">
        <f>N85+P85+R85+T85</f>
        <v/>
      </c>
      <c r="V85">
        <f>SUMPRODUCT((E85:G85+E86:G86)/2,$B$24:$D$24)*$B$6</f>
        <v/>
      </c>
      <c r="W85" s="5">
        <f>V85*K85</f>
        <v/>
      </c>
      <c r="X85">
        <f>SUMPRODUCT((E85:G85+E86:G86)/2,$B$25:$D$25)*$B$6</f>
        <v/>
      </c>
      <c r="Y85">
        <f>X85*K85</f>
        <v/>
      </c>
    </row>
    <row r="86">
      <c r="A86" t="n">
        <v>57</v>
      </c>
      <c r="B86">
        <f>A86*$B$6</f>
        <v/>
      </c>
      <c r="C86" s="5">
        <f>EXP(-$B$12*B86)</f>
        <v/>
      </c>
      <c r="D86" s="5">
        <f>EXP(-$B$13*B86)</f>
        <v/>
      </c>
      <c r="E86">
        <f>C86</f>
        <v/>
      </c>
      <c r="F86">
        <f>D86-C86</f>
        <v/>
      </c>
      <c r="G86">
        <f>1-D86</f>
        <v/>
      </c>
      <c r="H86">
        <f>SUM(E86:G86)</f>
        <v/>
      </c>
      <c r="I86">
        <f>IF(AND(MIN(C86:D86)&gt;=0,MAX(C86:D86)&lt;=1,MIN(E86:G86)&gt;=-1E-10,ABS(H86-1)&lt;1E-8,C86&lt;=C85+1E-10,D86&lt;=D85+1E-10),"OK","ERROR")</f>
        <v/>
      </c>
      <c r="J86">
        <f>1/(1+$B$4)^(B86+$B$6/2)</f>
        <v/>
      </c>
      <c r="K86">
        <f>1/(1+$B$5)^(B86+$B$6/2)</f>
        <v/>
      </c>
      <c r="L86" t="inlineStr">
        <is>
          <t>Average endpoints</t>
        </is>
      </c>
      <c r="M86" s="4">
        <f>SUMPRODUCT((E86:G86+E87:G87)/2,$B$17:$D$17)*$B$6</f>
        <v/>
      </c>
      <c r="N86" s="4">
        <f>M86*J86</f>
        <v/>
      </c>
      <c r="O86" s="4">
        <f>SUMPRODUCT((E86:G86+E87:G87)/2,$B$18:$D$18)*$B$6</f>
        <v/>
      </c>
      <c r="P86" s="4">
        <f>O86*J86</f>
        <v/>
      </c>
      <c r="Q86" s="4">
        <f>SUMPRODUCT((E86:G86+E87:G87)/2,$B$19:$D$19)*$B$6</f>
        <v/>
      </c>
      <c r="R86" s="4">
        <f>Q86*J86</f>
        <v/>
      </c>
      <c r="S86" s="4">
        <f>IF(A86=0,SUMPRODUCT((E86:G86+E87:G87)/2,$B$20:$D$20)*$B$6,0)</f>
        <v/>
      </c>
      <c r="T86" s="4">
        <f>S86*J86</f>
        <v/>
      </c>
      <c r="U86" s="4">
        <f>N86+P86+R86+T86</f>
        <v/>
      </c>
      <c r="V86">
        <f>SUMPRODUCT((E86:G86+E87:G87)/2,$B$24:$D$24)*$B$6</f>
        <v/>
      </c>
      <c r="W86" s="5">
        <f>V86*K86</f>
        <v/>
      </c>
      <c r="X86">
        <f>SUMPRODUCT((E86:G86+E87:G87)/2,$B$25:$D$25)*$B$6</f>
        <v/>
      </c>
      <c r="Y86">
        <f>X86*K86</f>
        <v/>
      </c>
    </row>
    <row r="87">
      <c r="A87" t="n">
        <v>58</v>
      </c>
      <c r="B87">
        <f>A87*$B$6</f>
        <v/>
      </c>
      <c r="C87" s="5">
        <f>EXP(-$B$12*B87)</f>
        <v/>
      </c>
      <c r="D87" s="5">
        <f>EXP(-$B$13*B87)</f>
        <v/>
      </c>
      <c r="E87">
        <f>C87</f>
        <v/>
      </c>
      <c r="F87">
        <f>D87-C87</f>
        <v/>
      </c>
      <c r="G87">
        <f>1-D87</f>
        <v/>
      </c>
      <c r="H87">
        <f>SUM(E87:G87)</f>
        <v/>
      </c>
      <c r="I87">
        <f>IF(AND(MIN(C87:D87)&gt;=0,MAX(C87:D87)&lt;=1,MIN(E87:G87)&gt;=-1E-10,ABS(H87-1)&lt;1E-8,C87&lt;=C86+1E-10,D87&lt;=D86+1E-10),"OK","ERROR")</f>
        <v/>
      </c>
      <c r="J87">
        <f>1/(1+$B$4)^(B87+$B$6/2)</f>
        <v/>
      </c>
      <c r="K87">
        <f>1/(1+$B$5)^(B87+$B$6/2)</f>
        <v/>
      </c>
      <c r="L87" t="inlineStr">
        <is>
          <t>Average endpoints</t>
        </is>
      </c>
      <c r="M87" s="4">
        <f>SUMPRODUCT((E87:G87+E88:G88)/2,$B$17:$D$17)*$B$6</f>
        <v/>
      </c>
      <c r="N87" s="4">
        <f>M87*J87</f>
        <v/>
      </c>
      <c r="O87" s="4">
        <f>SUMPRODUCT((E87:G87+E88:G88)/2,$B$18:$D$18)*$B$6</f>
        <v/>
      </c>
      <c r="P87" s="4">
        <f>O87*J87</f>
        <v/>
      </c>
      <c r="Q87" s="4">
        <f>SUMPRODUCT((E87:G87+E88:G88)/2,$B$19:$D$19)*$B$6</f>
        <v/>
      </c>
      <c r="R87" s="4">
        <f>Q87*J87</f>
        <v/>
      </c>
      <c r="S87" s="4">
        <f>IF(A87=0,SUMPRODUCT((E87:G87+E88:G88)/2,$B$20:$D$20)*$B$6,0)</f>
        <v/>
      </c>
      <c r="T87" s="4">
        <f>S87*J87</f>
        <v/>
      </c>
      <c r="U87" s="4">
        <f>N87+P87+R87+T87</f>
        <v/>
      </c>
      <c r="V87">
        <f>SUMPRODUCT((E87:G87+E88:G88)/2,$B$24:$D$24)*$B$6</f>
        <v/>
      </c>
      <c r="W87" s="5">
        <f>V87*K87</f>
        <v/>
      </c>
      <c r="X87">
        <f>SUMPRODUCT((E87:G87+E88:G88)/2,$B$25:$D$25)*$B$6</f>
        <v/>
      </c>
      <c r="Y87">
        <f>X87*K87</f>
        <v/>
      </c>
    </row>
    <row r="88">
      <c r="A88" t="n">
        <v>59</v>
      </c>
      <c r="B88">
        <f>A88*$B$6</f>
        <v/>
      </c>
      <c r="C88" s="5">
        <f>EXP(-$B$12*B88)</f>
        <v/>
      </c>
      <c r="D88" s="5">
        <f>EXP(-$B$13*B88)</f>
        <v/>
      </c>
      <c r="E88">
        <f>C88</f>
        <v/>
      </c>
      <c r="F88">
        <f>D88-C88</f>
        <v/>
      </c>
      <c r="G88">
        <f>1-D88</f>
        <v/>
      </c>
      <c r="H88">
        <f>SUM(E88:G88)</f>
        <v/>
      </c>
      <c r="I88">
        <f>IF(AND(MIN(C88:D88)&gt;=0,MAX(C88:D88)&lt;=1,MIN(E88:G88)&gt;=-1E-10,ABS(H88-1)&lt;1E-8,C88&lt;=C87+1E-10,D88&lt;=D87+1E-10),"OK","ERROR")</f>
        <v/>
      </c>
      <c r="J88">
        <f>1/(1+$B$4)^(B88+$B$6/2)</f>
        <v/>
      </c>
      <c r="K88">
        <f>1/(1+$B$5)^(B88+$B$6/2)</f>
        <v/>
      </c>
      <c r="L88" t="inlineStr">
        <is>
          <t>Average endpoints</t>
        </is>
      </c>
      <c r="M88" s="4">
        <f>SUMPRODUCT((E88:G88+E89:G89)/2,$B$17:$D$17)*$B$6</f>
        <v/>
      </c>
      <c r="N88" s="4">
        <f>M88*J88</f>
        <v/>
      </c>
      <c r="O88" s="4">
        <f>SUMPRODUCT((E88:G88+E89:G89)/2,$B$18:$D$18)*$B$6</f>
        <v/>
      </c>
      <c r="P88" s="4">
        <f>O88*J88</f>
        <v/>
      </c>
      <c r="Q88" s="4">
        <f>SUMPRODUCT((E88:G88+E89:G89)/2,$B$19:$D$19)*$B$6</f>
        <v/>
      </c>
      <c r="R88" s="4">
        <f>Q88*J88</f>
        <v/>
      </c>
      <c r="S88" s="4">
        <f>IF(A88=0,SUMPRODUCT((E88:G88+E89:G89)/2,$B$20:$D$20)*$B$6,0)</f>
        <v/>
      </c>
      <c r="T88" s="4">
        <f>S88*J88</f>
        <v/>
      </c>
      <c r="U88" s="4">
        <f>N88+P88+R88+T88</f>
        <v/>
      </c>
      <c r="V88">
        <f>SUMPRODUCT((E88:G88+E89:G89)/2,$B$24:$D$24)*$B$6</f>
        <v/>
      </c>
      <c r="W88" s="5">
        <f>V88*K88</f>
        <v/>
      </c>
      <c r="X88">
        <f>SUMPRODUCT((E88:G88+E89:G89)/2,$B$25:$D$25)*$B$6</f>
        <v/>
      </c>
      <c r="Y88">
        <f>X88*K88</f>
        <v/>
      </c>
    </row>
    <row r="89">
      <c r="A89" t="n">
        <v>60</v>
      </c>
      <c r="B89">
        <f>A89*$B$6</f>
        <v/>
      </c>
      <c r="C89" s="5">
        <f>EXP(-$B$12*B89)</f>
        <v/>
      </c>
      <c r="D89" s="5">
        <f>EXP(-$B$13*B89)</f>
        <v/>
      </c>
      <c r="E89">
        <f>C89</f>
        <v/>
      </c>
      <c r="F89">
        <f>D89-C89</f>
        <v/>
      </c>
      <c r="G89">
        <f>1-D89</f>
        <v/>
      </c>
      <c r="H89">
        <f>SUM(E89:G89)</f>
        <v/>
      </c>
      <c r="I89">
        <f>IF(AND(MIN(C89:D89)&gt;=0,MAX(C89:D89)&lt;=1,MIN(E89:G89)&gt;=-1E-10,ABS(H89-1)&lt;1E-8,C89&lt;=C88+1E-10,D89&lt;=D88+1E-10),"OK","ERROR")</f>
        <v/>
      </c>
      <c r="J89">
        <f>1/(1+$B$4)^(B89+$B$6/2)</f>
        <v/>
      </c>
      <c r="K89">
        <f>1/(1+$B$5)^(B89+$B$6/2)</f>
        <v/>
      </c>
      <c r="L89" t="inlineStr">
        <is>
          <t>Average endpoints</t>
        </is>
      </c>
      <c r="M89" s="4">
        <f>SUMPRODUCT((E89:G89+E90:G90)/2,$B$17:$D$17)*$B$6</f>
        <v/>
      </c>
      <c r="N89" s="4">
        <f>M89*J89</f>
        <v/>
      </c>
      <c r="O89" s="4">
        <f>SUMPRODUCT((E89:G89+E90:G90)/2,$B$18:$D$18)*$B$6</f>
        <v/>
      </c>
      <c r="P89" s="4">
        <f>O89*J89</f>
        <v/>
      </c>
      <c r="Q89" s="4">
        <f>SUMPRODUCT((E89:G89+E90:G90)/2,$B$19:$D$19)*$B$6</f>
        <v/>
      </c>
      <c r="R89" s="4">
        <f>Q89*J89</f>
        <v/>
      </c>
      <c r="S89" s="4">
        <f>IF(A89=0,SUMPRODUCT((E89:G89+E90:G90)/2,$B$20:$D$20)*$B$6,0)</f>
        <v/>
      </c>
      <c r="T89" s="4">
        <f>S89*J89</f>
        <v/>
      </c>
      <c r="U89" s="4">
        <f>N89+P89+R89+T89</f>
        <v/>
      </c>
      <c r="V89">
        <f>SUMPRODUCT((E89:G89+E90:G90)/2,$B$24:$D$24)*$B$6</f>
        <v/>
      </c>
      <c r="W89" s="5">
        <f>V89*K89</f>
        <v/>
      </c>
      <c r="X89">
        <f>SUMPRODUCT((E89:G89+E90:G90)/2,$B$25:$D$25)*$B$6</f>
        <v/>
      </c>
      <c r="Y89">
        <f>X89*K89</f>
        <v/>
      </c>
    </row>
    <row r="90">
      <c r="A90" t="n">
        <v>61</v>
      </c>
      <c r="B90">
        <f>A90*$B$6</f>
        <v/>
      </c>
      <c r="C90" s="5">
        <f>EXP(-$B$12*B90)</f>
        <v/>
      </c>
      <c r="D90" s="5">
        <f>EXP(-$B$13*B90)</f>
        <v/>
      </c>
      <c r="E90">
        <f>C90</f>
        <v/>
      </c>
      <c r="F90">
        <f>D90-C90</f>
        <v/>
      </c>
      <c r="G90">
        <f>1-D90</f>
        <v/>
      </c>
      <c r="H90">
        <f>SUM(E90:G90)</f>
        <v/>
      </c>
      <c r="I90">
        <f>IF(AND(MIN(C90:D90)&gt;=0,MAX(C90:D90)&lt;=1,MIN(E90:G90)&gt;=-1E-10,ABS(H90-1)&lt;1E-8,C90&lt;=C89+1E-10,D90&lt;=D89+1E-10),"OK","ERROR")</f>
        <v/>
      </c>
      <c r="J90">
        <f>1/(1+$B$4)^(B90+$B$6/2)</f>
        <v/>
      </c>
      <c r="K90">
        <f>1/(1+$B$5)^(B90+$B$6/2)</f>
        <v/>
      </c>
      <c r="L90" t="inlineStr">
        <is>
          <t>Average endpoints</t>
        </is>
      </c>
      <c r="M90" s="4">
        <f>SUMPRODUCT((E90:G90+E91:G91)/2,$B$17:$D$17)*$B$6</f>
        <v/>
      </c>
      <c r="N90" s="4">
        <f>M90*J90</f>
        <v/>
      </c>
      <c r="O90" s="4">
        <f>SUMPRODUCT((E90:G90+E91:G91)/2,$B$18:$D$18)*$B$6</f>
        <v/>
      </c>
      <c r="P90" s="4">
        <f>O90*J90</f>
        <v/>
      </c>
      <c r="Q90" s="4">
        <f>SUMPRODUCT((E90:G90+E91:G91)/2,$B$19:$D$19)*$B$6</f>
        <v/>
      </c>
      <c r="R90" s="4">
        <f>Q90*J90</f>
        <v/>
      </c>
      <c r="S90" s="4">
        <f>IF(A90=0,SUMPRODUCT((E90:G90+E91:G91)/2,$B$20:$D$20)*$B$6,0)</f>
        <v/>
      </c>
      <c r="T90" s="4">
        <f>S90*J90</f>
        <v/>
      </c>
      <c r="U90" s="4">
        <f>N90+P90+R90+T90</f>
        <v/>
      </c>
      <c r="V90">
        <f>SUMPRODUCT((E90:G90+E91:G91)/2,$B$24:$D$24)*$B$6</f>
        <v/>
      </c>
      <c r="W90" s="5">
        <f>V90*K90</f>
        <v/>
      </c>
      <c r="X90">
        <f>SUMPRODUCT((E90:G90+E91:G91)/2,$B$25:$D$25)*$B$6</f>
        <v/>
      </c>
      <c r="Y90">
        <f>X90*K90</f>
        <v/>
      </c>
    </row>
    <row r="91">
      <c r="A91" t="n">
        <v>62</v>
      </c>
      <c r="B91">
        <f>A91*$B$6</f>
        <v/>
      </c>
      <c r="C91" s="5">
        <f>EXP(-$B$12*B91)</f>
        <v/>
      </c>
      <c r="D91" s="5">
        <f>EXP(-$B$13*B91)</f>
        <v/>
      </c>
      <c r="E91">
        <f>C91</f>
        <v/>
      </c>
      <c r="F91">
        <f>D91-C91</f>
        <v/>
      </c>
      <c r="G91">
        <f>1-D91</f>
        <v/>
      </c>
      <c r="H91">
        <f>SUM(E91:G91)</f>
        <v/>
      </c>
      <c r="I91">
        <f>IF(AND(MIN(C91:D91)&gt;=0,MAX(C91:D91)&lt;=1,MIN(E91:G91)&gt;=-1E-10,ABS(H91-1)&lt;1E-8,C91&lt;=C90+1E-10,D91&lt;=D90+1E-10),"OK","ERROR")</f>
        <v/>
      </c>
      <c r="J91">
        <f>1/(1+$B$4)^(B91+$B$6/2)</f>
        <v/>
      </c>
      <c r="K91">
        <f>1/(1+$B$5)^(B91+$B$6/2)</f>
        <v/>
      </c>
      <c r="L91" t="inlineStr">
        <is>
          <t>Average endpoints</t>
        </is>
      </c>
      <c r="M91" s="4">
        <f>SUMPRODUCT((E91:G91+E92:G92)/2,$B$17:$D$17)*$B$6</f>
        <v/>
      </c>
      <c r="N91" s="4">
        <f>M91*J91</f>
        <v/>
      </c>
      <c r="O91" s="4">
        <f>SUMPRODUCT((E91:G91+E92:G92)/2,$B$18:$D$18)*$B$6</f>
        <v/>
      </c>
      <c r="P91" s="4">
        <f>O91*J91</f>
        <v/>
      </c>
      <c r="Q91" s="4">
        <f>SUMPRODUCT((E91:G91+E92:G92)/2,$B$19:$D$19)*$B$6</f>
        <v/>
      </c>
      <c r="R91" s="4">
        <f>Q91*J91</f>
        <v/>
      </c>
      <c r="S91" s="4">
        <f>IF(A91=0,SUMPRODUCT((E91:G91+E92:G92)/2,$B$20:$D$20)*$B$6,0)</f>
        <v/>
      </c>
      <c r="T91" s="4">
        <f>S91*J91</f>
        <v/>
      </c>
      <c r="U91" s="4">
        <f>N91+P91+R91+T91</f>
        <v/>
      </c>
      <c r="V91">
        <f>SUMPRODUCT((E91:G91+E92:G92)/2,$B$24:$D$24)*$B$6</f>
        <v/>
      </c>
      <c r="W91" s="5">
        <f>V91*K91</f>
        <v/>
      </c>
      <c r="X91">
        <f>SUMPRODUCT((E91:G91+E92:G92)/2,$B$25:$D$25)*$B$6</f>
        <v/>
      </c>
      <c r="Y91">
        <f>X91*K91</f>
        <v/>
      </c>
    </row>
    <row r="92">
      <c r="A92" t="n">
        <v>63</v>
      </c>
      <c r="B92">
        <f>A92*$B$6</f>
        <v/>
      </c>
      <c r="C92" s="5">
        <f>EXP(-$B$12*B92)</f>
        <v/>
      </c>
      <c r="D92" s="5">
        <f>EXP(-$B$13*B92)</f>
        <v/>
      </c>
      <c r="E92">
        <f>C92</f>
        <v/>
      </c>
      <c r="F92">
        <f>D92-C92</f>
        <v/>
      </c>
      <c r="G92">
        <f>1-D92</f>
        <v/>
      </c>
      <c r="H92">
        <f>SUM(E92:G92)</f>
        <v/>
      </c>
      <c r="I92">
        <f>IF(AND(MIN(C92:D92)&gt;=0,MAX(C92:D92)&lt;=1,MIN(E92:G92)&gt;=-1E-10,ABS(H92-1)&lt;1E-8,C92&lt;=C91+1E-10,D92&lt;=D91+1E-10),"OK","ERROR")</f>
        <v/>
      </c>
      <c r="J92">
        <f>1/(1+$B$4)^(B92+$B$6/2)</f>
        <v/>
      </c>
      <c r="K92">
        <f>1/(1+$B$5)^(B92+$B$6/2)</f>
        <v/>
      </c>
      <c r="L92" t="inlineStr">
        <is>
          <t>Average endpoints</t>
        </is>
      </c>
      <c r="M92" s="4">
        <f>SUMPRODUCT((E92:G92+E93:G93)/2,$B$17:$D$17)*$B$6</f>
        <v/>
      </c>
      <c r="N92" s="4">
        <f>M92*J92</f>
        <v/>
      </c>
      <c r="O92" s="4">
        <f>SUMPRODUCT((E92:G92+E93:G93)/2,$B$18:$D$18)*$B$6</f>
        <v/>
      </c>
      <c r="P92" s="4">
        <f>O92*J92</f>
        <v/>
      </c>
      <c r="Q92" s="4">
        <f>SUMPRODUCT((E92:G92+E93:G93)/2,$B$19:$D$19)*$B$6</f>
        <v/>
      </c>
      <c r="R92" s="4">
        <f>Q92*J92</f>
        <v/>
      </c>
      <c r="S92" s="4">
        <f>IF(A92=0,SUMPRODUCT((E92:G92+E93:G93)/2,$B$20:$D$20)*$B$6,0)</f>
        <v/>
      </c>
      <c r="T92" s="4">
        <f>S92*J92</f>
        <v/>
      </c>
      <c r="U92" s="4">
        <f>N92+P92+R92+T92</f>
        <v/>
      </c>
      <c r="V92">
        <f>SUMPRODUCT((E92:G92+E93:G93)/2,$B$24:$D$24)*$B$6</f>
        <v/>
      </c>
      <c r="W92" s="5">
        <f>V92*K92</f>
        <v/>
      </c>
      <c r="X92">
        <f>SUMPRODUCT((E92:G92+E93:G93)/2,$B$25:$D$25)*$B$6</f>
        <v/>
      </c>
      <c r="Y92">
        <f>X92*K92</f>
        <v/>
      </c>
    </row>
    <row r="93">
      <c r="A93" t="n">
        <v>64</v>
      </c>
      <c r="B93">
        <f>A93*$B$6</f>
        <v/>
      </c>
      <c r="C93" s="5">
        <f>EXP(-$B$12*B93)</f>
        <v/>
      </c>
      <c r="D93" s="5">
        <f>EXP(-$B$13*B93)</f>
        <v/>
      </c>
      <c r="E93">
        <f>C93</f>
        <v/>
      </c>
      <c r="F93">
        <f>D93-C93</f>
        <v/>
      </c>
      <c r="G93">
        <f>1-D93</f>
        <v/>
      </c>
      <c r="H93">
        <f>SUM(E93:G93)</f>
        <v/>
      </c>
      <c r="I93">
        <f>IF(AND(MIN(C93:D93)&gt;=0,MAX(C93:D93)&lt;=1,MIN(E93:G93)&gt;=-1E-10,ABS(H93-1)&lt;1E-8,C93&lt;=C92+1E-10,D93&lt;=D92+1E-10),"OK","ERROR")</f>
        <v/>
      </c>
      <c r="J93">
        <f>1/(1+$B$4)^(B93+$B$6/2)</f>
        <v/>
      </c>
      <c r="K93">
        <f>1/(1+$B$5)^(B93+$B$6/2)</f>
        <v/>
      </c>
      <c r="L93" t="inlineStr">
        <is>
          <t>Average endpoints</t>
        </is>
      </c>
      <c r="M93" s="4">
        <f>SUMPRODUCT((E93:G93+E94:G94)/2,$B$17:$D$17)*$B$6</f>
        <v/>
      </c>
      <c r="N93" s="4">
        <f>M93*J93</f>
        <v/>
      </c>
      <c r="O93" s="4">
        <f>SUMPRODUCT((E93:G93+E94:G94)/2,$B$18:$D$18)*$B$6</f>
        <v/>
      </c>
      <c r="P93" s="4">
        <f>O93*J93</f>
        <v/>
      </c>
      <c r="Q93" s="4">
        <f>SUMPRODUCT((E93:G93+E94:G94)/2,$B$19:$D$19)*$B$6</f>
        <v/>
      </c>
      <c r="R93" s="4">
        <f>Q93*J93</f>
        <v/>
      </c>
      <c r="S93" s="4">
        <f>IF(A93=0,SUMPRODUCT((E93:G93+E94:G94)/2,$B$20:$D$20)*$B$6,0)</f>
        <v/>
      </c>
      <c r="T93" s="4">
        <f>S93*J93</f>
        <v/>
      </c>
      <c r="U93" s="4">
        <f>N93+P93+R93+T93</f>
        <v/>
      </c>
      <c r="V93">
        <f>SUMPRODUCT((E93:G93+E94:G94)/2,$B$24:$D$24)*$B$6</f>
        <v/>
      </c>
      <c r="W93" s="5">
        <f>V93*K93</f>
        <v/>
      </c>
      <c r="X93">
        <f>SUMPRODUCT((E93:G93+E94:G94)/2,$B$25:$D$25)*$B$6</f>
        <v/>
      </c>
      <c r="Y93">
        <f>X93*K93</f>
        <v/>
      </c>
    </row>
    <row r="94">
      <c r="A94" t="n">
        <v>65</v>
      </c>
      <c r="B94">
        <f>A94*$B$6</f>
        <v/>
      </c>
      <c r="C94" s="5">
        <f>EXP(-$B$12*B94)</f>
        <v/>
      </c>
      <c r="D94" s="5">
        <f>EXP(-$B$13*B94)</f>
        <v/>
      </c>
      <c r="E94">
        <f>C94</f>
        <v/>
      </c>
      <c r="F94">
        <f>D94-C94</f>
        <v/>
      </c>
      <c r="G94">
        <f>1-D94</f>
        <v/>
      </c>
      <c r="H94">
        <f>SUM(E94:G94)</f>
        <v/>
      </c>
      <c r="I94">
        <f>IF(AND(MIN(C94:D94)&gt;=0,MAX(C94:D94)&lt;=1,MIN(E94:G94)&gt;=-1E-10,ABS(H94-1)&lt;1E-8,C94&lt;=C93+1E-10,D94&lt;=D93+1E-10),"OK","ERROR")</f>
        <v/>
      </c>
      <c r="J94">
        <f>1/(1+$B$4)^(B94+$B$6/2)</f>
        <v/>
      </c>
      <c r="K94">
        <f>1/(1+$B$5)^(B94+$B$6/2)</f>
        <v/>
      </c>
      <c r="L94" t="inlineStr">
        <is>
          <t>Average endpoints</t>
        </is>
      </c>
      <c r="M94" s="4">
        <f>SUMPRODUCT((E94:G94+E95:G95)/2,$B$17:$D$17)*$B$6</f>
        <v/>
      </c>
      <c r="N94" s="4">
        <f>M94*J94</f>
        <v/>
      </c>
      <c r="O94" s="4">
        <f>SUMPRODUCT((E94:G94+E95:G95)/2,$B$18:$D$18)*$B$6</f>
        <v/>
      </c>
      <c r="P94" s="4">
        <f>O94*J94</f>
        <v/>
      </c>
      <c r="Q94" s="4">
        <f>SUMPRODUCT((E94:G94+E95:G95)/2,$B$19:$D$19)*$B$6</f>
        <v/>
      </c>
      <c r="R94" s="4">
        <f>Q94*J94</f>
        <v/>
      </c>
      <c r="S94" s="4">
        <f>IF(A94=0,SUMPRODUCT((E94:G94+E95:G95)/2,$B$20:$D$20)*$B$6,0)</f>
        <v/>
      </c>
      <c r="T94" s="4">
        <f>S94*J94</f>
        <v/>
      </c>
      <c r="U94" s="4">
        <f>N94+P94+R94+T94</f>
        <v/>
      </c>
      <c r="V94">
        <f>SUMPRODUCT((E94:G94+E95:G95)/2,$B$24:$D$24)*$B$6</f>
        <v/>
      </c>
      <c r="W94" s="5">
        <f>V94*K94</f>
        <v/>
      </c>
      <c r="X94">
        <f>SUMPRODUCT((E94:G94+E95:G95)/2,$B$25:$D$25)*$B$6</f>
        <v/>
      </c>
      <c r="Y94">
        <f>X94*K94</f>
        <v/>
      </c>
    </row>
    <row r="95">
      <c r="A95" t="n">
        <v>66</v>
      </c>
      <c r="B95">
        <f>A95*$B$6</f>
        <v/>
      </c>
      <c r="C95" s="5">
        <f>EXP(-$B$12*B95)</f>
        <v/>
      </c>
      <c r="D95" s="5">
        <f>EXP(-$B$13*B95)</f>
        <v/>
      </c>
      <c r="E95">
        <f>C95</f>
        <v/>
      </c>
      <c r="F95">
        <f>D95-C95</f>
        <v/>
      </c>
      <c r="G95">
        <f>1-D95</f>
        <v/>
      </c>
      <c r="H95">
        <f>SUM(E95:G95)</f>
        <v/>
      </c>
      <c r="I95">
        <f>IF(AND(MIN(C95:D95)&gt;=0,MAX(C95:D95)&lt;=1,MIN(E95:G95)&gt;=-1E-10,ABS(H95-1)&lt;1E-8,C95&lt;=C94+1E-10,D95&lt;=D94+1E-10),"OK","ERROR")</f>
        <v/>
      </c>
      <c r="J95">
        <f>1/(1+$B$4)^(B95+$B$6/2)</f>
        <v/>
      </c>
      <c r="K95">
        <f>1/(1+$B$5)^(B95+$B$6/2)</f>
        <v/>
      </c>
      <c r="L95" t="inlineStr">
        <is>
          <t>Average endpoints</t>
        </is>
      </c>
      <c r="M95" s="4">
        <f>SUMPRODUCT((E95:G95+E96:G96)/2,$B$17:$D$17)*$B$6</f>
        <v/>
      </c>
      <c r="N95" s="4">
        <f>M95*J95</f>
        <v/>
      </c>
      <c r="O95" s="4">
        <f>SUMPRODUCT((E95:G95+E96:G96)/2,$B$18:$D$18)*$B$6</f>
        <v/>
      </c>
      <c r="P95" s="4">
        <f>O95*J95</f>
        <v/>
      </c>
      <c r="Q95" s="4">
        <f>SUMPRODUCT((E95:G95+E96:G96)/2,$B$19:$D$19)*$B$6</f>
        <v/>
      </c>
      <c r="R95" s="4">
        <f>Q95*J95</f>
        <v/>
      </c>
      <c r="S95" s="4">
        <f>IF(A95=0,SUMPRODUCT((E95:G95+E96:G96)/2,$B$20:$D$20)*$B$6,0)</f>
        <v/>
      </c>
      <c r="T95" s="4">
        <f>S95*J95</f>
        <v/>
      </c>
      <c r="U95" s="4">
        <f>N95+P95+R95+T95</f>
        <v/>
      </c>
      <c r="V95">
        <f>SUMPRODUCT((E95:G95+E96:G96)/2,$B$24:$D$24)*$B$6</f>
        <v/>
      </c>
      <c r="W95" s="5">
        <f>V95*K95</f>
        <v/>
      </c>
      <c r="X95">
        <f>SUMPRODUCT((E95:G95+E96:G96)/2,$B$25:$D$25)*$B$6</f>
        <v/>
      </c>
      <c r="Y95">
        <f>X95*K95</f>
        <v/>
      </c>
    </row>
    <row r="96">
      <c r="A96" t="n">
        <v>67</v>
      </c>
      <c r="B96">
        <f>A96*$B$6</f>
        <v/>
      </c>
      <c r="C96" s="5">
        <f>EXP(-$B$12*B96)</f>
        <v/>
      </c>
      <c r="D96" s="5">
        <f>EXP(-$B$13*B96)</f>
        <v/>
      </c>
      <c r="E96">
        <f>C96</f>
        <v/>
      </c>
      <c r="F96">
        <f>D96-C96</f>
        <v/>
      </c>
      <c r="G96">
        <f>1-D96</f>
        <v/>
      </c>
      <c r="H96">
        <f>SUM(E96:G96)</f>
        <v/>
      </c>
      <c r="I96">
        <f>IF(AND(MIN(C96:D96)&gt;=0,MAX(C96:D96)&lt;=1,MIN(E96:G96)&gt;=-1E-10,ABS(H96-1)&lt;1E-8,C96&lt;=C95+1E-10,D96&lt;=D95+1E-10),"OK","ERROR")</f>
        <v/>
      </c>
      <c r="J96">
        <f>1/(1+$B$4)^(B96+$B$6/2)</f>
        <v/>
      </c>
      <c r="K96">
        <f>1/(1+$B$5)^(B96+$B$6/2)</f>
        <v/>
      </c>
      <c r="L96" t="inlineStr">
        <is>
          <t>Average endpoints</t>
        </is>
      </c>
      <c r="M96" s="4">
        <f>SUMPRODUCT((E96:G96+E97:G97)/2,$B$17:$D$17)*$B$6</f>
        <v/>
      </c>
      <c r="N96" s="4">
        <f>M96*J96</f>
        <v/>
      </c>
      <c r="O96" s="4">
        <f>SUMPRODUCT((E96:G96+E97:G97)/2,$B$18:$D$18)*$B$6</f>
        <v/>
      </c>
      <c r="P96" s="4">
        <f>O96*J96</f>
        <v/>
      </c>
      <c r="Q96" s="4">
        <f>SUMPRODUCT((E96:G96+E97:G97)/2,$B$19:$D$19)*$B$6</f>
        <v/>
      </c>
      <c r="R96" s="4">
        <f>Q96*J96</f>
        <v/>
      </c>
      <c r="S96" s="4">
        <f>IF(A96=0,SUMPRODUCT((E96:G96+E97:G97)/2,$B$20:$D$20)*$B$6,0)</f>
        <v/>
      </c>
      <c r="T96" s="4">
        <f>S96*J96</f>
        <v/>
      </c>
      <c r="U96" s="4">
        <f>N96+P96+R96+T96</f>
        <v/>
      </c>
      <c r="V96">
        <f>SUMPRODUCT((E96:G96+E97:G97)/2,$B$24:$D$24)*$B$6</f>
        <v/>
      </c>
      <c r="W96" s="5">
        <f>V96*K96</f>
        <v/>
      </c>
      <c r="X96">
        <f>SUMPRODUCT((E96:G96+E97:G97)/2,$B$25:$D$25)*$B$6</f>
        <v/>
      </c>
      <c r="Y96">
        <f>X96*K96</f>
        <v/>
      </c>
    </row>
    <row r="97">
      <c r="A97" t="n">
        <v>68</v>
      </c>
      <c r="B97">
        <f>A97*$B$6</f>
        <v/>
      </c>
      <c r="C97" s="5">
        <f>EXP(-$B$12*B97)</f>
        <v/>
      </c>
      <c r="D97" s="5">
        <f>EXP(-$B$13*B97)</f>
        <v/>
      </c>
      <c r="E97">
        <f>C97</f>
        <v/>
      </c>
      <c r="F97">
        <f>D97-C97</f>
        <v/>
      </c>
      <c r="G97">
        <f>1-D97</f>
        <v/>
      </c>
      <c r="H97">
        <f>SUM(E97:G97)</f>
        <v/>
      </c>
      <c r="I97">
        <f>IF(AND(MIN(C97:D97)&gt;=0,MAX(C97:D97)&lt;=1,MIN(E97:G97)&gt;=-1E-10,ABS(H97-1)&lt;1E-8,C97&lt;=C96+1E-10,D97&lt;=D96+1E-10),"OK","ERROR")</f>
        <v/>
      </c>
      <c r="J97">
        <f>1/(1+$B$4)^(B97+$B$6/2)</f>
        <v/>
      </c>
      <c r="K97">
        <f>1/(1+$B$5)^(B97+$B$6/2)</f>
        <v/>
      </c>
      <c r="L97" t="inlineStr">
        <is>
          <t>Average endpoints</t>
        </is>
      </c>
      <c r="M97" s="4">
        <f>SUMPRODUCT((E97:G97+E98:G98)/2,$B$17:$D$17)*$B$6</f>
        <v/>
      </c>
      <c r="N97" s="4">
        <f>M97*J97</f>
        <v/>
      </c>
      <c r="O97" s="4">
        <f>SUMPRODUCT((E97:G97+E98:G98)/2,$B$18:$D$18)*$B$6</f>
        <v/>
      </c>
      <c r="P97" s="4">
        <f>O97*J97</f>
        <v/>
      </c>
      <c r="Q97" s="4">
        <f>SUMPRODUCT((E97:G97+E98:G98)/2,$B$19:$D$19)*$B$6</f>
        <v/>
      </c>
      <c r="R97" s="4">
        <f>Q97*J97</f>
        <v/>
      </c>
      <c r="S97" s="4">
        <f>IF(A97=0,SUMPRODUCT((E97:G97+E98:G98)/2,$B$20:$D$20)*$B$6,0)</f>
        <v/>
      </c>
      <c r="T97" s="4">
        <f>S97*J97</f>
        <v/>
      </c>
      <c r="U97" s="4">
        <f>N97+P97+R97+T97</f>
        <v/>
      </c>
      <c r="V97">
        <f>SUMPRODUCT((E97:G97+E98:G98)/2,$B$24:$D$24)*$B$6</f>
        <v/>
      </c>
      <c r="W97" s="5">
        <f>V97*K97</f>
        <v/>
      </c>
      <c r="X97">
        <f>SUMPRODUCT((E97:G97+E98:G98)/2,$B$25:$D$25)*$B$6</f>
        <v/>
      </c>
      <c r="Y97">
        <f>X97*K97</f>
        <v/>
      </c>
    </row>
    <row r="98">
      <c r="A98" t="n">
        <v>69</v>
      </c>
      <c r="B98">
        <f>A98*$B$6</f>
        <v/>
      </c>
      <c r="C98" s="5">
        <f>EXP(-$B$12*B98)</f>
        <v/>
      </c>
      <c r="D98" s="5">
        <f>EXP(-$B$13*B98)</f>
        <v/>
      </c>
      <c r="E98">
        <f>C98</f>
        <v/>
      </c>
      <c r="F98">
        <f>D98-C98</f>
        <v/>
      </c>
      <c r="G98">
        <f>1-D98</f>
        <v/>
      </c>
      <c r="H98">
        <f>SUM(E98:G98)</f>
        <v/>
      </c>
      <c r="I98">
        <f>IF(AND(MIN(C98:D98)&gt;=0,MAX(C98:D98)&lt;=1,MIN(E98:G98)&gt;=-1E-10,ABS(H98-1)&lt;1E-8,C98&lt;=C97+1E-10,D98&lt;=D97+1E-10),"OK","ERROR")</f>
        <v/>
      </c>
      <c r="J98">
        <f>1/(1+$B$4)^(B98+$B$6/2)</f>
        <v/>
      </c>
      <c r="K98">
        <f>1/(1+$B$5)^(B98+$B$6/2)</f>
        <v/>
      </c>
      <c r="L98" t="inlineStr">
        <is>
          <t>Average endpoints</t>
        </is>
      </c>
      <c r="M98" s="4">
        <f>SUMPRODUCT((E98:G98+E99:G99)/2,$B$17:$D$17)*$B$6</f>
        <v/>
      </c>
      <c r="N98" s="4">
        <f>M98*J98</f>
        <v/>
      </c>
      <c r="O98" s="4">
        <f>SUMPRODUCT((E98:G98+E99:G99)/2,$B$18:$D$18)*$B$6</f>
        <v/>
      </c>
      <c r="P98" s="4">
        <f>O98*J98</f>
        <v/>
      </c>
      <c r="Q98" s="4">
        <f>SUMPRODUCT((E98:G98+E99:G99)/2,$B$19:$D$19)*$B$6</f>
        <v/>
      </c>
      <c r="R98" s="4">
        <f>Q98*J98</f>
        <v/>
      </c>
      <c r="S98" s="4">
        <f>IF(A98=0,SUMPRODUCT((E98:G98+E99:G99)/2,$B$20:$D$20)*$B$6,0)</f>
        <v/>
      </c>
      <c r="T98" s="4">
        <f>S98*J98</f>
        <v/>
      </c>
      <c r="U98" s="4">
        <f>N98+P98+R98+T98</f>
        <v/>
      </c>
      <c r="V98">
        <f>SUMPRODUCT((E98:G98+E99:G99)/2,$B$24:$D$24)*$B$6</f>
        <v/>
      </c>
      <c r="W98" s="5">
        <f>V98*K98</f>
        <v/>
      </c>
      <c r="X98">
        <f>SUMPRODUCT((E98:G98+E99:G99)/2,$B$25:$D$25)*$B$6</f>
        <v/>
      </c>
      <c r="Y98">
        <f>X98*K98</f>
        <v/>
      </c>
    </row>
    <row r="99">
      <c r="A99" t="n">
        <v>70</v>
      </c>
      <c r="B99">
        <f>A99*$B$6</f>
        <v/>
      </c>
      <c r="C99" s="5">
        <f>EXP(-$B$12*B99)</f>
        <v/>
      </c>
      <c r="D99" s="5">
        <f>EXP(-$B$13*B99)</f>
        <v/>
      </c>
      <c r="E99">
        <f>C99</f>
        <v/>
      </c>
      <c r="F99">
        <f>D99-C99</f>
        <v/>
      </c>
      <c r="G99">
        <f>1-D99</f>
        <v/>
      </c>
      <c r="H99">
        <f>SUM(E99:G99)</f>
        <v/>
      </c>
      <c r="I99">
        <f>IF(AND(MIN(C99:D99)&gt;=0,MAX(C99:D99)&lt;=1,MIN(E99:G99)&gt;=-1E-10,ABS(H99-1)&lt;1E-8,C99&lt;=C98+1E-10,D99&lt;=D98+1E-10),"OK","ERROR")</f>
        <v/>
      </c>
      <c r="J99">
        <f>1/(1+$B$4)^(B99+$B$6/2)</f>
        <v/>
      </c>
      <c r="K99">
        <f>1/(1+$B$5)^(B99+$B$6/2)</f>
        <v/>
      </c>
      <c r="L99" t="inlineStr">
        <is>
          <t>Average endpoints</t>
        </is>
      </c>
      <c r="M99" s="4">
        <f>SUMPRODUCT((E99:G99+E100:G100)/2,$B$17:$D$17)*$B$6</f>
        <v/>
      </c>
      <c r="N99" s="4">
        <f>M99*J99</f>
        <v/>
      </c>
      <c r="O99" s="4">
        <f>SUMPRODUCT((E99:G99+E100:G100)/2,$B$18:$D$18)*$B$6</f>
        <v/>
      </c>
      <c r="P99" s="4">
        <f>O99*J99</f>
        <v/>
      </c>
      <c r="Q99" s="4">
        <f>SUMPRODUCT((E99:G99+E100:G100)/2,$B$19:$D$19)*$B$6</f>
        <v/>
      </c>
      <c r="R99" s="4">
        <f>Q99*J99</f>
        <v/>
      </c>
      <c r="S99" s="4">
        <f>IF(A99=0,SUMPRODUCT((E99:G99+E100:G100)/2,$B$20:$D$20)*$B$6,0)</f>
        <v/>
      </c>
      <c r="T99" s="4">
        <f>S99*J99</f>
        <v/>
      </c>
      <c r="U99" s="4">
        <f>N99+P99+R99+T99</f>
        <v/>
      </c>
      <c r="V99">
        <f>SUMPRODUCT((E99:G99+E100:G100)/2,$B$24:$D$24)*$B$6</f>
        <v/>
      </c>
      <c r="W99" s="5">
        <f>V99*K99</f>
        <v/>
      </c>
      <c r="X99">
        <f>SUMPRODUCT((E99:G99+E100:G100)/2,$B$25:$D$25)*$B$6</f>
        <v/>
      </c>
      <c r="Y99">
        <f>X99*K99</f>
        <v/>
      </c>
    </row>
    <row r="100">
      <c r="A100" t="n">
        <v>71</v>
      </c>
      <c r="B100">
        <f>A100*$B$6</f>
        <v/>
      </c>
      <c r="C100" s="5">
        <f>EXP(-$B$12*B100)</f>
        <v/>
      </c>
      <c r="D100" s="5">
        <f>EXP(-$B$13*B100)</f>
        <v/>
      </c>
      <c r="E100">
        <f>C100</f>
        <v/>
      </c>
      <c r="F100">
        <f>D100-C100</f>
        <v/>
      </c>
      <c r="G100">
        <f>1-D100</f>
        <v/>
      </c>
      <c r="H100">
        <f>SUM(E100:G100)</f>
        <v/>
      </c>
      <c r="I100">
        <f>IF(AND(MIN(C100:D100)&gt;=0,MAX(C100:D100)&lt;=1,MIN(E100:G100)&gt;=-1E-10,ABS(H100-1)&lt;1E-8,C100&lt;=C99+1E-10,D100&lt;=D99+1E-10),"OK","ERROR")</f>
        <v/>
      </c>
      <c r="J100">
        <f>1/(1+$B$4)^(B100+$B$6/2)</f>
        <v/>
      </c>
      <c r="K100">
        <f>1/(1+$B$5)^(B100+$B$6/2)</f>
        <v/>
      </c>
      <c r="L100" t="inlineStr">
        <is>
          <t>Average endpoints</t>
        </is>
      </c>
      <c r="M100" s="4">
        <f>SUMPRODUCT((E100:G100+E101:G101)/2,$B$17:$D$17)*$B$6</f>
        <v/>
      </c>
      <c r="N100" s="4">
        <f>M100*J100</f>
        <v/>
      </c>
      <c r="O100" s="4">
        <f>SUMPRODUCT((E100:G100+E101:G101)/2,$B$18:$D$18)*$B$6</f>
        <v/>
      </c>
      <c r="P100" s="4">
        <f>O100*J100</f>
        <v/>
      </c>
      <c r="Q100" s="4">
        <f>SUMPRODUCT((E100:G100+E101:G101)/2,$B$19:$D$19)*$B$6</f>
        <v/>
      </c>
      <c r="R100" s="4">
        <f>Q100*J100</f>
        <v/>
      </c>
      <c r="S100" s="4">
        <f>IF(A100=0,SUMPRODUCT((E100:G100+E101:G101)/2,$B$20:$D$20)*$B$6,0)</f>
        <v/>
      </c>
      <c r="T100" s="4">
        <f>S100*J100</f>
        <v/>
      </c>
      <c r="U100" s="4">
        <f>N100+P100+R100+T100</f>
        <v/>
      </c>
      <c r="V100">
        <f>SUMPRODUCT((E100:G100+E101:G101)/2,$B$24:$D$24)*$B$6</f>
        <v/>
      </c>
      <c r="W100" s="5">
        <f>V100*K100</f>
        <v/>
      </c>
      <c r="X100">
        <f>SUMPRODUCT((E100:G100+E101:G101)/2,$B$25:$D$25)*$B$6</f>
        <v/>
      </c>
      <c r="Y100">
        <f>X100*K100</f>
        <v/>
      </c>
    </row>
    <row r="101">
      <c r="A101" t="n">
        <v>72</v>
      </c>
      <c r="B101">
        <f>A101*$B$6</f>
        <v/>
      </c>
      <c r="C101" s="5">
        <f>EXP(-$B$12*B101)</f>
        <v/>
      </c>
      <c r="D101" s="5">
        <f>EXP(-$B$13*B101)</f>
        <v/>
      </c>
      <c r="E101">
        <f>C101</f>
        <v/>
      </c>
      <c r="F101">
        <f>D101-C101</f>
        <v/>
      </c>
      <c r="G101">
        <f>1-D101</f>
        <v/>
      </c>
      <c r="H101">
        <f>SUM(E101:G101)</f>
        <v/>
      </c>
      <c r="I101">
        <f>IF(AND(MIN(C101:D101)&gt;=0,MAX(C101:D101)&lt;=1,MIN(E101:G101)&gt;=-1E-10,ABS(H101-1)&lt;1E-8,C101&lt;=C100+1E-10,D101&lt;=D100+1E-10),"OK","ERROR")</f>
        <v/>
      </c>
      <c r="J101">
        <f>1/(1+$B$4)^(B101+$B$6/2)</f>
        <v/>
      </c>
      <c r="K101">
        <f>1/(1+$B$5)^(B101+$B$6/2)</f>
        <v/>
      </c>
      <c r="L101" t="inlineStr">
        <is>
          <t>Average endpoints</t>
        </is>
      </c>
      <c r="M101" s="4">
        <f>SUMPRODUCT((E101:G101+E102:G102)/2,$B$17:$D$17)*$B$6</f>
        <v/>
      </c>
      <c r="N101" s="4">
        <f>M101*J101</f>
        <v/>
      </c>
      <c r="O101" s="4">
        <f>SUMPRODUCT((E101:G101+E102:G102)/2,$B$18:$D$18)*$B$6</f>
        <v/>
      </c>
      <c r="P101" s="4">
        <f>O101*J101</f>
        <v/>
      </c>
      <c r="Q101" s="4">
        <f>SUMPRODUCT((E101:G101+E102:G102)/2,$B$19:$D$19)*$B$6</f>
        <v/>
      </c>
      <c r="R101" s="4">
        <f>Q101*J101</f>
        <v/>
      </c>
      <c r="S101" s="4">
        <f>IF(A101=0,SUMPRODUCT((E101:G101+E102:G102)/2,$B$20:$D$20)*$B$6,0)</f>
        <v/>
      </c>
      <c r="T101" s="4">
        <f>S101*J101</f>
        <v/>
      </c>
      <c r="U101" s="4">
        <f>N101+P101+R101+T101</f>
        <v/>
      </c>
      <c r="V101">
        <f>SUMPRODUCT((E101:G101+E102:G102)/2,$B$24:$D$24)*$B$6</f>
        <v/>
      </c>
      <c r="W101" s="5">
        <f>V101*K101</f>
        <v/>
      </c>
      <c r="X101">
        <f>SUMPRODUCT((E101:G101+E102:G102)/2,$B$25:$D$25)*$B$6</f>
        <v/>
      </c>
      <c r="Y101">
        <f>X101*K101</f>
        <v/>
      </c>
    </row>
    <row r="102">
      <c r="A102" t="n">
        <v>73</v>
      </c>
      <c r="B102">
        <f>A102*$B$6</f>
        <v/>
      </c>
      <c r="C102" s="5">
        <f>EXP(-$B$12*B102)</f>
        <v/>
      </c>
      <c r="D102" s="5">
        <f>EXP(-$B$13*B102)</f>
        <v/>
      </c>
      <c r="E102">
        <f>C102</f>
        <v/>
      </c>
      <c r="F102">
        <f>D102-C102</f>
        <v/>
      </c>
      <c r="G102">
        <f>1-D102</f>
        <v/>
      </c>
      <c r="H102">
        <f>SUM(E102:G102)</f>
        <v/>
      </c>
      <c r="I102">
        <f>IF(AND(MIN(C102:D102)&gt;=0,MAX(C102:D102)&lt;=1,MIN(E102:G102)&gt;=-1E-10,ABS(H102-1)&lt;1E-8,C102&lt;=C101+1E-10,D102&lt;=D101+1E-10),"OK","ERROR")</f>
        <v/>
      </c>
      <c r="J102">
        <f>1/(1+$B$4)^(B102+$B$6/2)</f>
        <v/>
      </c>
      <c r="K102">
        <f>1/(1+$B$5)^(B102+$B$6/2)</f>
        <v/>
      </c>
      <c r="L102" t="inlineStr">
        <is>
          <t>Average endpoints</t>
        </is>
      </c>
      <c r="M102" s="4">
        <f>SUMPRODUCT((E102:G102+E103:G103)/2,$B$17:$D$17)*$B$6</f>
        <v/>
      </c>
      <c r="N102" s="4">
        <f>M102*J102</f>
        <v/>
      </c>
      <c r="O102" s="4">
        <f>SUMPRODUCT((E102:G102+E103:G103)/2,$B$18:$D$18)*$B$6</f>
        <v/>
      </c>
      <c r="P102" s="4">
        <f>O102*J102</f>
        <v/>
      </c>
      <c r="Q102" s="4">
        <f>SUMPRODUCT((E102:G102+E103:G103)/2,$B$19:$D$19)*$B$6</f>
        <v/>
      </c>
      <c r="R102" s="4">
        <f>Q102*J102</f>
        <v/>
      </c>
      <c r="S102" s="4">
        <f>IF(A102=0,SUMPRODUCT((E102:G102+E103:G103)/2,$B$20:$D$20)*$B$6,0)</f>
        <v/>
      </c>
      <c r="T102" s="4">
        <f>S102*J102</f>
        <v/>
      </c>
      <c r="U102" s="4">
        <f>N102+P102+R102+T102</f>
        <v/>
      </c>
      <c r="V102">
        <f>SUMPRODUCT((E102:G102+E103:G103)/2,$B$24:$D$24)*$B$6</f>
        <v/>
      </c>
      <c r="W102" s="5">
        <f>V102*K102</f>
        <v/>
      </c>
      <c r="X102">
        <f>SUMPRODUCT((E102:G102+E103:G103)/2,$B$25:$D$25)*$B$6</f>
        <v/>
      </c>
      <c r="Y102">
        <f>X102*K102</f>
        <v/>
      </c>
    </row>
    <row r="103">
      <c r="A103" t="n">
        <v>74</v>
      </c>
      <c r="B103">
        <f>A103*$B$6</f>
        <v/>
      </c>
      <c r="C103" s="5">
        <f>EXP(-$B$12*B103)</f>
        <v/>
      </c>
      <c r="D103" s="5">
        <f>EXP(-$B$13*B103)</f>
        <v/>
      </c>
      <c r="E103">
        <f>C103</f>
        <v/>
      </c>
      <c r="F103">
        <f>D103-C103</f>
        <v/>
      </c>
      <c r="G103">
        <f>1-D103</f>
        <v/>
      </c>
      <c r="H103">
        <f>SUM(E103:G103)</f>
        <v/>
      </c>
      <c r="I103">
        <f>IF(AND(MIN(C103:D103)&gt;=0,MAX(C103:D103)&lt;=1,MIN(E103:G103)&gt;=-1E-10,ABS(H103-1)&lt;1E-8,C103&lt;=C102+1E-10,D103&lt;=D102+1E-10),"OK","ERROR")</f>
        <v/>
      </c>
      <c r="J103">
        <f>1/(1+$B$4)^(B103+$B$6/2)</f>
        <v/>
      </c>
      <c r="K103">
        <f>1/(1+$B$5)^(B103+$B$6/2)</f>
        <v/>
      </c>
      <c r="L103" t="inlineStr">
        <is>
          <t>Average endpoints</t>
        </is>
      </c>
      <c r="M103" s="4">
        <f>SUMPRODUCT((E103:G103+E104:G104)/2,$B$17:$D$17)*$B$6</f>
        <v/>
      </c>
      <c r="N103" s="4">
        <f>M103*J103</f>
        <v/>
      </c>
      <c r="O103" s="4">
        <f>SUMPRODUCT((E103:G103+E104:G104)/2,$B$18:$D$18)*$B$6</f>
        <v/>
      </c>
      <c r="P103" s="4">
        <f>O103*J103</f>
        <v/>
      </c>
      <c r="Q103" s="4">
        <f>SUMPRODUCT((E103:G103+E104:G104)/2,$B$19:$D$19)*$B$6</f>
        <v/>
      </c>
      <c r="R103" s="4">
        <f>Q103*J103</f>
        <v/>
      </c>
      <c r="S103" s="4">
        <f>IF(A103=0,SUMPRODUCT((E103:G103+E104:G104)/2,$B$20:$D$20)*$B$6,0)</f>
        <v/>
      </c>
      <c r="T103" s="4">
        <f>S103*J103</f>
        <v/>
      </c>
      <c r="U103" s="4">
        <f>N103+P103+R103+T103</f>
        <v/>
      </c>
      <c r="V103">
        <f>SUMPRODUCT((E103:G103+E104:G104)/2,$B$24:$D$24)*$B$6</f>
        <v/>
      </c>
      <c r="W103" s="5">
        <f>V103*K103</f>
        <v/>
      </c>
      <c r="X103">
        <f>SUMPRODUCT((E103:G103+E104:G104)/2,$B$25:$D$25)*$B$6</f>
        <v/>
      </c>
      <c r="Y103">
        <f>X103*K103</f>
        <v/>
      </c>
    </row>
    <row r="104">
      <c r="A104" t="n">
        <v>75</v>
      </c>
      <c r="B104">
        <f>A104*$B$6</f>
        <v/>
      </c>
      <c r="C104" s="5">
        <f>EXP(-$B$12*B104)</f>
        <v/>
      </c>
      <c r="D104" s="5">
        <f>EXP(-$B$13*B104)</f>
        <v/>
      </c>
      <c r="E104">
        <f>C104</f>
        <v/>
      </c>
      <c r="F104">
        <f>D104-C104</f>
        <v/>
      </c>
      <c r="G104">
        <f>1-D104</f>
        <v/>
      </c>
      <c r="H104">
        <f>SUM(E104:G104)</f>
        <v/>
      </c>
      <c r="I104">
        <f>IF(AND(MIN(C104:D104)&gt;=0,MAX(C104:D104)&lt;=1,MIN(E104:G104)&gt;=-1E-10,ABS(H104-1)&lt;1E-8,C104&lt;=C103+1E-10,D104&lt;=D103+1E-10),"OK","ERROR")</f>
        <v/>
      </c>
      <c r="J104">
        <f>1/(1+$B$4)^(B104+$B$6/2)</f>
        <v/>
      </c>
      <c r="K104">
        <f>1/(1+$B$5)^(B104+$B$6/2)</f>
        <v/>
      </c>
      <c r="L104" t="inlineStr">
        <is>
          <t>Average endpoints</t>
        </is>
      </c>
      <c r="M104" s="4">
        <f>SUMPRODUCT((E104:G104+E105:G105)/2,$B$17:$D$17)*$B$6</f>
        <v/>
      </c>
      <c r="N104" s="4">
        <f>M104*J104</f>
        <v/>
      </c>
      <c r="O104" s="4">
        <f>SUMPRODUCT((E104:G104+E105:G105)/2,$B$18:$D$18)*$B$6</f>
        <v/>
      </c>
      <c r="P104" s="4">
        <f>O104*J104</f>
        <v/>
      </c>
      <c r="Q104" s="4">
        <f>SUMPRODUCT((E104:G104+E105:G105)/2,$B$19:$D$19)*$B$6</f>
        <v/>
      </c>
      <c r="R104" s="4">
        <f>Q104*J104</f>
        <v/>
      </c>
      <c r="S104" s="4">
        <f>IF(A104=0,SUMPRODUCT((E104:G104+E105:G105)/2,$B$20:$D$20)*$B$6,0)</f>
        <v/>
      </c>
      <c r="T104" s="4">
        <f>S104*J104</f>
        <v/>
      </c>
      <c r="U104" s="4">
        <f>N104+P104+R104+T104</f>
        <v/>
      </c>
      <c r="V104">
        <f>SUMPRODUCT((E104:G104+E105:G105)/2,$B$24:$D$24)*$B$6</f>
        <v/>
      </c>
      <c r="W104" s="5">
        <f>V104*K104</f>
        <v/>
      </c>
      <c r="X104">
        <f>SUMPRODUCT((E104:G104+E105:G105)/2,$B$25:$D$25)*$B$6</f>
        <v/>
      </c>
      <c r="Y104">
        <f>X104*K104</f>
        <v/>
      </c>
    </row>
    <row r="105">
      <c r="A105" t="n">
        <v>76</v>
      </c>
      <c r="B105">
        <f>A105*$B$6</f>
        <v/>
      </c>
      <c r="C105" s="5">
        <f>EXP(-$B$12*B105)</f>
        <v/>
      </c>
      <c r="D105" s="5">
        <f>EXP(-$B$13*B105)</f>
        <v/>
      </c>
      <c r="E105">
        <f>C105</f>
        <v/>
      </c>
      <c r="F105">
        <f>D105-C105</f>
        <v/>
      </c>
      <c r="G105">
        <f>1-D105</f>
        <v/>
      </c>
      <c r="H105">
        <f>SUM(E105:G105)</f>
        <v/>
      </c>
      <c r="I105">
        <f>IF(AND(MIN(C105:D105)&gt;=0,MAX(C105:D105)&lt;=1,MIN(E105:G105)&gt;=-1E-10,ABS(H105-1)&lt;1E-8,C105&lt;=C104+1E-10,D105&lt;=D104+1E-10),"OK","ERROR")</f>
        <v/>
      </c>
      <c r="J105">
        <f>1/(1+$B$4)^(B105+$B$6/2)</f>
        <v/>
      </c>
      <c r="K105">
        <f>1/(1+$B$5)^(B105+$B$6/2)</f>
        <v/>
      </c>
      <c r="L105" t="inlineStr">
        <is>
          <t>Average endpoints</t>
        </is>
      </c>
      <c r="M105" s="4">
        <f>SUMPRODUCT((E105:G105+E106:G106)/2,$B$17:$D$17)*$B$6</f>
        <v/>
      </c>
      <c r="N105" s="4">
        <f>M105*J105</f>
        <v/>
      </c>
      <c r="O105" s="4">
        <f>SUMPRODUCT((E105:G105+E106:G106)/2,$B$18:$D$18)*$B$6</f>
        <v/>
      </c>
      <c r="P105" s="4">
        <f>O105*J105</f>
        <v/>
      </c>
      <c r="Q105" s="4">
        <f>SUMPRODUCT((E105:G105+E106:G106)/2,$B$19:$D$19)*$B$6</f>
        <v/>
      </c>
      <c r="R105" s="4">
        <f>Q105*J105</f>
        <v/>
      </c>
      <c r="S105" s="4">
        <f>IF(A105=0,SUMPRODUCT((E105:G105+E106:G106)/2,$B$20:$D$20)*$B$6,0)</f>
        <v/>
      </c>
      <c r="T105" s="4">
        <f>S105*J105</f>
        <v/>
      </c>
      <c r="U105" s="4">
        <f>N105+P105+R105+T105</f>
        <v/>
      </c>
      <c r="V105">
        <f>SUMPRODUCT((E105:G105+E106:G106)/2,$B$24:$D$24)*$B$6</f>
        <v/>
      </c>
      <c r="W105" s="5">
        <f>V105*K105</f>
        <v/>
      </c>
      <c r="X105">
        <f>SUMPRODUCT((E105:G105+E106:G106)/2,$B$25:$D$25)*$B$6</f>
        <v/>
      </c>
      <c r="Y105">
        <f>X105*K105</f>
        <v/>
      </c>
    </row>
    <row r="106">
      <c r="A106" t="n">
        <v>77</v>
      </c>
      <c r="B106">
        <f>A106*$B$6</f>
        <v/>
      </c>
      <c r="C106" s="5">
        <f>EXP(-$B$12*B106)</f>
        <v/>
      </c>
      <c r="D106" s="5">
        <f>EXP(-$B$13*B106)</f>
        <v/>
      </c>
      <c r="E106">
        <f>C106</f>
        <v/>
      </c>
      <c r="F106">
        <f>D106-C106</f>
        <v/>
      </c>
      <c r="G106">
        <f>1-D106</f>
        <v/>
      </c>
      <c r="H106">
        <f>SUM(E106:G106)</f>
        <v/>
      </c>
      <c r="I106">
        <f>IF(AND(MIN(C106:D106)&gt;=0,MAX(C106:D106)&lt;=1,MIN(E106:G106)&gt;=-1E-10,ABS(H106-1)&lt;1E-8,C106&lt;=C105+1E-10,D106&lt;=D105+1E-10),"OK","ERROR")</f>
        <v/>
      </c>
      <c r="J106">
        <f>1/(1+$B$4)^(B106+$B$6/2)</f>
        <v/>
      </c>
      <c r="K106">
        <f>1/(1+$B$5)^(B106+$B$6/2)</f>
        <v/>
      </c>
      <c r="L106" t="inlineStr">
        <is>
          <t>Average endpoints</t>
        </is>
      </c>
      <c r="M106" s="4">
        <f>SUMPRODUCT((E106:G106+E107:G107)/2,$B$17:$D$17)*$B$6</f>
        <v/>
      </c>
      <c r="N106" s="4">
        <f>M106*J106</f>
        <v/>
      </c>
      <c r="O106" s="4">
        <f>SUMPRODUCT((E106:G106+E107:G107)/2,$B$18:$D$18)*$B$6</f>
        <v/>
      </c>
      <c r="P106" s="4">
        <f>O106*J106</f>
        <v/>
      </c>
      <c r="Q106" s="4">
        <f>SUMPRODUCT((E106:G106+E107:G107)/2,$B$19:$D$19)*$B$6</f>
        <v/>
      </c>
      <c r="R106" s="4">
        <f>Q106*J106</f>
        <v/>
      </c>
      <c r="S106" s="4">
        <f>IF(A106=0,SUMPRODUCT((E106:G106+E107:G107)/2,$B$20:$D$20)*$B$6,0)</f>
        <v/>
      </c>
      <c r="T106" s="4">
        <f>S106*J106</f>
        <v/>
      </c>
      <c r="U106" s="4">
        <f>N106+P106+R106+T106</f>
        <v/>
      </c>
      <c r="V106">
        <f>SUMPRODUCT((E106:G106+E107:G107)/2,$B$24:$D$24)*$B$6</f>
        <v/>
      </c>
      <c r="W106" s="5">
        <f>V106*K106</f>
        <v/>
      </c>
      <c r="X106">
        <f>SUMPRODUCT((E106:G106+E107:G107)/2,$B$25:$D$25)*$B$6</f>
        <v/>
      </c>
      <c r="Y106">
        <f>X106*K106</f>
        <v/>
      </c>
    </row>
    <row r="107">
      <c r="A107" t="n">
        <v>78</v>
      </c>
      <c r="B107">
        <f>A107*$B$6</f>
        <v/>
      </c>
      <c r="C107" s="5">
        <f>EXP(-$B$12*B107)</f>
        <v/>
      </c>
      <c r="D107" s="5">
        <f>EXP(-$B$13*B107)</f>
        <v/>
      </c>
      <c r="E107">
        <f>C107</f>
        <v/>
      </c>
      <c r="F107">
        <f>D107-C107</f>
        <v/>
      </c>
      <c r="G107">
        <f>1-D107</f>
        <v/>
      </c>
      <c r="H107">
        <f>SUM(E107:G107)</f>
        <v/>
      </c>
      <c r="I107">
        <f>IF(AND(MIN(C107:D107)&gt;=0,MAX(C107:D107)&lt;=1,MIN(E107:G107)&gt;=-1E-10,ABS(H107-1)&lt;1E-8,C107&lt;=C106+1E-10,D107&lt;=D106+1E-10),"OK","ERROR")</f>
        <v/>
      </c>
      <c r="J107">
        <f>1/(1+$B$4)^(B107+$B$6/2)</f>
        <v/>
      </c>
      <c r="K107">
        <f>1/(1+$B$5)^(B107+$B$6/2)</f>
        <v/>
      </c>
      <c r="L107" t="inlineStr">
        <is>
          <t>Average endpoints</t>
        </is>
      </c>
      <c r="M107" s="4">
        <f>SUMPRODUCT((E107:G107+E108:G108)/2,$B$17:$D$17)*$B$6</f>
        <v/>
      </c>
      <c r="N107" s="4">
        <f>M107*J107</f>
        <v/>
      </c>
      <c r="O107" s="4">
        <f>SUMPRODUCT((E107:G107+E108:G108)/2,$B$18:$D$18)*$B$6</f>
        <v/>
      </c>
      <c r="P107" s="4">
        <f>O107*J107</f>
        <v/>
      </c>
      <c r="Q107" s="4">
        <f>SUMPRODUCT((E107:G107+E108:G108)/2,$B$19:$D$19)*$B$6</f>
        <v/>
      </c>
      <c r="R107" s="4">
        <f>Q107*J107</f>
        <v/>
      </c>
      <c r="S107" s="4">
        <f>IF(A107=0,SUMPRODUCT((E107:G107+E108:G108)/2,$B$20:$D$20)*$B$6,0)</f>
        <v/>
      </c>
      <c r="T107" s="4">
        <f>S107*J107</f>
        <v/>
      </c>
      <c r="U107" s="4">
        <f>N107+P107+R107+T107</f>
        <v/>
      </c>
      <c r="V107">
        <f>SUMPRODUCT((E107:G107+E108:G108)/2,$B$24:$D$24)*$B$6</f>
        <v/>
      </c>
      <c r="W107" s="5">
        <f>V107*K107</f>
        <v/>
      </c>
      <c r="X107">
        <f>SUMPRODUCT((E107:G107+E108:G108)/2,$B$25:$D$25)*$B$6</f>
        <v/>
      </c>
      <c r="Y107">
        <f>X107*K107</f>
        <v/>
      </c>
    </row>
    <row r="108">
      <c r="A108" t="n">
        <v>79</v>
      </c>
      <c r="B108">
        <f>A108*$B$6</f>
        <v/>
      </c>
      <c r="C108" s="5">
        <f>EXP(-$B$12*B108)</f>
        <v/>
      </c>
      <c r="D108" s="5">
        <f>EXP(-$B$13*B108)</f>
        <v/>
      </c>
      <c r="E108">
        <f>C108</f>
        <v/>
      </c>
      <c r="F108">
        <f>D108-C108</f>
        <v/>
      </c>
      <c r="G108">
        <f>1-D108</f>
        <v/>
      </c>
      <c r="H108">
        <f>SUM(E108:G108)</f>
        <v/>
      </c>
      <c r="I108">
        <f>IF(AND(MIN(C108:D108)&gt;=0,MAX(C108:D108)&lt;=1,MIN(E108:G108)&gt;=-1E-10,ABS(H108-1)&lt;1E-8,C108&lt;=C107+1E-10,D108&lt;=D107+1E-10),"OK","ERROR")</f>
        <v/>
      </c>
      <c r="J108">
        <f>1/(1+$B$4)^(B108+$B$6/2)</f>
        <v/>
      </c>
      <c r="K108">
        <f>1/(1+$B$5)^(B108+$B$6/2)</f>
        <v/>
      </c>
      <c r="L108" t="inlineStr">
        <is>
          <t>Average endpoints</t>
        </is>
      </c>
      <c r="M108" s="4">
        <f>SUMPRODUCT((E108:G108+E109:G109)/2,$B$17:$D$17)*$B$6</f>
        <v/>
      </c>
      <c r="N108" s="4">
        <f>M108*J108</f>
        <v/>
      </c>
      <c r="O108" s="4">
        <f>SUMPRODUCT((E108:G108+E109:G109)/2,$B$18:$D$18)*$B$6</f>
        <v/>
      </c>
      <c r="P108" s="4">
        <f>O108*J108</f>
        <v/>
      </c>
      <c r="Q108" s="4">
        <f>SUMPRODUCT((E108:G108+E109:G109)/2,$B$19:$D$19)*$B$6</f>
        <v/>
      </c>
      <c r="R108" s="4">
        <f>Q108*J108</f>
        <v/>
      </c>
      <c r="S108" s="4">
        <f>IF(A108=0,SUMPRODUCT((E108:G108+E109:G109)/2,$B$20:$D$20)*$B$6,0)</f>
        <v/>
      </c>
      <c r="T108" s="4">
        <f>S108*J108</f>
        <v/>
      </c>
      <c r="U108" s="4">
        <f>N108+P108+R108+T108</f>
        <v/>
      </c>
      <c r="V108">
        <f>SUMPRODUCT((E108:G108+E109:G109)/2,$B$24:$D$24)*$B$6</f>
        <v/>
      </c>
      <c r="W108" s="5">
        <f>V108*K108</f>
        <v/>
      </c>
      <c r="X108">
        <f>SUMPRODUCT((E108:G108+E109:G109)/2,$B$25:$D$25)*$B$6</f>
        <v/>
      </c>
      <c r="Y108">
        <f>X108*K108</f>
        <v/>
      </c>
    </row>
    <row r="109">
      <c r="A109" t="n">
        <v>80</v>
      </c>
      <c r="B109">
        <f>A109*$B$6</f>
        <v/>
      </c>
      <c r="C109" s="5">
        <f>EXP(-$B$12*B109)</f>
        <v/>
      </c>
      <c r="D109" s="5">
        <f>EXP(-$B$13*B109)</f>
        <v/>
      </c>
      <c r="E109">
        <f>C109</f>
        <v/>
      </c>
      <c r="F109">
        <f>D109-C109</f>
        <v/>
      </c>
      <c r="G109">
        <f>1-D109</f>
        <v/>
      </c>
      <c r="H109">
        <f>SUM(E109:G109)</f>
        <v/>
      </c>
      <c r="I109">
        <f>IF(AND(MIN(C109:D109)&gt;=0,MAX(C109:D109)&lt;=1,MIN(E109:G109)&gt;=-1E-10,ABS(H109-1)&lt;1E-8,C109&lt;=C108+1E-10,D109&lt;=D108+1E-10),"OK","ERROR")</f>
        <v/>
      </c>
      <c r="J109">
        <f>1/(1+$B$4)^(B109+$B$6/2)</f>
        <v/>
      </c>
      <c r="K109">
        <f>1/(1+$B$5)^(B109+$B$6/2)</f>
        <v/>
      </c>
      <c r="L109" t="inlineStr">
        <is>
          <t>Average endpoints</t>
        </is>
      </c>
      <c r="M109" s="4">
        <f>SUMPRODUCT((E109:G109+E110:G110)/2,$B$17:$D$17)*$B$6</f>
        <v/>
      </c>
      <c r="N109" s="4">
        <f>M109*J109</f>
        <v/>
      </c>
      <c r="O109" s="4">
        <f>SUMPRODUCT((E109:G109+E110:G110)/2,$B$18:$D$18)*$B$6</f>
        <v/>
      </c>
      <c r="P109" s="4">
        <f>O109*J109</f>
        <v/>
      </c>
      <c r="Q109" s="4">
        <f>SUMPRODUCT((E109:G109+E110:G110)/2,$B$19:$D$19)*$B$6</f>
        <v/>
      </c>
      <c r="R109" s="4">
        <f>Q109*J109</f>
        <v/>
      </c>
      <c r="S109" s="4">
        <f>IF(A109=0,SUMPRODUCT((E109:G109+E110:G110)/2,$B$20:$D$20)*$B$6,0)</f>
        <v/>
      </c>
      <c r="T109" s="4">
        <f>S109*J109</f>
        <v/>
      </c>
      <c r="U109" s="4">
        <f>N109+P109+R109+T109</f>
        <v/>
      </c>
      <c r="V109">
        <f>SUMPRODUCT((E109:G109+E110:G110)/2,$B$24:$D$24)*$B$6</f>
        <v/>
      </c>
      <c r="W109" s="5">
        <f>V109*K109</f>
        <v/>
      </c>
      <c r="X109">
        <f>SUMPRODUCT((E109:G109+E110:G110)/2,$B$25:$D$25)*$B$6</f>
        <v/>
      </c>
      <c r="Y109">
        <f>X109*K109</f>
        <v/>
      </c>
    </row>
    <row r="110">
      <c r="A110" t="n">
        <v>81</v>
      </c>
      <c r="B110">
        <f>A110*$B$6</f>
        <v/>
      </c>
      <c r="C110" s="5">
        <f>EXP(-$B$12*B110)</f>
        <v/>
      </c>
      <c r="D110" s="5">
        <f>EXP(-$B$13*B110)</f>
        <v/>
      </c>
      <c r="E110">
        <f>C110</f>
        <v/>
      </c>
      <c r="F110">
        <f>D110-C110</f>
        <v/>
      </c>
      <c r="G110">
        <f>1-D110</f>
        <v/>
      </c>
      <c r="H110">
        <f>SUM(E110:G110)</f>
        <v/>
      </c>
      <c r="I110">
        <f>IF(AND(MIN(C110:D110)&gt;=0,MAX(C110:D110)&lt;=1,MIN(E110:G110)&gt;=-1E-10,ABS(H110-1)&lt;1E-8,C110&lt;=C109+1E-10,D110&lt;=D109+1E-10),"OK","ERROR")</f>
        <v/>
      </c>
      <c r="J110">
        <f>1/(1+$B$4)^(B110+$B$6/2)</f>
        <v/>
      </c>
      <c r="K110">
        <f>1/(1+$B$5)^(B110+$B$6/2)</f>
        <v/>
      </c>
      <c r="L110" t="inlineStr">
        <is>
          <t>Average endpoints</t>
        </is>
      </c>
      <c r="M110" s="4">
        <f>SUMPRODUCT((E110:G110+E111:G111)/2,$B$17:$D$17)*$B$6</f>
        <v/>
      </c>
      <c r="N110" s="4">
        <f>M110*J110</f>
        <v/>
      </c>
      <c r="O110" s="4">
        <f>SUMPRODUCT((E110:G110+E111:G111)/2,$B$18:$D$18)*$B$6</f>
        <v/>
      </c>
      <c r="P110" s="4">
        <f>O110*J110</f>
        <v/>
      </c>
      <c r="Q110" s="4">
        <f>SUMPRODUCT((E110:G110+E111:G111)/2,$B$19:$D$19)*$B$6</f>
        <v/>
      </c>
      <c r="R110" s="4">
        <f>Q110*J110</f>
        <v/>
      </c>
      <c r="S110" s="4">
        <f>IF(A110=0,SUMPRODUCT((E110:G110+E111:G111)/2,$B$20:$D$20)*$B$6,0)</f>
        <v/>
      </c>
      <c r="T110" s="4">
        <f>S110*J110</f>
        <v/>
      </c>
      <c r="U110" s="4">
        <f>N110+P110+R110+T110</f>
        <v/>
      </c>
      <c r="V110">
        <f>SUMPRODUCT((E110:G110+E111:G111)/2,$B$24:$D$24)*$B$6</f>
        <v/>
      </c>
      <c r="W110" s="5">
        <f>V110*K110</f>
        <v/>
      </c>
      <c r="X110">
        <f>SUMPRODUCT((E110:G110+E111:G111)/2,$B$25:$D$25)*$B$6</f>
        <v/>
      </c>
      <c r="Y110">
        <f>X110*K110</f>
        <v/>
      </c>
    </row>
    <row r="111">
      <c r="A111" t="n">
        <v>82</v>
      </c>
      <c r="B111">
        <f>A111*$B$6</f>
        <v/>
      </c>
      <c r="C111" s="5">
        <f>EXP(-$B$12*B111)</f>
        <v/>
      </c>
      <c r="D111" s="5">
        <f>EXP(-$B$13*B111)</f>
        <v/>
      </c>
      <c r="E111">
        <f>C111</f>
        <v/>
      </c>
      <c r="F111">
        <f>D111-C111</f>
        <v/>
      </c>
      <c r="G111">
        <f>1-D111</f>
        <v/>
      </c>
      <c r="H111">
        <f>SUM(E111:G111)</f>
        <v/>
      </c>
      <c r="I111">
        <f>IF(AND(MIN(C111:D111)&gt;=0,MAX(C111:D111)&lt;=1,MIN(E111:G111)&gt;=-1E-10,ABS(H111-1)&lt;1E-8,C111&lt;=C110+1E-10,D111&lt;=D110+1E-10),"OK","ERROR")</f>
        <v/>
      </c>
      <c r="J111">
        <f>1/(1+$B$4)^(B111+$B$6/2)</f>
        <v/>
      </c>
      <c r="K111">
        <f>1/(1+$B$5)^(B111+$B$6/2)</f>
        <v/>
      </c>
      <c r="L111" t="inlineStr">
        <is>
          <t>Average endpoints</t>
        </is>
      </c>
      <c r="M111" s="4">
        <f>SUMPRODUCT((E111:G111+E112:G112)/2,$B$17:$D$17)*$B$6</f>
        <v/>
      </c>
      <c r="N111" s="4">
        <f>M111*J111</f>
        <v/>
      </c>
      <c r="O111" s="4">
        <f>SUMPRODUCT((E111:G111+E112:G112)/2,$B$18:$D$18)*$B$6</f>
        <v/>
      </c>
      <c r="P111" s="4">
        <f>O111*J111</f>
        <v/>
      </c>
      <c r="Q111" s="4">
        <f>SUMPRODUCT((E111:G111+E112:G112)/2,$B$19:$D$19)*$B$6</f>
        <v/>
      </c>
      <c r="R111" s="4">
        <f>Q111*J111</f>
        <v/>
      </c>
      <c r="S111" s="4">
        <f>IF(A111=0,SUMPRODUCT((E111:G111+E112:G112)/2,$B$20:$D$20)*$B$6,0)</f>
        <v/>
      </c>
      <c r="T111" s="4">
        <f>S111*J111</f>
        <v/>
      </c>
      <c r="U111" s="4">
        <f>N111+P111+R111+T111</f>
        <v/>
      </c>
      <c r="V111">
        <f>SUMPRODUCT((E111:G111+E112:G112)/2,$B$24:$D$24)*$B$6</f>
        <v/>
      </c>
      <c r="W111" s="5">
        <f>V111*K111</f>
        <v/>
      </c>
      <c r="X111">
        <f>SUMPRODUCT((E111:G111+E112:G112)/2,$B$25:$D$25)*$B$6</f>
        <v/>
      </c>
      <c r="Y111">
        <f>X111*K111</f>
        <v/>
      </c>
    </row>
    <row r="112">
      <c r="A112" t="n">
        <v>83</v>
      </c>
      <c r="B112">
        <f>A112*$B$6</f>
        <v/>
      </c>
      <c r="C112" s="5">
        <f>EXP(-$B$12*B112)</f>
        <v/>
      </c>
      <c r="D112" s="5">
        <f>EXP(-$B$13*B112)</f>
        <v/>
      </c>
      <c r="E112">
        <f>C112</f>
        <v/>
      </c>
      <c r="F112">
        <f>D112-C112</f>
        <v/>
      </c>
      <c r="G112">
        <f>1-D112</f>
        <v/>
      </c>
      <c r="H112">
        <f>SUM(E112:G112)</f>
        <v/>
      </c>
      <c r="I112">
        <f>IF(AND(MIN(C112:D112)&gt;=0,MAX(C112:D112)&lt;=1,MIN(E112:G112)&gt;=-1E-10,ABS(H112-1)&lt;1E-8,C112&lt;=C111+1E-10,D112&lt;=D111+1E-10),"OK","ERROR")</f>
        <v/>
      </c>
      <c r="J112">
        <f>1/(1+$B$4)^(B112+$B$6/2)</f>
        <v/>
      </c>
      <c r="K112">
        <f>1/(1+$B$5)^(B112+$B$6/2)</f>
        <v/>
      </c>
      <c r="L112" t="inlineStr">
        <is>
          <t>Average endpoints</t>
        </is>
      </c>
      <c r="M112" s="4">
        <f>SUMPRODUCT((E112:G112+E113:G113)/2,$B$17:$D$17)*$B$6</f>
        <v/>
      </c>
      <c r="N112" s="4">
        <f>M112*J112</f>
        <v/>
      </c>
      <c r="O112" s="4">
        <f>SUMPRODUCT((E112:G112+E113:G113)/2,$B$18:$D$18)*$B$6</f>
        <v/>
      </c>
      <c r="P112" s="4">
        <f>O112*J112</f>
        <v/>
      </c>
      <c r="Q112" s="4">
        <f>SUMPRODUCT((E112:G112+E113:G113)/2,$B$19:$D$19)*$B$6</f>
        <v/>
      </c>
      <c r="R112" s="4">
        <f>Q112*J112</f>
        <v/>
      </c>
      <c r="S112" s="4">
        <f>IF(A112=0,SUMPRODUCT((E112:G112+E113:G113)/2,$B$20:$D$20)*$B$6,0)</f>
        <v/>
      </c>
      <c r="T112" s="4">
        <f>S112*J112</f>
        <v/>
      </c>
      <c r="U112" s="4">
        <f>N112+P112+R112+T112</f>
        <v/>
      </c>
      <c r="V112">
        <f>SUMPRODUCT((E112:G112+E113:G113)/2,$B$24:$D$24)*$B$6</f>
        <v/>
      </c>
      <c r="W112" s="5">
        <f>V112*K112</f>
        <v/>
      </c>
      <c r="X112">
        <f>SUMPRODUCT((E112:G112+E113:G113)/2,$B$25:$D$25)*$B$6</f>
        <v/>
      </c>
      <c r="Y112">
        <f>X112*K112</f>
        <v/>
      </c>
    </row>
    <row r="113">
      <c r="A113" t="n">
        <v>84</v>
      </c>
      <c r="B113">
        <f>A113*$B$6</f>
        <v/>
      </c>
      <c r="C113" s="5">
        <f>EXP(-$B$12*B113)</f>
        <v/>
      </c>
      <c r="D113" s="5">
        <f>EXP(-$B$13*B113)</f>
        <v/>
      </c>
      <c r="E113">
        <f>C113</f>
        <v/>
      </c>
      <c r="F113">
        <f>D113-C113</f>
        <v/>
      </c>
      <c r="G113">
        <f>1-D113</f>
        <v/>
      </c>
      <c r="H113">
        <f>SUM(E113:G113)</f>
        <v/>
      </c>
      <c r="I113">
        <f>IF(AND(MIN(C113:D113)&gt;=0,MAX(C113:D113)&lt;=1,MIN(E113:G113)&gt;=-1E-10,ABS(H113-1)&lt;1E-8,C113&lt;=C112+1E-10,D113&lt;=D112+1E-10),"OK","ERROR")</f>
        <v/>
      </c>
      <c r="J113">
        <f>1/(1+$B$4)^(B113+$B$6/2)</f>
        <v/>
      </c>
      <c r="K113">
        <f>1/(1+$B$5)^(B113+$B$6/2)</f>
        <v/>
      </c>
      <c r="L113" t="inlineStr">
        <is>
          <t>Average endpoints</t>
        </is>
      </c>
      <c r="M113" s="4">
        <f>SUMPRODUCT((E113:G113+E114:G114)/2,$B$17:$D$17)*$B$6</f>
        <v/>
      </c>
      <c r="N113" s="4">
        <f>M113*J113</f>
        <v/>
      </c>
      <c r="O113" s="4">
        <f>SUMPRODUCT((E113:G113+E114:G114)/2,$B$18:$D$18)*$B$6</f>
        <v/>
      </c>
      <c r="P113" s="4">
        <f>O113*J113</f>
        <v/>
      </c>
      <c r="Q113" s="4">
        <f>SUMPRODUCT((E113:G113+E114:G114)/2,$B$19:$D$19)*$B$6</f>
        <v/>
      </c>
      <c r="R113" s="4">
        <f>Q113*J113</f>
        <v/>
      </c>
      <c r="S113" s="4">
        <f>IF(A113=0,SUMPRODUCT((E113:G113+E114:G114)/2,$B$20:$D$20)*$B$6,0)</f>
        <v/>
      </c>
      <c r="T113" s="4">
        <f>S113*J113</f>
        <v/>
      </c>
      <c r="U113" s="4">
        <f>N113+P113+R113+T113</f>
        <v/>
      </c>
      <c r="V113">
        <f>SUMPRODUCT((E113:G113+E114:G114)/2,$B$24:$D$24)*$B$6</f>
        <v/>
      </c>
      <c r="W113" s="5">
        <f>V113*K113</f>
        <v/>
      </c>
      <c r="X113">
        <f>SUMPRODUCT((E113:G113+E114:G114)/2,$B$25:$D$25)*$B$6</f>
        <v/>
      </c>
      <c r="Y113">
        <f>X113*K113</f>
        <v/>
      </c>
    </row>
    <row r="114">
      <c r="A114" t="n">
        <v>85</v>
      </c>
      <c r="B114">
        <f>A114*$B$6</f>
        <v/>
      </c>
      <c r="C114" s="5">
        <f>EXP(-$B$12*B114)</f>
        <v/>
      </c>
      <c r="D114" s="5">
        <f>EXP(-$B$13*B114)</f>
        <v/>
      </c>
      <c r="E114">
        <f>C114</f>
        <v/>
      </c>
      <c r="F114">
        <f>D114-C114</f>
        <v/>
      </c>
      <c r="G114">
        <f>1-D114</f>
        <v/>
      </c>
      <c r="H114">
        <f>SUM(E114:G114)</f>
        <v/>
      </c>
      <c r="I114">
        <f>IF(AND(MIN(C114:D114)&gt;=0,MAX(C114:D114)&lt;=1,MIN(E114:G114)&gt;=-1E-10,ABS(H114-1)&lt;1E-8,C114&lt;=C113+1E-10,D114&lt;=D113+1E-10),"OK","ERROR")</f>
        <v/>
      </c>
      <c r="J114">
        <f>1/(1+$B$4)^(B114+$B$6/2)</f>
        <v/>
      </c>
      <c r="K114">
        <f>1/(1+$B$5)^(B114+$B$6/2)</f>
        <v/>
      </c>
      <c r="L114" t="inlineStr">
        <is>
          <t>Average endpoints</t>
        </is>
      </c>
      <c r="M114" s="4">
        <f>SUMPRODUCT((E114:G114+E115:G115)/2,$B$17:$D$17)*$B$6</f>
        <v/>
      </c>
      <c r="N114" s="4">
        <f>M114*J114</f>
        <v/>
      </c>
      <c r="O114" s="4">
        <f>SUMPRODUCT((E114:G114+E115:G115)/2,$B$18:$D$18)*$B$6</f>
        <v/>
      </c>
      <c r="P114" s="4">
        <f>O114*J114</f>
        <v/>
      </c>
      <c r="Q114" s="4">
        <f>SUMPRODUCT((E114:G114+E115:G115)/2,$B$19:$D$19)*$B$6</f>
        <v/>
      </c>
      <c r="R114" s="4">
        <f>Q114*J114</f>
        <v/>
      </c>
      <c r="S114" s="4">
        <f>IF(A114=0,SUMPRODUCT((E114:G114+E115:G115)/2,$B$20:$D$20)*$B$6,0)</f>
        <v/>
      </c>
      <c r="T114" s="4">
        <f>S114*J114</f>
        <v/>
      </c>
      <c r="U114" s="4">
        <f>N114+P114+R114+T114</f>
        <v/>
      </c>
      <c r="V114">
        <f>SUMPRODUCT((E114:G114+E115:G115)/2,$B$24:$D$24)*$B$6</f>
        <v/>
      </c>
      <c r="W114" s="5">
        <f>V114*K114</f>
        <v/>
      </c>
      <c r="X114">
        <f>SUMPRODUCT((E114:G114+E115:G115)/2,$B$25:$D$25)*$B$6</f>
        <v/>
      </c>
      <c r="Y114">
        <f>X114*K114</f>
        <v/>
      </c>
    </row>
    <row r="115">
      <c r="A115" t="n">
        <v>86</v>
      </c>
      <c r="B115">
        <f>A115*$B$6</f>
        <v/>
      </c>
      <c r="C115" s="5">
        <f>EXP(-$B$12*B115)</f>
        <v/>
      </c>
      <c r="D115" s="5">
        <f>EXP(-$B$13*B115)</f>
        <v/>
      </c>
      <c r="E115">
        <f>C115</f>
        <v/>
      </c>
      <c r="F115">
        <f>D115-C115</f>
        <v/>
      </c>
      <c r="G115">
        <f>1-D115</f>
        <v/>
      </c>
      <c r="H115">
        <f>SUM(E115:G115)</f>
        <v/>
      </c>
      <c r="I115">
        <f>IF(AND(MIN(C115:D115)&gt;=0,MAX(C115:D115)&lt;=1,MIN(E115:G115)&gt;=-1E-10,ABS(H115-1)&lt;1E-8,C115&lt;=C114+1E-10,D115&lt;=D114+1E-10),"OK","ERROR")</f>
        <v/>
      </c>
      <c r="J115">
        <f>1/(1+$B$4)^(B115+$B$6/2)</f>
        <v/>
      </c>
      <c r="K115">
        <f>1/(1+$B$5)^(B115+$B$6/2)</f>
        <v/>
      </c>
      <c r="L115" t="inlineStr">
        <is>
          <t>Average endpoints</t>
        </is>
      </c>
      <c r="M115" s="4">
        <f>SUMPRODUCT((E115:G115+E116:G116)/2,$B$17:$D$17)*$B$6</f>
        <v/>
      </c>
      <c r="N115" s="4">
        <f>M115*J115</f>
        <v/>
      </c>
      <c r="O115" s="4">
        <f>SUMPRODUCT((E115:G115+E116:G116)/2,$B$18:$D$18)*$B$6</f>
        <v/>
      </c>
      <c r="P115" s="4">
        <f>O115*J115</f>
        <v/>
      </c>
      <c r="Q115" s="4">
        <f>SUMPRODUCT((E115:G115+E116:G116)/2,$B$19:$D$19)*$B$6</f>
        <v/>
      </c>
      <c r="R115" s="4">
        <f>Q115*J115</f>
        <v/>
      </c>
      <c r="S115" s="4">
        <f>IF(A115=0,SUMPRODUCT((E115:G115+E116:G116)/2,$B$20:$D$20)*$B$6,0)</f>
        <v/>
      </c>
      <c r="T115" s="4">
        <f>S115*J115</f>
        <v/>
      </c>
      <c r="U115" s="4">
        <f>N115+P115+R115+T115</f>
        <v/>
      </c>
      <c r="V115">
        <f>SUMPRODUCT((E115:G115+E116:G116)/2,$B$24:$D$24)*$B$6</f>
        <v/>
      </c>
      <c r="W115" s="5">
        <f>V115*K115</f>
        <v/>
      </c>
      <c r="X115">
        <f>SUMPRODUCT((E115:G115+E116:G116)/2,$B$25:$D$25)*$B$6</f>
        <v/>
      </c>
      <c r="Y115">
        <f>X115*K115</f>
        <v/>
      </c>
    </row>
    <row r="116">
      <c r="A116" t="n">
        <v>87</v>
      </c>
      <c r="B116">
        <f>A116*$B$6</f>
        <v/>
      </c>
      <c r="C116" s="5">
        <f>EXP(-$B$12*B116)</f>
        <v/>
      </c>
      <c r="D116" s="5">
        <f>EXP(-$B$13*B116)</f>
        <v/>
      </c>
      <c r="E116">
        <f>C116</f>
        <v/>
      </c>
      <c r="F116">
        <f>D116-C116</f>
        <v/>
      </c>
      <c r="G116">
        <f>1-D116</f>
        <v/>
      </c>
      <c r="H116">
        <f>SUM(E116:G116)</f>
        <v/>
      </c>
      <c r="I116">
        <f>IF(AND(MIN(C116:D116)&gt;=0,MAX(C116:D116)&lt;=1,MIN(E116:G116)&gt;=-1E-10,ABS(H116-1)&lt;1E-8,C116&lt;=C115+1E-10,D116&lt;=D115+1E-10),"OK","ERROR")</f>
        <v/>
      </c>
      <c r="J116">
        <f>1/(1+$B$4)^(B116+$B$6/2)</f>
        <v/>
      </c>
      <c r="K116">
        <f>1/(1+$B$5)^(B116+$B$6/2)</f>
        <v/>
      </c>
      <c r="L116" t="inlineStr">
        <is>
          <t>Average endpoints</t>
        </is>
      </c>
      <c r="M116" s="4">
        <f>SUMPRODUCT((E116:G116+E117:G117)/2,$B$17:$D$17)*$B$6</f>
        <v/>
      </c>
      <c r="N116" s="4">
        <f>M116*J116</f>
        <v/>
      </c>
      <c r="O116" s="4">
        <f>SUMPRODUCT((E116:G116+E117:G117)/2,$B$18:$D$18)*$B$6</f>
        <v/>
      </c>
      <c r="P116" s="4">
        <f>O116*J116</f>
        <v/>
      </c>
      <c r="Q116" s="4">
        <f>SUMPRODUCT((E116:G116+E117:G117)/2,$B$19:$D$19)*$B$6</f>
        <v/>
      </c>
      <c r="R116" s="4">
        <f>Q116*J116</f>
        <v/>
      </c>
      <c r="S116" s="4">
        <f>IF(A116=0,SUMPRODUCT((E116:G116+E117:G117)/2,$B$20:$D$20)*$B$6,0)</f>
        <v/>
      </c>
      <c r="T116" s="4">
        <f>S116*J116</f>
        <v/>
      </c>
      <c r="U116" s="4">
        <f>N116+P116+R116+T116</f>
        <v/>
      </c>
      <c r="V116">
        <f>SUMPRODUCT((E116:G116+E117:G117)/2,$B$24:$D$24)*$B$6</f>
        <v/>
      </c>
      <c r="W116" s="5">
        <f>V116*K116</f>
        <v/>
      </c>
      <c r="X116">
        <f>SUMPRODUCT((E116:G116+E117:G117)/2,$B$25:$D$25)*$B$6</f>
        <v/>
      </c>
      <c r="Y116">
        <f>X116*K116</f>
        <v/>
      </c>
    </row>
    <row r="117">
      <c r="A117" t="n">
        <v>88</v>
      </c>
      <c r="B117">
        <f>A117*$B$6</f>
        <v/>
      </c>
      <c r="C117" s="5">
        <f>EXP(-$B$12*B117)</f>
        <v/>
      </c>
      <c r="D117" s="5">
        <f>EXP(-$B$13*B117)</f>
        <v/>
      </c>
      <c r="E117">
        <f>C117</f>
        <v/>
      </c>
      <c r="F117">
        <f>D117-C117</f>
        <v/>
      </c>
      <c r="G117">
        <f>1-D117</f>
        <v/>
      </c>
      <c r="H117">
        <f>SUM(E117:G117)</f>
        <v/>
      </c>
      <c r="I117">
        <f>IF(AND(MIN(C117:D117)&gt;=0,MAX(C117:D117)&lt;=1,MIN(E117:G117)&gt;=-1E-10,ABS(H117-1)&lt;1E-8,C117&lt;=C116+1E-10,D117&lt;=D116+1E-10),"OK","ERROR")</f>
        <v/>
      </c>
      <c r="J117">
        <f>1/(1+$B$4)^(B117+$B$6/2)</f>
        <v/>
      </c>
      <c r="K117">
        <f>1/(1+$B$5)^(B117+$B$6/2)</f>
        <v/>
      </c>
      <c r="L117" t="inlineStr">
        <is>
          <t>Average endpoints</t>
        </is>
      </c>
      <c r="M117" s="4">
        <f>SUMPRODUCT((E117:G117+E118:G118)/2,$B$17:$D$17)*$B$6</f>
        <v/>
      </c>
      <c r="N117" s="4">
        <f>M117*J117</f>
        <v/>
      </c>
      <c r="O117" s="4">
        <f>SUMPRODUCT((E117:G117+E118:G118)/2,$B$18:$D$18)*$B$6</f>
        <v/>
      </c>
      <c r="P117" s="4">
        <f>O117*J117</f>
        <v/>
      </c>
      <c r="Q117" s="4">
        <f>SUMPRODUCT((E117:G117+E118:G118)/2,$B$19:$D$19)*$B$6</f>
        <v/>
      </c>
      <c r="R117" s="4">
        <f>Q117*J117</f>
        <v/>
      </c>
      <c r="S117" s="4">
        <f>IF(A117=0,SUMPRODUCT((E117:G117+E118:G118)/2,$B$20:$D$20)*$B$6,0)</f>
        <v/>
      </c>
      <c r="T117" s="4">
        <f>S117*J117</f>
        <v/>
      </c>
      <c r="U117" s="4">
        <f>N117+P117+R117+T117</f>
        <v/>
      </c>
      <c r="V117">
        <f>SUMPRODUCT((E117:G117+E118:G118)/2,$B$24:$D$24)*$B$6</f>
        <v/>
      </c>
      <c r="W117" s="5">
        <f>V117*K117</f>
        <v/>
      </c>
      <c r="X117">
        <f>SUMPRODUCT((E117:G117+E118:G118)/2,$B$25:$D$25)*$B$6</f>
        <v/>
      </c>
      <c r="Y117">
        <f>X117*K117</f>
        <v/>
      </c>
    </row>
    <row r="118">
      <c r="A118" t="n">
        <v>89</v>
      </c>
      <c r="B118">
        <f>A118*$B$6</f>
        <v/>
      </c>
      <c r="C118" s="5">
        <f>EXP(-$B$12*B118)</f>
        <v/>
      </c>
      <c r="D118" s="5">
        <f>EXP(-$B$13*B118)</f>
        <v/>
      </c>
      <c r="E118">
        <f>C118</f>
        <v/>
      </c>
      <c r="F118">
        <f>D118-C118</f>
        <v/>
      </c>
      <c r="G118">
        <f>1-D118</f>
        <v/>
      </c>
      <c r="H118">
        <f>SUM(E118:G118)</f>
        <v/>
      </c>
      <c r="I118">
        <f>IF(AND(MIN(C118:D118)&gt;=0,MAX(C118:D118)&lt;=1,MIN(E118:G118)&gt;=-1E-10,ABS(H118-1)&lt;1E-8,C118&lt;=C117+1E-10,D118&lt;=D117+1E-10),"OK","ERROR")</f>
        <v/>
      </c>
      <c r="J118">
        <f>1/(1+$B$4)^(B118+$B$6/2)</f>
        <v/>
      </c>
      <c r="K118">
        <f>1/(1+$B$5)^(B118+$B$6/2)</f>
        <v/>
      </c>
      <c r="L118" t="inlineStr">
        <is>
          <t>Average endpoints</t>
        </is>
      </c>
      <c r="M118" s="4">
        <f>SUMPRODUCT((E118:G118+E119:G119)/2,$B$17:$D$17)*$B$6</f>
        <v/>
      </c>
      <c r="N118" s="4">
        <f>M118*J118</f>
        <v/>
      </c>
      <c r="O118" s="4">
        <f>SUMPRODUCT((E118:G118+E119:G119)/2,$B$18:$D$18)*$B$6</f>
        <v/>
      </c>
      <c r="P118" s="4">
        <f>O118*J118</f>
        <v/>
      </c>
      <c r="Q118" s="4">
        <f>SUMPRODUCT((E118:G118+E119:G119)/2,$B$19:$D$19)*$B$6</f>
        <v/>
      </c>
      <c r="R118" s="4">
        <f>Q118*J118</f>
        <v/>
      </c>
      <c r="S118" s="4">
        <f>IF(A118=0,SUMPRODUCT((E118:G118+E119:G119)/2,$B$20:$D$20)*$B$6,0)</f>
        <v/>
      </c>
      <c r="T118" s="4">
        <f>S118*J118</f>
        <v/>
      </c>
      <c r="U118" s="4">
        <f>N118+P118+R118+T118</f>
        <v/>
      </c>
      <c r="V118">
        <f>SUMPRODUCT((E118:G118+E119:G119)/2,$B$24:$D$24)*$B$6</f>
        <v/>
      </c>
      <c r="W118" s="5">
        <f>V118*K118</f>
        <v/>
      </c>
      <c r="X118">
        <f>SUMPRODUCT((E118:G118+E119:G119)/2,$B$25:$D$25)*$B$6</f>
        <v/>
      </c>
      <c r="Y118">
        <f>X118*K118</f>
        <v/>
      </c>
    </row>
    <row r="119">
      <c r="A119" t="n">
        <v>90</v>
      </c>
      <c r="B119">
        <f>A119*$B$6</f>
        <v/>
      </c>
      <c r="C119" s="5">
        <f>EXP(-$B$12*B119)</f>
        <v/>
      </c>
      <c r="D119" s="5">
        <f>EXP(-$B$13*B119)</f>
        <v/>
      </c>
      <c r="E119">
        <f>C119</f>
        <v/>
      </c>
      <c r="F119">
        <f>D119-C119</f>
        <v/>
      </c>
      <c r="G119">
        <f>1-D119</f>
        <v/>
      </c>
      <c r="H119">
        <f>SUM(E119:G119)</f>
        <v/>
      </c>
      <c r="I119">
        <f>IF(AND(MIN(C119:D119)&gt;=0,MAX(C119:D119)&lt;=1,MIN(E119:G119)&gt;=-1E-10,ABS(H119-1)&lt;1E-8,C119&lt;=C118+1E-10,D119&lt;=D118+1E-10),"OK","ERROR")</f>
        <v/>
      </c>
      <c r="J119">
        <f>1/(1+$B$4)^(B119+$B$6/2)</f>
        <v/>
      </c>
      <c r="K119">
        <f>1/(1+$B$5)^(B119+$B$6/2)</f>
        <v/>
      </c>
      <c r="L119" t="inlineStr">
        <is>
          <t>Average endpoints</t>
        </is>
      </c>
      <c r="M119" s="4">
        <f>SUMPRODUCT((E119:G119+E120:G120)/2,$B$17:$D$17)*$B$6</f>
        <v/>
      </c>
      <c r="N119" s="4">
        <f>M119*J119</f>
        <v/>
      </c>
      <c r="O119" s="4">
        <f>SUMPRODUCT((E119:G119+E120:G120)/2,$B$18:$D$18)*$B$6</f>
        <v/>
      </c>
      <c r="P119" s="4">
        <f>O119*J119</f>
        <v/>
      </c>
      <c r="Q119" s="4">
        <f>SUMPRODUCT((E119:G119+E120:G120)/2,$B$19:$D$19)*$B$6</f>
        <v/>
      </c>
      <c r="R119" s="4">
        <f>Q119*J119</f>
        <v/>
      </c>
      <c r="S119" s="4">
        <f>IF(A119=0,SUMPRODUCT((E119:G119+E120:G120)/2,$B$20:$D$20)*$B$6,0)</f>
        <v/>
      </c>
      <c r="T119" s="4">
        <f>S119*J119</f>
        <v/>
      </c>
      <c r="U119" s="4">
        <f>N119+P119+R119+T119</f>
        <v/>
      </c>
      <c r="V119">
        <f>SUMPRODUCT((E119:G119+E120:G120)/2,$B$24:$D$24)*$B$6</f>
        <v/>
      </c>
      <c r="W119" s="5">
        <f>V119*K119</f>
        <v/>
      </c>
      <c r="X119">
        <f>SUMPRODUCT((E119:G119+E120:G120)/2,$B$25:$D$25)*$B$6</f>
        <v/>
      </c>
      <c r="Y119">
        <f>X119*K119</f>
        <v/>
      </c>
    </row>
    <row r="120">
      <c r="A120" t="n">
        <v>91</v>
      </c>
      <c r="B120">
        <f>A120*$B$6</f>
        <v/>
      </c>
      <c r="C120" s="5">
        <f>EXP(-$B$12*B120)</f>
        <v/>
      </c>
      <c r="D120" s="5">
        <f>EXP(-$B$13*B120)</f>
        <v/>
      </c>
      <c r="E120">
        <f>C120</f>
        <v/>
      </c>
      <c r="F120">
        <f>D120-C120</f>
        <v/>
      </c>
      <c r="G120">
        <f>1-D120</f>
        <v/>
      </c>
      <c r="H120">
        <f>SUM(E120:G120)</f>
        <v/>
      </c>
      <c r="I120">
        <f>IF(AND(MIN(C120:D120)&gt;=0,MAX(C120:D120)&lt;=1,MIN(E120:G120)&gt;=-1E-10,ABS(H120-1)&lt;1E-8,C120&lt;=C119+1E-10,D120&lt;=D119+1E-10),"OK","ERROR")</f>
        <v/>
      </c>
      <c r="J120">
        <f>1/(1+$B$4)^(B120+$B$6/2)</f>
        <v/>
      </c>
      <c r="K120">
        <f>1/(1+$B$5)^(B120+$B$6/2)</f>
        <v/>
      </c>
      <c r="L120" t="inlineStr">
        <is>
          <t>Average endpoints</t>
        </is>
      </c>
      <c r="M120" s="4">
        <f>SUMPRODUCT((E120:G120+E121:G121)/2,$B$17:$D$17)*$B$6</f>
        <v/>
      </c>
      <c r="N120" s="4">
        <f>M120*J120</f>
        <v/>
      </c>
      <c r="O120" s="4">
        <f>SUMPRODUCT((E120:G120+E121:G121)/2,$B$18:$D$18)*$B$6</f>
        <v/>
      </c>
      <c r="P120" s="4">
        <f>O120*J120</f>
        <v/>
      </c>
      <c r="Q120" s="4">
        <f>SUMPRODUCT((E120:G120+E121:G121)/2,$B$19:$D$19)*$B$6</f>
        <v/>
      </c>
      <c r="R120" s="4">
        <f>Q120*J120</f>
        <v/>
      </c>
      <c r="S120" s="4">
        <f>IF(A120=0,SUMPRODUCT((E120:G120+E121:G121)/2,$B$20:$D$20)*$B$6,0)</f>
        <v/>
      </c>
      <c r="T120" s="4">
        <f>S120*J120</f>
        <v/>
      </c>
      <c r="U120" s="4">
        <f>N120+P120+R120+T120</f>
        <v/>
      </c>
      <c r="V120">
        <f>SUMPRODUCT((E120:G120+E121:G121)/2,$B$24:$D$24)*$B$6</f>
        <v/>
      </c>
      <c r="W120" s="5">
        <f>V120*K120</f>
        <v/>
      </c>
      <c r="X120">
        <f>SUMPRODUCT((E120:G120+E121:G121)/2,$B$25:$D$25)*$B$6</f>
        <v/>
      </c>
      <c r="Y120">
        <f>X120*K120</f>
        <v/>
      </c>
    </row>
    <row r="121">
      <c r="A121" t="n">
        <v>92</v>
      </c>
      <c r="B121">
        <f>A121*$B$6</f>
        <v/>
      </c>
      <c r="C121" s="5">
        <f>EXP(-$B$12*B121)</f>
        <v/>
      </c>
      <c r="D121" s="5">
        <f>EXP(-$B$13*B121)</f>
        <v/>
      </c>
      <c r="E121">
        <f>C121</f>
        <v/>
      </c>
      <c r="F121">
        <f>D121-C121</f>
        <v/>
      </c>
      <c r="G121">
        <f>1-D121</f>
        <v/>
      </c>
      <c r="H121">
        <f>SUM(E121:G121)</f>
        <v/>
      </c>
      <c r="I121">
        <f>IF(AND(MIN(C121:D121)&gt;=0,MAX(C121:D121)&lt;=1,MIN(E121:G121)&gt;=-1E-10,ABS(H121-1)&lt;1E-8,C121&lt;=C120+1E-10,D121&lt;=D120+1E-10),"OK","ERROR")</f>
        <v/>
      </c>
      <c r="J121">
        <f>1/(1+$B$4)^(B121+$B$6/2)</f>
        <v/>
      </c>
      <c r="K121">
        <f>1/(1+$B$5)^(B121+$B$6/2)</f>
        <v/>
      </c>
      <c r="L121" t="inlineStr">
        <is>
          <t>Average endpoints</t>
        </is>
      </c>
      <c r="M121" s="4">
        <f>SUMPRODUCT((E121:G121+E122:G122)/2,$B$17:$D$17)*$B$6</f>
        <v/>
      </c>
      <c r="N121" s="4">
        <f>M121*J121</f>
        <v/>
      </c>
      <c r="O121" s="4">
        <f>SUMPRODUCT((E121:G121+E122:G122)/2,$B$18:$D$18)*$B$6</f>
        <v/>
      </c>
      <c r="P121" s="4">
        <f>O121*J121</f>
        <v/>
      </c>
      <c r="Q121" s="4">
        <f>SUMPRODUCT((E121:G121+E122:G122)/2,$B$19:$D$19)*$B$6</f>
        <v/>
      </c>
      <c r="R121" s="4">
        <f>Q121*J121</f>
        <v/>
      </c>
      <c r="S121" s="4">
        <f>IF(A121=0,SUMPRODUCT((E121:G121+E122:G122)/2,$B$20:$D$20)*$B$6,0)</f>
        <v/>
      </c>
      <c r="T121" s="4">
        <f>S121*J121</f>
        <v/>
      </c>
      <c r="U121" s="4">
        <f>N121+P121+R121+T121</f>
        <v/>
      </c>
      <c r="V121">
        <f>SUMPRODUCT((E121:G121+E122:G122)/2,$B$24:$D$24)*$B$6</f>
        <v/>
      </c>
      <c r="W121" s="5">
        <f>V121*K121</f>
        <v/>
      </c>
      <c r="X121">
        <f>SUMPRODUCT((E121:G121+E122:G122)/2,$B$25:$D$25)*$B$6</f>
        <v/>
      </c>
      <c r="Y121">
        <f>X121*K121</f>
        <v/>
      </c>
    </row>
    <row r="122">
      <c r="A122" t="n">
        <v>93</v>
      </c>
      <c r="B122">
        <f>A122*$B$6</f>
        <v/>
      </c>
      <c r="C122" s="5">
        <f>EXP(-$B$12*B122)</f>
        <v/>
      </c>
      <c r="D122" s="5">
        <f>EXP(-$B$13*B122)</f>
        <v/>
      </c>
      <c r="E122">
        <f>C122</f>
        <v/>
      </c>
      <c r="F122">
        <f>D122-C122</f>
        <v/>
      </c>
      <c r="G122">
        <f>1-D122</f>
        <v/>
      </c>
      <c r="H122">
        <f>SUM(E122:G122)</f>
        <v/>
      </c>
      <c r="I122">
        <f>IF(AND(MIN(C122:D122)&gt;=0,MAX(C122:D122)&lt;=1,MIN(E122:G122)&gt;=-1E-10,ABS(H122-1)&lt;1E-8,C122&lt;=C121+1E-10,D122&lt;=D121+1E-10),"OK","ERROR")</f>
        <v/>
      </c>
      <c r="J122">
        <f>1/(1+$B$4)^(B122+$B$6/2)</f>
        <v/>
      </c>
      <c r="K122">
        <f>1/(1+$B$5)^(B122+$B$6/2)</f>
        <v/>
      </c>
      <c r="L122" t="inlineStr">
        <is>
          <t>Average endpoints</t>
        </is>
      </c>
      <c r="M122" s="4">
        <f>SUMPRODUCT((E122:G122+E123:G123)/2,$B$17:$D$17)*$B$6</f>
        <v/>
      </c>
      <c r="N122" s="4">
        <f>M122*J122</f>
        <v/>
      </c>
      <c r="O122" s="4">
        <f>SUMPRODUCT((E122:G122+E123:G123)/2,$B$18:$D$18)*$B$6</f>
        <v/>
      </c>
      <c r="P122" s="4">
        <f>O122*J122</f>
        <v/>
      </c>
      <c r="Q122" s="4">
        <f>SUMPRODUCT((E122:G122+E123:G123)/2,$B$19:$D$19)*$B$6</f>
        <v/>
      </c>
      <c r="R122" s="4">
        <f>Q122*J122</f>
        <v/>
      </c>
      <c r="S122" s="4">
        <f>IF(A122=0,SUMPRODUCT((E122:G122+E123:G123)/2,$B$20:$D$20)*$B$6,0)</f>
        <v/>
      </c>
      <c r="T122" s="4">
        <f>S122*J122</f>
        <v/>
      </c>
      <c r="U122" s="4">
        <f>N122+P122+R122+T122</f>
        <v/>
      </c>
      <c r="V122">
        <f>SUMPRODUCT((E122:G122+E123:G123)/2,$B$24:$D$24)*$B$6</f>
        <v/>
      </c>
      <c r="W122" s="5">
        <f>V122*K122</f>
        <v/>
      </c>
      <c r="X122">
        <f>SUMPRODUCT((E122:G122+E123:G123)/2,$B$25:$D$25)*$B$6</f>
        <v/>
      </c>
      <c r="Y122">
        <f>X122*K122</f>
        <v/>
      </c>
    </row>
    <row r="123">
      <c r="A123" t="n">
        <v>94</v>
      </c>
      <c r="B123">
        <f>A123*$B$6</f>
        <v/>
      </c>
      <c r="C123" s="5">
        <f>EXP(-$B$12*B123)</f>
        <v/>
      </c>
      <c r="D123" s="5">
        <f>EXP(-$B$13*B123)</f>
        <v/>
      </c>
      <c r="E123">
        <f>C123</f>
        <v/>
      </c>
      <c r="F123">
        <f>D123-C123</f>
        <v/>
      </c>
      <c r="G123">
        <f>1-D123</f>
        <v/>
      </c>
      <c r="H123">
        <f>SUM(E123:G123)</f>
        <v/>
      </c>
      <c r="I123">
        <f>IF(AND(MIN(C123:D123)&gt;=0,MAX(C123:D123)&lt;=1,MIN(E123:G123)&gt;=-1E-10,ABS(H123-1)&lt;1E-8,C123&lt;=C122+1E-10,D123&lt;=D122+1E-10),"OK","ERROR")</f>
        <v/>
      </c>
      <c r="J123">
        <f>1/(1+$B$4)^(B123+$B$6/2)</f>
        <v/>
      </c>
      <c r="K123">
        <f>1/(1+$B$5)^(B123+$B$6/2)</f>
        <v/>
      </c>
      <c r="L123" t="inlineStr">
        <is>
          <t>Average endpoints</t>
        </is>
      </c>
      <c r="M123" s="4">
        <f>SUMPRODUCT((E123:G123+E124:G124)/2,$B$17:$D$17)*$B$6</f>
        <v/>
      </c>
      <c r="N123" s="4">
        <f>M123*J123</f>
        <v/>
      </c>
      <c r="O123" s="4">
        <f>SUMPRODUCT((E123:G123+E124:G124)/2,$B$18:$D$18)*$B$6</f>
        <v/>
      </c>
      <c r="P123" s="4">
        <f>O123*J123</f>
        <v/>
      </c>
      <c r="Q123" s="4">
        <f>SUMPRODUCT((E123:G123+E124:G124)/2,$B$19:$D$19)*$B$6</f>
        <v/>
      </c>
      <c r="R123" s="4">
        <f>Q123*J123</f>
        <v/>
      </c>
      <c r="S123" s="4">
        <f>IF(A123=0,SUMPRODUCT((E123:G123+E124:G124)/2,$B$20:$D$20)*$B$6,0)</f>
        <v/>
      </c>
      <c r="T123" s="4">
        <f>S123*J123</f>
        <v/>
      </c>
      <c r="U123" s="4">
        <f>N123+P123+R123+T123</f>
        <v/>
      </c>
      <c r="V123">
        <f>SUMPRODUCT((E123:G123+E124:G124)/2,$B$24:$D$24)*$B$6</f>
        <v/>
      </c>
      <c r="W123" s="5">
        <f>V123*K123</f>
        <v/>
      </c>
      <c r="X123">
        <f>SUMPRODUCT((E123:G123+E124:G124)/2,$B$25:$D$25)*$B$6</f>
        <v/>
      </c>
      <c r="Y123">
        <f>X123*K123</f>
        <v/>
      </c>
    </row>
    <row r="124">
      <c r="A124" t="n">
        <v>95</v>
      </c>
      <c r="B124">
        <f>A124*$B$6</f>
        <v/>
      </c>
      <c r="C124" s="5">
        <f>EXP(-$B$12*B124)</f>
        <v/>
      </c>
      <c r="D124" s="5">
        <f>EXP(-$B$13*B124)</f>
        <v/>
      </c>
      <c r="E124">
        <f>C124</f>
        <v/>
      </c>
      <c r="F124">
        <f>D124-C124</f>
        <v/>
      </c>
      <c r="G124">
        <f>1-D124</f>
        <v/>
      </c>
      <c r="H124">
        <f>SUM(E124:G124)</f>
        <v/>
      </c>
      <c r="I124">
        <f>IF(AND(MIN(C124:D124)&gt;=0,MAX(C124:D124)&lt;=1,MIN(E124:G124)&gt;=-1E-10,ABS(H124-1)&lt;1E-8,C124&lt;=C123+1E-10,D124&lt;=D123+1E-10),"OK","ERROR")</f>
        <v/>
      </c>
      <c r="J124">
        <f>1/(1+$B$4)^(B124+$B$6/2)</f>
        <v/>
      </c>
      <c r="K124">
        <f>1/(1+$B$5)^(B124+$B$6/2)</f>
        <v/>
      </c>
      <c r="L124" t="inlineStr">
        <is>
          <t>Average endpoints</t>
        </is>
      </c>
      <c r="M124" s="4">
        <f>SUMPRODUCT((E124:G124+E125:G125)/2,$B$17:$D$17)*$B$6</f>
        <v/>
      </c>
      <c r="N124" s="4">
        <f>M124*J124</f>
        <v/>
      </c>
      <c r="O124" s="4">
        <f>SUMPRODUCT((E124:G124+E125:G125)/2,$B$18:$D$18)*$B$6</f>
        <v/>
      </c>
      <c r="P124" s="4">
        <f>O124*J124</f>
        <v/>
      </c>
      <c r="Q124" s="4">
        <f>SUMPRODUCT((E124:G124+E125:G125)/2,$B$19:$D$19)*$B$6</f>
        <v/>
      </c>
      <c r="R124" s="4">
        <f>Q124*J124</f>
        <v/>
      </c>
      <c r="S124" s="4">
        <f>IF(A124=0,SUMPRODUCT((E124:G124+E125:G125)/2,$B$20:$D$20)*$B$6,0)</f>
        <v/>
      </c>
      <c r="T124" s="4">
        <f>S124*J124</f>
        <v/>
      </c>
      <c r="U124" s="4">
        <f>N124+P124+R124+T124</f>
        <v/>
      </c>
      <c r="V124">
        <f>SUMPRODUCT((E124:G124+E125:G125)/2,$B$24:$D$24)*$B$6</f>
        <v/>
      </c>
      <c r="W124" s="5">
        <f>V124*K124</f>
        <v/>
      </c>
      <c r="X124">
        <f>SUMPRODUCT((E124:G124+E125:G125)/2,$B$25:$D$25)*$B$6</f>
        <v/>
      </c>
      <c r="Y124">
        <f>X124*K124</f>
        <v/>
      </c>
    </row>
    <row r="125">
      <c r="A125" t="n">
        <v>96</v>
      </c>
      <c r="B125">
        <f>A125*$B$6</f>
        <v/>
      </c>
      <c r="C125" s="5">
        <f>EXP(-$B$12*B125)</f>
        <v/>
      </c>
      <c r="D125" s="5">
        <f>EXP(-$B$13*B125)</f>
        <v/>
      </c>
      <c r="E125">
        <f>C125</f>
        <v/>
      </c>
      <c r="F125">
        <f>D125-C125</f>
        <v/>
      </c>
      <c r="G125">
        <f>1-D125</f>
        <v/>
      </c>
      <c r="H125">
        <f>SUM(E125:G125)</f>
        <v/>
      </c>
      <c r="I125">
        <f>IF(AND(MIN(C125:D125)&gt;=0,MAX(C125:D125)&lt;=1,MIN(E125:G125)&gt;=-1E-10,ABS(H125-1)&lt;1E-8,C125&lt;=C124+1E-10,D125&lt;=D124+1E-10),"OK","ERROR")</f>
        <v/>
      </c>
      <c r="J125">
        <f>1/(1+$B$4)^(B125+$B$6/2)</f>
        <v/>
      </c>
      <c r="K125">
        <f>1/(1+$B$5)^(B125+$B$6/2)</f>
        <v/>
      </c>
      <c r="L125" t="inlineStr">
        <is>
          <t>Average endpoints</t>
        </is>
      </c>
      <c r="M125" s="4">
        <f>SUMPRODUCT((E125:G125+E126:G126)/2,$B$17:$D$17)*$B$6</f>
        <v/>
      </c>
      <c r="N125" s="4">
        <f>M125*J125</f>
        <v/>
      </c>
      <c r="O125" s="4">
        <f>SUMPRODUCT((E125:G125+E126:G126)/2,$B$18:$D$18)*$B$6</f>
        <v/>
      </c>
      <c r="P125" s="4">
        <f>O125*J125</f>
        <v/>
      </c>
      <c r="Q125" s="4">
        <f>SUMPRODUCT((E125:G125+E126:G126)/2,$B$19:$D$19)*$B$6</f>
        <v/>
      </c>
      <c r="R125" s="4">
        <f>Q125*J125</f>
        <v/>
      </c>
      <c r="S125" s="4">
        <f>IF(A125=0,SUMPRODUCT((E125:G125+E126:G126)/2,$B$20:$D$20)*$B$6,0)</f>
        <v/>
      </c>
      <c r="T125" s="4">
        <f>S125*J125</f>
        <v/>
      </c>
      <c r="U125" s="4">
        <f>N125+P125+R125+T125</f>
        <v/>
      </c>
      <c r="V125">
        <f>SUMPRODUCT((E125:G125+E126:G126)/2,$B$24:$D$24)*$B$6</f>
        <v/>
      </c>
      <c r="W125" s="5">
        <f>V125*K125</f>
        <v/>
      </c>
      <c r="X125">
        <f>SUMPRODUCT((E125:G125+E126:G126)/2,$B$25:$D$25)*$B$6</f>
        <v/>
      </c>
      <c r="Y125">
        <f>X125*K125</f>
        <v/>
      </c>
    </row>
    <row r="126">
      <c r="A126" t="n">
        <v>97</v>
      </c>
      <c r="B126">
        <f>A126*$B$6</f>
        <v/>
      </c>
      <c r="C126" s="5">
        <f>EXP(-$B$12*B126)</f>
        <v/>
      </c>
      <c r="D126" s="5">
        <f>EXP(-$B$13*B126)</f>
        <v/>
      </c>
      <c r="E126">
        <f>C126</f>
        <v/>
      </c>
      <c r="F126">
        <f>D126-C126</f>
        <v/>
      </c>
      <c r="G126">
        <f>1-D126</f>
        <v/>
      </c>
      <c r="H126">
        <f>SUM(E126:G126)</f>
        <v/>
      </c>
      <c r="I126">
        <f>IF(AND(MIN(C126:D126)&gt;=0,MAX(C126:D126)&lt;=1,MIN(E126:G126)&gt;=-1E-10,ABS(H126-1)&lt;1E-8,C126&lt;=C125+1E-10,D126&lt;=D125+1E-10),"OK","ERROR")</f>
        <v/>
      </c>
      <c r="J126">
        <f>1/(1+$B$4)^(B126+$B$6/2)</f>
        <v/>
      </c>
      <c r="K126">
        <f>1/(1+$B$5)^(B126+$B$6/2)</f>
        <v/>
      </c>
      <c r="L126" t="inlineStr">
        <is>
          <t>Average endpoints</t>
        </is>
      </c>
      <c r="M126" s="4">
        <f>SUMPRODUCT((E126:G126+E127:G127)/2,$B$17:$D$17)*$B$6</f>
        <v/>
      </c>
      <c r="N126" s="4">
        <f>M126*J126</f>
        <v/>
      </c>
      <c r="O126" s="4">
        <f>SUMPRODUCT((E126:G126+E127:G127)/2,$B$18:$D$18)*$B$6</f>
        <v/>
      </c>
      <c r="P126" s="4">
        <f>O126*J126</f>
        <v/>
      </c>
      <c r="Q126" s="4">
        <f>SUMPRODUCT((E126:G126+E127:G127)/2,$B$19:$D$19)*$B$6</f>
        <v/>
      </c>
      <c r="R126" s="4">
        <f>Q126*J126</f>
        <v/>
      </c>
      <c r="S126" s="4">
        <f>IF(A126=0,SUMPRODUCT((E126:G126+E127:G127)/2,$B$20:$D$20)*$B$6,0)</f>
        <v/>
      </c>
      <c r="T126" s="4">
        <f>S126*J126</f>
        <v/>
      </c>
      <c r="U126" s="4">
        <f>N126+P126+R126+T126</f>
        <v/>
      </c>
      <c r="V126">
        <f>SUMPRODUCT((E126:G126+E127:G127)/2,$B$24:$D$24)*$B$6</f>
        <v/>
      </c>
      <c r="W126" s="5">
        <f>V126*K126</f>
        <v/>
      </c>
      <c r="X126">
        <f>SUMPRODUCT((E126:G126+E127:G127)/2,$B$25:$D$25)*$B$6</f>
        <v/>
      </c>
      <c r="Y126">
        <f>X126*K126</f>
        <v/>
      </c>
    </row>
    <row r="127">
      <c r="A127" t="n">
        <v>98</v>
      </c>
      <c r="B127">
        <f>A127*$B$6</f>
        <v/>
      </c>
      <c r="C127" s="5">
        <f>EXP(-$B$12*B127)</f>
        <v/>
      </c>
      <c r="D127" s="5">
        <f>EXP(-$B$13*B127)</f>
        <v/>
      </c>
      <c r="E127">
        <f>C127</f>
        <v/>
      </c>
      <c r="F127">
        <f>D127-C127</f>
        <v/>
      </c>
      <c r="G127">
        <f>1-D127</f>
        <v/>
      </c>
      <c r="H127">
        <f>SUM(E127:G127)</f>
        <v/>
      </c>
      <c r="I127">
        <f>IF(AND(MIN(C127:D127)&gt;=0,MAX(C127:D127)&lt;=1,MIN(E127:G127)&gt;=-1E-10,ABS(H127-1)&lt;1E-8,C127&lt;=C126+1E-10,D127&lt;=D126+1E-10),"OK","ERROR")</f>
        <v/>
      </c>
      <c r="J127">
        <f>1/(1+$B$4)^(B127+$B$6/2)</f>
        <v/>
      </c>
      <c r="K127">
        <f>1/(1+$B$5)^(B127+$B$6/2)</f>
        <v/>
      </c>
      <c r="L127" t="inlineStr">
        <is>
          <t>Average endpoints</t>
        </is>
      </c>
      <c r="M127" s="4">
        <f>SUMPRODUCT((E127:G127+E128:G128)/2,$B$17:$D$17)*$B$6</f>
        <v/>
      </c>
      <c r="N127" s="4">
        <f>M127*J127</f>
        <v/>
      </c>
      <c r="O127" s="4">
        <f>SUMPRODUCT((E127:G127+E128:G128)/2,$B$18:$D$18)*$B$6</f>
        <v/>
      </c>
      <c r="P127" s="4">
        <f>O127*J127</f>
        <v/>
      </c>
      <c r="Q127" s="4">
        <f>SUMPRODUCT((E127:G127+E128:G128)/2,$B$19:$D$19)*$B$6</f>
        <v/>
      </c>
      <c r="R127" s="4">
        <f>Q127*J127</f>
        <v/>
      </c>
      <c r="S127" s="4">
        <f>IF(A127=0,SUMPRODUCT((E127:G127+E128:G128)/2,$B$20:$D$20)*$B$6,0)</f>
        <v/>
      </c>
      <c r="T127" s="4">
        <f>S127*J127</f>
        <v/>
      </c>
      <c r="U127" s="4">
        <f>N127+P127+R127+T127</f>
        <v/>
      </c>
      <c r="V127">
        <f>SUMPRODUCT((E127:G127+E128:G128)/2,$B$24:$D$24)*$B$6</f>
        <v/>
      </c>
      <c r="W127" s="5">
        <f>V127*K127</f>
        <v/>
      </c>
      <c r="X127">
        <f>SUMPRODUCT((E127:G127+E128:G128)/2,$B$25:$D$25)*$B$6</f>
        <v/>
      </c>
      <c r="Y127">
        <f>X127*K127</f>
        <v/>
      </c>
    </row>
    <row r="128">
      <c r="A128" t="n">
        <v>99</v>
      </c>
      <c r="B128">
        <f>A128*$B$6</f>
        <v/>
      </c>
      <c r="C128" s="5">
        <f>EXP(-$B$12*B128)</f>
        <v/>
      </c>
      <c r="D128" s="5">
        <f>EXP(-$B$13*B128)</f>
        <v/>
      </c>
      <c r="E128">
        <f>C128</f>
        <v/>
      </c>
      <c r="F128">
        <f>D128-C128</f>
        <v/>
      </c>
      <c r="G128">
        <f>1-D128</f>
        <v/>
      </c>
      <c r="H128">
        <f>SUM(E128:G128)</f>
        <v/>
      </c>
      <c r="I128">
        <f>IF(AND(MIN(C128:D128)&gt;=0,MAX(C128:D128)&lt;=1,MIN(E128:G128)&gt;=-1E-10,ABS(H128-1)&lt;1E-8,C128&lt;=C127+1E-10,D128&lt;=D127+1E-10),"OK","ERROR")</f>
        <v/>
      </c>
      <c r="J128">
        <f>1/(1+$B$4)^(B128+$B$6/2)</f>
        <v/>
      </c>
      <c r="K128">
        <f>1/(1+$B$5)^(B128+$B$6/2)</f>
        <v/>
      </c>
      <c r="L128" t="inlineStr">
        <is>
          <t>Average endpoints</t>
        </is>
      </c>
      <c r="M128" s="4">
        <f>SUMPRODUCT((E128:G128+E129:G129)/2,$B$17:$D$17)*$B$6</f>
        <v/>
      </c>
      <c r="N128" s="4">
        <f>M128*J128</f>
        <v/>
      </c>
      <c r="O128" s="4">
        <f>SUMPRODUCT((E128:G128+E129:G129)/2,$B$18:$D$18)*$B$6</f>
        <v/>
      </c>
      <c r="P128" s="4">
        <f>O128*J128</f>
        <v/>
      </c>
      <c r="Q128" s="4">
        <f>SUMPRODUCT((E128:G128+E129:G129)/2,$B$19:$D$19)*$B$6</f>
        <v/>
      </c>
      <c r="R128" s="4">
        <f>Q128*J128</f>
        <v/>
      </c>
      <c r="S128" s="4">
        <f>IF(A128=0,SUMPRODUCT((E128:G128+E129:G129)/2,$B$20:$D$20)*$B$6,0)</f>
        <v/>
      </c>
      <c r="T128" s="4">
        <f>S128*J128</f>
        <v/>
      </c>
      <c r="U128" s="4">
        <f>N128+P128+R128+T128</f>
        <v/>
      </c>
      <c r="V128">
        <f>SUMPRODUCT((E128:G128+E129:G129)/2,$B$24:$D$24)*$B$6</f>
        <v/>
      </c>
      <c r="W128" s="5">
        <f>V128*K128</f>
        <v/>
      </c>
      <c r="X128">
        <f>SUMPRODUCT((E128:G128+E129:G129)/2,$B$25:$D$25)*$B$6</f>
        <v/>
      </c>
      <c r="Y128">
        <f>X128*K128</f>
        <v/>
      </c>
    </row>
    <row r="129">
      <c r="A129" t="n">
        <v>100</v>
      </c>
      <c r="B129">
        <f>A129*$B$6</f>
        <v/>
      </c>
      <c r="C129" s="5">
        <f>EXP(-$B$12*B129)</f>
        <v/>
      </c>
      <c r="D129" s="5">
        <f>EXP(-$B$13*B129)</f>
        <v/>
      </c>
      <c r="E129">
        <f>C129</f>
        <v/>
      </c>
      <c r="F129">
        <f>D129-C129</f>
        <v/>
      </c>
      <c r="G129">
        <f>1-D129</f>
        <v/>
      </c>
      <c r="H129">
        <f>SUM(E129:G129)</f>
        <v/>
      </c>
      <c r="I129">
        <f>IF(AND(MIN(C129:D129)&gt;=0,MAX(C129:D129)&lt;=1,MIN(E129:G129)&gt;=-1E-10,ABS(H129-1)&lt;1E-8,C129&lt;=C128+1E-10,D129&lt;=D128+1E-10),"OK","ERROR")</f>
        <v/>
      </c>
      <c r="J129">
        <f>1/(1+$B$4)^(B129+$B$6/2)</f>
        <v/>
      </c>
      <c r="K129">
        <f>1/(1+$B$5)^(B129+$B$6/2)</f>
        <v/>
      </c>
      <c r="L129" t="inlineStr">
        <is>
          <t>Average endpoints</t>
        </is>
      </c>
      <c r="M129" s="4">
        <f>SUMPRODUCT((E129:G129+E130:G130)/2,$B$17:$D$17)*$B$6</f>
        <v/>
      </c>
      <c r="N129" s="4">
        <f>M129*J129</f>
        <v/>
      </c>
      <c r="O129" s="4">
        <f>SUMPRODUCT((E129:G129+E130:G130)/2,$B$18:$D$18)*$B$6</f>
        <v/>
      </c>
      <c r="P129" s="4">
        <f>O129*J129</f>
        <v/>
      </c>
      <c r="Q129" s="4">
        <f>SUMPRODUCT((E129:G129+E130:G130)/2,$B$19:$D$19)*$B$6</f>
        <v/>
      </c>
      <c r="R129" s="4">
        <f>Q129*J129</f>
        <v/>
      </c>
      <c r="S129" s="4">
        <f>IF(A129=0,SUMPRODUCT((E129:G129+E130:G130)/2,$B$20:$D$20)*$B$6,0)</f>
        <v/>
      </c>
      <c r="T129" s="4">
        <f>S129*J129</f>
        <v/>
      </c>
      <c r="U129" s="4">
        <f>N129+P129+R129+T129</f>
        <v/>
      </c>
      <c r="V129">
        <f>SUMPRODUCT((E129:G129+E130:G130)/2,$B$24:$D$24)*$B$6</f>
        <v/>
      </c>
      <c r="W129" s="5">
        <f>V129*K129</f>
        <v/>
      </c>
      <c r="X129">
        <f>SUMPRODUCT((E129:G129+E130:G130)/2,$B$25:$D$25)*$B$6</f>
        <v/>
      </c>
      <c r="Y129">
        <f>X129*K129</f>
        <v/>
      </c>
    </row>
    <row r="130">
      <c r="A130" t="n">
        <v>101</v>
      </c>
      <c r="B130">
        <f>A130*$B$6</f>
        <v/>
      </c>
      <c r="C130" s="5">
        <f>EXP(-$B$12*B130)</f>
        <v/>
      </c>
      <c r="D130" s="5">
        <f>EXP(-$B$13*B130)</f>
        <v/>
      </c>
      <c r="E130">
        <f>C130</f>
        <v/>
      </c>
      <c r="F130">
        <f>D130-C130</f>
        <v/>
      </c>
      <c r="G130">
        <f>1-D130</f>
        <v/>
      </c>
      <c r="H130">
        <f>SUM(E130:G130)</f>
        <v/>
      </c>
      <c r="I130">
        <f>IF(AND(MIN(C130:D130)&gt;=0,MAX(C130:D130)&lt;=1,MIN(E130:G130)&gt;=-1E-10,ABS(H130-1)&lt;1E-8,C130&lt;=C129+1E-10,D130&lt;=D129+1E-10),"OK","ERROR")</f>
        <v/>
      </c>
      <c r="J130">
        <f>1/(1+$B$4)^(B130+$B$6/2)</f>
        <v/>
      </c>
      <c r="K130">
        <f>1/(1+$B$5)^(B130+$B$6/2)</f>
        <v/>
      </c>
      <c r="L130" t="inlineStr">
        <is>
          <t>Average endpoints</t>
        </is>
      </c>
      <c r="M130" s="4">
        <f>SUMPRODUCT((E130:G130+E131:G131)/2,$B$17:$D$17)*$B$6</f>
        <v/>
      </c>
      <c r="N130" s="4">
        <f>M130*J130</f>
        <v/>
      </c>
      <c r="O130" s="4">
        <f>SUMPRODUCT((E130:G130+E131:G131)/2,$B$18:$D$18)*$B$6</f>
        <v/>
      </c>
      <c r="P130" s="4">
        <f>O130*J130</f>
        <v/>
      </c>
      <c r="Q130" s="4">
        <f>SUMPRODUCT((E130:G130+E131:G131)/2,$B$19:$D$19)*$B$6</f>
        <v/>
      </c>
      <c r="R130" s="4">
        <f>Q130*J130</f>
        <v/>
      </c>
      <c r="S130" s="4">
        <f>IF(A130=0,SUMPRODUCT((E130:G130+E131:G131)/2,$B$20:$D$20)*$B$6,0)</f>
        <v/>
      </c>
      <c r="T130" s="4">
        <f>S130*J130</f>
        <v/>
      </c>
      <c r="U130" s="4">
        <f>N130+P130+R130+T130</f>
        <v/>
      </c>
      <c r="V130">
        <f>SUMPRODUCT((E130:G130+E131:G131)/2,$B$24:$D$24)*$B$6</f>
        <v/>
      </c>
      <c r="W130" s="5">
        <f>V130*K130</f>
        <v/>
      </c>
      <c r="X130">
        <f>SUMPRODUCT((E130:G130+E131:G131)/2,$B$25:$D$25)*$B$6</f>
        <v/>
      </c>
      <c r="Y130">
        <f>X130*K130</f>
        <v/>
      </c>
    </row>
    <row r="131">
      <c r="A131" t="n">
        <v>102</v>
      </c>
      <c r="B131">
        <f>A131*$B$6</f>
        <v/>
      </c>
      <c r="C131" s="5">
        <f>EXP(-$B$12*B131)</f>
        <v/>
      </c>
      <c r="D131" s="5">
        <f>EXP(-$B$13*B131)</f>
        <v/>
      </c>
      <c r="E131">
        <f>C131</f>
        <v/>
      </c>
      <c r="F131">
        <f>D131-C131</f>
        <v/>
      </c>
      <c r="G131">
        <f>1-D131</f>
        <v/>
      </c>
      <c r="H131">
        <f>SUM(E131:G131)</f>
        <v/>
      </c>
      <c r="I131">
        <f>IF(AND(MIN(C131:D131)&gt;=0,MAX(C131:D131)&lt;=1,MIN(E131:G131)&gt;=-1E-10,ABS(H131-1)&lt;1E-8,C131&lt;=C130+1E-10,D131&lt;=D130+1E-10),"OK","ERROR")</f>
        <v/>
      </c>
      <c r="J131">
        <f>1/(1+$B$4)^(B131+$B$6/2)</f>
        <v/>
      </c>
      <c r="K131">
        <f>1/(1+$B$5)^(B131+$B$6/2)</f>
        <v/>
      </c>
      <c r="L131" t="inlineStr">
        <is>
          <t>Average endpoints</t>
        </is>
      </c>
      <c r="M131" s="4">
        <f>SUMPRODUCT((E131:G131+E132:G132)/2,$B$17:$D$17)*$B$6</f>
        <v/>
      </c>
      <c r="N131" s="4">
        <f>M131*J131</f>
        <v/>
      </c>
      <c r="O131" s="4">
        <f>SUMPRODUCT((E131:G131+E132:G132)/2,$B$18:$D$18)*$B$6</f>
        <v/>
      </c>
      <c r="P131" s="4">
        <f>O131*J131</f>
        <v/>
      </c>
      <c r="Q131" s="4">
        <f>SUMPRODUCT((E131:G131+E132:G132)/2,$B$19:$D$19)*$B$6</f>
        <v/>
      </c>
      <c r="R131" s="4">
        <f>Q131*J131</f>
        <v/>
      </c>
      <c r="S131" s="4">
        <f>IF(A131=0,SUMPRODUCT((E131:G131+E132:G132)/2,$B$20:$D$20)*$B$6,0)</f>
        <v/>
      </c>
      <c r="T131" s="4">
        <f>S131*J131</f>
        <v/>
      </c>
      <c r="U131" s="4">
        <f>N131+P131+R131+T131</f>
        <v/>
      </c>
      <c r="V131">
        <f>SUMPRODUCT((E131:G131+E132:G132)/2,$B$24:$D$24)*$B$6</f>
        <v/>
      </c>
      <c r="W131" s="5">
        <f>V131*K131</f>
        <v/>
      </c>
      <c r="X131">
        <f>SUMPRODUCT((E131:G131+E132:G132)/2,$B$25:$D$25)*$B$6</f>
        <v/>
      </c>
      <c r="Y131">
        <f>X131*K131</f>
        <v/>
      </c>
    </row>
    <row r="132">
      <c r="A132" t="n">
        <v>103</v>
      </c>
      <c r="B132">
        <f>A132*$B$6</f>
        <v/>
      </c>
      <c r="C132" s="5">
        <f>EXP(-$B$12*B132)</f>
        <v/>
      </c>
      <c r="D132" s="5">
        <f>EXP(-$B$13*B132)</f>
        <v/>
      </c>
      <c r="E132">
        <f>C132</f>
        <v/>
      </c>
      <c r="F132">
        <f>D132-C132</f>
        <v/>
      </c>
      <c r="G132">
        <f>1-D132</f>
        <v/>
      </c>
      <c r="H132">
        <f>SUM(E132:G132)</f>
        <v/>
      </c>
      <c r="I132">
        <f>IF(AND(MIN(C132:D132)&gt;=0,MAX(C132:D132)&lt;=1,MIN(E132:G132)&gt;=-1E-10,ABS(H132-1)&lt;1E-8,C132&lt;=C131+1E-10,D132&lt;=D131+1E-10),"OK","ERROR")</f>
        <v/>
      </c>
      <c r="J132">
        <f>1/(1+$B$4)^(B132+$B$6/2)</f>
        <v/>
      </c>
      <c r="K132">
        <f>1/(1+$B$5)^(B132+$B$6/2)</f>
        <v/>
      </c>
      <c r="L132" t="inlineStr">
        <is>
          <t>Average endpoints</t>
        </is>
      </c>
      <c r="M132" s="4">
        <f>SUMPRODUCT((E132:G132+E133:G133)/2,$B$17:$D$17)*$B$6</f>
        <v/>
      </c>
      <c r="N132" s="4">
        <f>M132*J132</f>
        <v/>
      </c>
      <c r="O132" s="4">
        <f>SUMPRODUCT((E132:G132+E133:G133)/2,$B$18:$D$18)*$B$6</f>
        <v/>
      </c>
      <c r="P132" s="4">
        <f>O132*J132</f>
        <v/>
      </c>
      <c r="Q132" s="4">
        <f>SUMPRODUCT((E132:G132+E133:G133)/2,$B$19:$D$19)*$B$6</f>
        <v/>
      </c>
      <c r="R132" s="4">
        <f>Q132*J132</f>
        <v/>
      </c>
      <c r="S132" s="4">
        <f>IF(A132=0,SUMPRODUCT((E132:G132+E133:G133)/2,$B$20:$D$20)*$B$6,0)</f>
        <v/>
      </c>
      <c r="T132" s="4">
        <f>S132*J132</f>
        <v/>
      </c>
      <c r="U132" s="4">
        <f>N132+P132+R132+T132</f>
        <v/>
      </c>
      <c r="V132">
        <f>SUMPRODUCT((E132:G132+E133:G133)/2,$B$24:$D$24)*$B$6</f>
        <v/>
      </c>
      <c r="W132" s="5">
        <f>V132*K132</f>
        <v/>
      </c>
      <c r="X132">
        <f>SUMPRODUCT((E132:G132+E133:G133)/2,$B$25:$D$25)*$B$6</f>
        <v/>
      </c>
      <c r="Y132">
        <f>X132*K132</f>
        <v/>
      </c>
    </row>
    <row r="133">
      <c r="A133" t="n">
        <v>104</v>
      </c>
      <c r="B133">
        <f>A133*$B$6</f>
        <v/>
      </c>
      <c r="C133" s="5">
        <f>EXP(-$B$12*B133)</f>
        <v/>
      </c>
      <c r="D133" s="5">
        <f>EXP(-$B$13*B133)</f>
        <v/>
      </c>
      <c r="E133">
        <f>C133</f>
        <v/>
      </c>
      <c r="F133">
        <f>D133-C133</f>
        <v/>
      </c>
      <c r="G133">
        <f>1-D133</f>
        <v/>
      </c>
      <c r="H133">
        <f>SUM(E133:G133)</f>
        <v/>
      </c>
      <c r="I133">
        <f>IF(AND(MIN(C133:D133)&gt;=0,MAX(C133:D133)&lt;=1,MIN(E133:G133)&gt;=-1E-10,ABS(H133-1)&lt;1E-8,C133&lt;=C132+1E-10,D133&lt;=D132+1E-10),"OK","ERROR")</f>
        <v/>
      </c>
      <c r="J133">
        <f>1/(1+$B$4)^(B133+$B$6/2)</f>
        <v/>
      </c>
      <c r="K133">
        <f>1/(1+$B$5)^(B133+$B$6/2)</f>
        <v/>
      </c>
      <c r="L133" t="inlineStr">
        <is>
          <t>Average endpoints</t>
        </is>
      </c>
      <c r="M133" s="4">
        <f>SUMPRODUCT((E133:G133+E134:G134)/2,$B$17:$D$17)*$B$6</f>
        <v/>
      </c>
      <c r="N133" s="4">
        <f>M133*J133</f>
        <v/>
      </c>
      <c r="O133" s="4">
        <f>SUMPRODUCT((E133:G133+E134:G134)/2,$B$18:$D$18)*$B$6</f>
        <v/>
      </c>
      <c r="P133" s="4">
        <f>O133*J133</f>
        <v/>
      </c>
      <c r="Q133" s="4">
        <f>SUMPRODUCT((E133:G133+E134:G134)/2,$B$19:$D$19)*$B$6</f>
        <v/>
      </c>
      <c r="R133" s="4">
        <f>Q133*J133</f>
        <v/>
      </c>
      <c r="S133" s="4">
        <f>IF(A133=0,SUMPRODUCT((E133:G133+E134:G134)/2,$B$20:$D$20)*$B$6,0)</f>
        <v/>
      </c>
      <c r="T133" s="4">
        <f>S133*J133</f>
        <v/>
      </c>
      <c r="U133" s="4">
        <f>N133+P133+R133+T133</f>
        <v/>
      </c>
      <c r="V133">
        <f>SUMPRODUCT((E133:G133+E134:G134)/2,$B$24:$D$24)*$B$6</f>
        <v/>
      </c>
      <c r="W133" s="5">
        <f>V133*K133</f>
        <v/>
      </c>
      <c r="X133">
        <f>SUMPRODUCT((E133:G133+E134:G134)/2,$B$25:$D$25)*$B$6</f>
        <v/>
      </c>
      <c r="Y133">
        <f>X133*K133</f>
        <v/>
      </c>
    </row>
    <row r="134">
      <c r="A134" t="n">
        <v>105</v>
      </c>
      <c r="B134">
        <f>A134*$B$6</f>
        <v/>
      </c>
      <c r="C134" s="5">
        <f>EXP(-$B$12*B134)</f>
        <v/>
      </c>
      <c r="D134" s="5">
        <f>EXP(-$B$13*B134)</f>
        <v/>
      </c>
      <c r="E134">
        <f>C134</f>
        <v/>
      </c>
      <c r="F134">
        <f>D134-C134</f>
        <v/>
      </c>
      <c r="G134">
        <f>1-D134</f>
        <v/>
      </c>
      <c r="H134">
        <f>SUM(E134:G134)</f>
        <v/>
      </c>
      <c r="I134">
        <f>IF(AND(MIN(C134:D134)&gt;=0,MAX(C134:D134)&lt;=1,MIN(E134:G134)&gt;=-1E-10,ABS(H134-1)&lt;1E-8,C134&lt;=C133+1E-10,D134&lt;=D133+1E-10),"OK","ERROR")</f>
        <v/>
      </c>
      <c r="J134">
        <f>1/(1+$B$4)^(B134+$B$6/2)</f>
        <v/>
      </c>
      <c r="K134">
        <f>1/(1+$B$5)^(B134+$B$6/2)</f>
        <v/>
      </c>
      <c r="L134" t="inlineStr">
        <is>
          <t>Average endpoints</t>
        </is>
      </c>
      <c r="M134" s="4">
        <f>SUMPRODUCT((E134:G134+E135:G135)/2,$B$17:$D$17)*$B$6</f>
        <v/>
      </c>
      <c r="N134" s="4">
        <f>M134*J134</f>
        <v/>
      </c>
      <c r="O134" s="4">
        <f>SUMPRODUCT((E134:G134+E135:G135)/2,$B$18:$D$18)*$B$6</f>
        <v/>
      </c>
      <c r="P134" s="4">
        <f>O134*J134</f>
        <v/>
      </c>
      <c r="Q134" s="4">
        <f>SUMPRODUCT((E134:G134+E135:G135)/2,$B$19:$D$19)*$B$6</f>
        <v/>
      </c>
      <c r="R134" s="4">
        <f>Q134*J134</f>
        <v/>
      </c>
      <c r="S134" s="4">
        <f>IF(A134=0,SUMPRODUCT((E134:G134+E135:G135)/2,$B$20:$D$20)*$B$6,0)</f>
        <v/>
      </c>
      <c r="T134" s="4">
        <f>S134*J134</f>
        <v/>
      </c>
      <c r="U134" s="4">
        <f>N134+P134+R134+T134</f>
        <v/>
      </c>
      <c r="V134">
        <f>SUMPRODUCT((E134:G134+E135:G135)/2,$B$24:$D$24)*$B$6</f>
        <v/>
      </c>
      <c r="W134" s="5">
        <f>V134*K134</f>
        <v/>
      </c>
      <c r="X134">
        <f>SUMPRODUCT((E134:G134+E135:G135)/2,$B$25:$D$25)*$B$6</f>
        <v/>
      </c>
      <c r="Y134">
        <f>X134*K134</f>
        <v/>
      </c>
    </row>
    <row r="135">
      <c r="A135" t="n">
        <v>106</v>
      </c>
      <c r="B135">
        <f>A135*$B$6</f>
        <v/>
      </c>
      <c r="C135" s="5">
        <f>EXP(-$B$12*B135)</f>
        <v/>
      </c>
      <c r="D135" s="5">
        <f>EXP(-$B$13*B135)</f>
        <v/>
      </c>
      <c r="E135">
        <f>C135</f>
        <v/>
      </c>
      <c r="F135">
        <f>D135-C135</f>
        <v/>
      </c>
      <c r="G135">
        <f>1-D135</f>
        <v/>
      </c>
      <c r="H135">
        <f>SUM(E135:G135)</f>
        <v/>
      </c>
      <c r="I135">
        <f>IF(AND(MIN(C135:D135)&gt;=0,MAX(C135:D135)&lt;=1,MIN(E135:G135)&gt;=-1E-10,ABS(H135-1)&lt;1E-8,C135&lt;=C134+1E-10,D135&lt;=D134+1E-10),"OK","ERROR")</f>
        <v/>
      </c>
      <c r="J135">
        <f>1/(1+$B$4)^(B135+$B$6/2)</f>
        <v/>
      </c>
      <c r="K135">
        <f>1/(1+$B$5)^(B135+$B$6/2)</f>
        <v/>
      </c>
      <c r="L135" t="inlineStr">
        <is>
          <t>Average endpoints</t>
        </is>
      </c>
      <c r="M135" s="4">
        <f>SUMPRODUCT((E135:G135+E136:G136)/2,$B$17:$D$17)*$B$6</f>
        <v/>
      </c>
      <c r="N135" s="4">
        <f>M135*J135</f>
        <v/>
      </c>
      <c r="O135" s="4">
        <f>SUMPRODUCT((E135:G135+E136:G136)/2,$B$18:$D$18)*$B$6</f>
        <v/>
      </c>
      <c r="P135" s="4">
        <f>O135*J135</f>
        <v/>
      </c>
      <c r="Q135" s="4">
        <f>SUMPRODUCT((E135:G135+E136:G136)/2,$B$19:$D$19)*$B$6</f>
        <v/>
      </c>
      <c r="R135" s="4">
        <f>Q135*J135</f>
        <v/>
      </c>
      <c r="S135" s="4">
        <f>IF(A135=0,SUMPRODUCT((E135:G135+E136:G136)/2,$B$20:$D$20)*$B$6,0)</f>
        <v/>
      </c>
      <c r="T135" s="4">
        <f>S135*J135</f>
        <v/>
      </c>
      <c r="U135" s="4">
        <f>N135+P135+R135+T135</f>
        <v/>
      </c>
      <c r="V135">
        <f>SUMPRODUCT((E135:G135+E136:G136)/2,$B$24:$D$24)*$B$6</f>
        <v/>
      </c>
      <c r="W135" s="5">
        <f>V135*K135</f>
        <v/>
      </c>
      <c r="X135">
        <f>SUMPRODUCT((E135:G135+E136:G136)/2,$B$25:$D$25)*$B$6</f>
        <v/>
      </c>
      <c r="Y135">
        <f>X135*K135</f>
        <v/>
      </c>
    </row>
    <row r="136">
      <c r="A136" t="n">
        <v>107</v>
      </c>
      <c r="B136">
        <f>A136*$B$6</f>
        <v/>
      </c>
      <c r="C136" s="5">
        <f>EXP(-$B$12*B136)</f>
        <v/>
      </c>
      <c r="D136" s="5">
        <f>EXP(-$B$13*B136)</f>
        <v/>
      </c>
      <c r="E136">
        <f>C136</f>
        <v/>
      </c>
      <c r="F136">
        <f>D136-C136</f>
        <v/>
      </c>
      <c r="G136">
        <f>1-D136</f>
        <v/>
      </c>
      <c r="H136">
        <f>SUM(E136:G136)</f>
        <v/>
      </c>
      <c r="I136">
        <f>IF(AND(MIN(C136:D136)&gt;=0,MAX(C136:D136)&lt;=1,MIN(E136:G136)&gt;=-1E-10,ABS(H136-1)&lt;1E-8,C136&lt;=C135+1E-10,D136&lt;=D135+1E-10),"OK","ERROR")</f>
        <v/>
      </c>
      <c r="J136">
        <f>1/(1+$B$4)^(B136+$B$6/2)</f>
        <v/>
      </c>
      <c r="K136">
        <f>1/(1+$B$5)^(B136+$B$6/2)</f>
        <v/>
      </c>
      <c r="L136" t="inlineStr">
        <is>
          <t>Average endpoints</t>
        </is>
      </c>
      <c r="M136" s="4">
        <f>SUMPRODUCT((E136:G136+E137:G137)/2,$B$17:$D$17)*$B$6</f>
        <v/>
      </c>
      <c r="N136" s="4">
        <f>M136*J136</f>
        <v/>
      </c>
      <c r="O136" s="4">
        <f>SUMPRODUCT((E136:G136+E137:G137)/2,$B$18:$D$18)*$B$6</f>
        <v/>
      </c>
      <c r="P136" s="4">
        <f>O136*J136</f>
        <v/>
      </c>
      <c r="Q136" s="4">
        <f>SUMPRODUCT((E136:G136+E137:G137)/2,$B$19:$D$19)*$B$6</f>
        <v/>
      </c>
      <c r="R136" s="4">
        <f>Q136*J136</f>
        <v/>
      </c>
      <c r="S136" s="4">
        <f>IF(A136=0,SUMPRODUCT((E136:G136+E137:G137)/2,$B$20:$D$20)*$B$6,0)</f>
        <v/>
      </c>
      <c r="T136" s="4">
        <f>S136*J136</f>
        <v/>
      </c>
      <c r="U136" s="4">
        <f>N136+P136+R136+T136</f>
        <v/>
      </c>
      <c r="V136">
        <f>SUMPRODUCT((E136:G136+E137:G137)/2,$B$24:$D$24)*$B$6</f>
        <v/>
      </c>
      <c r="W136" s="5">
        <f>V136*K136</f>
        <v/>
      </c>
      <c r="X136">
        <f>SUMPRODUCT((E136:G136+E137:G137)/2,$B$25:$D$25)*$B$6</f>
        <v/>
      </c>
      <c r="Y136">
        <f>X136*K136</f>
        <v/>
      </c>
    </row>
    <row r="137">
      <c r="A137" t="n">
        <v>108</v>
      </c>
      <c r="B137">
        <f>A137*$B$6</f>
        <v/>
      </c>
      <c r="C137" s="5">
        <f>EXP(-$B$12*B137)</f>
        <v/>
      </c>
      <c r="D137" s="5">
        <f>EXP(-$B$13*B137)</f>
        <v/>
      </c>
      <c r="E137">
        <f>C137</f>
        <v/>
      </c>
      <c r="F137">
        <f>D137-C137</f>
        <v/>
      </c>
      <c r="G137">
        <f>1-D137</f>
        <v/>
      </c>
      <c r="H137">
        <f>SUM(E137:G137)</f>
        <v/>
      </c>
      <c r="I137">
        <f>IF(AND(MIN(C137:D137)&gt;=0,MAX(C137:D137)&lt;=1,MIN(E137:G137)&gt;=-1E-10,ABS(H137-1)&lt;1E-8,C137&lt;=C136+1E-10,D137&lt;=D136+1E-10),"OK","ERROR")</f>
        <v/>
      </c>
      <c r="J137">
        <f>1/(1+$B$4)^(B137+$B$6/2)</f>
        <v/>
      </c>
      <c r="K137">
        <f>1/(1+$B$5)^(B137+$B$6/2)</f>
        <v/>
      </c>
      <c r="L137" t="inlineStr">
        <is>
          <t>Average endpoints</t>
        </is>
      </c>
      <c r="M137" s="4">
        <f>SUMPRODUCT((E137:G137+E138:G138)/2,$B$17:$D$17)*$B$6</f>
        <v/>
      </c>
      <c r="N137" s="4">
        <f>M137*J137</f>
        <v/>
      </c>
      <c r="O137" s="4">
        <f>SUMPRODUCT((E137:G137+E138:G138)/2,$B$18:$D$18)*$B$6</f>
        <v/>
      </c>
      <c r="P137" s="4">
        <f>O137*J137</f>
        <v/>
      </c>
      <c r="Q137" s="4">
        <f>SUMPRODUCT((E137:G137+E138:G138)/2,$B$19:$D$19)*$B$6</f>
        <v/>
      </c>
      <c r="R137" s="4">
        <f>Q137*J137</f>
        <v/>
      </c>
      <c r="S137" s="4">
        <f>IF(A137=0,SUMPRODUCT((E137:G137+E138:G138)/2,$B$20:$D$20)*$B$6,0)</f>
        <v/>
      </c>
      <c r="T137" s="4">
        <f>S137*J137</f>
        <v/>
      </c>
      <c r="U137" s="4">
        <f>N137+P137+R137+T137</f>
        <v/>
      </c>
      <c r="V137">
        <f>SUMPRODUCT((E137:G137+E138:G138)/2,$B$24:$D$24)*$B$6</f>
        <v/>
      </c>
      <c r="W137" s="5">
        <f>V137*K137</f>
        <v/>
      </c>
      <c r="X137">
        <f>SUMPRODUCT((E137:G137+E138:G138)/2,$B$25:$D$25)*$B$6</f>
        <v/>
      </c>
      <c r="Y137">
        <f>X137*K137</f>
        <v/>
      </c>
    </row>
    <row r="138">
      <c r="A138" t="n">
        <v>109</v>
      </c>
      <c r="B138">
        <f>A138*$B$6</f>
        <v/>
      </c>
      <c r="C138" s="5">
        <f>EXP(-$B$12*B138)</f>
        <v/>
      </c>
      <c r="D138" s="5">
        <f>EXP(-$B$13*B138)</f>
        <v/>
      </c>
      <c r="E138">
        <f>C138</f>
        <v/>
      </c>
      <c r="F138">
        <f>D138-C138</f>
        <v/>
      </c>
      <c r="G138">
        <f>1-D138</f>
        <v/>
      </c>
      <c r="H138">
        <f>SUM(E138:G138)</f>
        <v/>
      </c>
      <c r="I138">
        <f>IF(AND(MIN(C138:D138)&gt;=0,MAX(C138:D138)&lt;=1,MIN(E138:G138)&gt;=-1E-10,ABS(H138-1)&lt;1E-8,C138&lt;=C137+1E-10,D138&lt;=D137+1E-10),"OK","ERROR")</f>
        <v/>
      </c>
      <c r="J138">
        <f>1/(1+$B$4)^(B138+$B$6/2)</f>
        <v/>
      </c>
      <c r="K138">
        <f>1/(1+$B$5)^(B138+$B$6/2)</f>
        <v/>
      </c>
      <c r="L138" t="inlineStr">
        <is>
          <t>Average endpoints</t>
        </is>
      </c>
      <c r="M138" s="4">
        <f>SUMPRODUCT((E138:G138+E139:G139)/2,$B$17:$D$17)*$B$6</f>
        <v/>
      </c>
      <c r="N138" s="4">
        <f>M138*J138</f>
        <v/>
      </c>
      <c r="O138" s="4">
        <f>SUMPRODUCT((E138:G138+E139:G139)/2,$B$18:$D$18)*$B$6</f>
        <v/>
      </c>
      <c r="P138" s="4">
        <f>O138*J138</f>
        <v/>
      </c>
      <c r="Q138" s="4">
        <f>SUMPRODUCT((E138:G138+E139:G139)/2,$B$19:$D$19)*$B$6</f>
        <v/>
      </c>
      <c r="R138" s="4">
        <f>Q138*J138</f>
        <v/>
      </c>
      <c r="S138" s="4">
        <f>IF(A138=0,SUMPRODUCT((E138:G138+E139:G139)/2,$B$20:$D$20)*$B$6,0)</f>
        <v/>
      </c>
      <c r="T138" s="4">
        <f>S138*J138</f>
        <v/>
      </c>
      <c r="U138" s="4">
        <f>N138+P138+R138+T138</f>
        <v/>
      </c>
      <c r="V138">
        <f>SUMPRODUCT((E138:G138+E139:G139)/2,$B$24:$D$24)*$B$6</f>
        <v/>
      </c>
      <c r="W138" s="5">
        <f>V138*K138</f>
        <v/>
      </c>
      <c r="X138">
        <f>SUMPRODUCT((E138:G138+E139:G139)/2,$B$25:$D$25)*$B$6</f>
        <v/>
      </c>
      <c r="Y138">
        <f>X138*K138</f>
        <v/>
      </c>
    </row>
    <row r="139">
      <c r="A139" t="n">
        <v>110</v>
      </c>
      <c r="B139">
        <f>A139*$B$6</f>
        <v/>
      </c>
      <c r="C139" s="5">
        <f>EXP(-$B$12*B139)</f>
        <v/>
      </c>
      <c r="D139" s="5">
        <f>EXP(-$B$13*B139)</f>
        <v/>
      </c>
      <c r="E139">
        <f>C139</f>
        <v/>
      </c>
      <c r="F139">
        <f>D139-C139</f>
        <v/>
      </c>
      <c r="G139">
        <f>1-D139</f>
        <v/>
      </c>
      <c r="H139">
        <f>SUM(E139:G139)</f>
        <v/>
      </c>
      <c r="I139">
        <f>IF(AND(MIN(C139:D139)&gt;=0,MAX(C139:D139)&lt;=1,MIN(E139:G139)&gt;=-1E-10,ABS(H139-1)&lt;1E-8,C139&lt;=C138+1E-10,D139&lt;=D138+1E-10),"OK","ERROR")</f>
        <v/>
      </c>
      <c r="J139">
        <f>1/(1+$B$4)^(B139+$B$6/2)</f>
        <v/>
      </c>
      <c r="K139">
        <f>1/(1+$B$5)^(B139+$B$6/2)</f>
        <v/>
      </c>
      <c r="L139" t="inlineStr">
        <is>
          <t>Average endpoints</t>
        </is>
      </c>
      <c r="M139" s="4">
        <f>SUMPRODUCT((E139:G139+E140:G140)/2,$B$17:$D$17)*$B$6</f>
        <v/>
      </c>
      <c r="N139" s="4">
        <f>M139*J139</f>
        <v/>
      </c>
      <c r="O139" s="4">
        <f>SUMPRODUCT((E139:G139+E140:G140)/2,$B$18:$D$18)*$B$6</f>
        <v/>
      </c>
      <c r="P139" s="4">
        <f>O139*J139</f>
        <v/>
      </c>
      <c r="Q139" s="4">
        <f>SUMPRODUCT((E139:G139+E140:G140)/2,$B$19:$D$19)*$B$6</f>
        <v/>
      </c>
      <c r="R139" s="4">
        <f>Q139*J139</f>
        <v/>
      </c>
      <c r="S139" s="4">
        <f>IF(A139=0,SUMPRODUCT((E139:G139+E140:G140)/2,$B$20:$D$20)*$B$6,0)</f>
        <v/>
      </c>
      <c r="T139" s="4">
        <f>S139*J139</f>
        <v/>
      </c>
      <c r="U139" s="4">
        <f>N139+P139+R139+T139</f>
        <v/>
      </c>
      <c r="V139">
        <f>SUMPRODUCT((E139:G139+E140:G140)/2,$B$24:$D$24)*$B$6</f>
        <v/>
      </c>
      <c r="W139" s="5">
        <f>V139*K139</f>
        <v/>
      </c>
      <c r="X139">
        <f>SUMPRODUCT((E139:G139+E140:G140)/2,$B$25:$D$25)*$B$6</f>
        <v/>
      </c>
      <c r="Y139">
        <f>X139*K139</f>
        <v/>
      </c>
    </row>
    <row r="140">
      <c r="A140" t="n">
        <v>111</v>
      </c>
      <c r="B140">
        <f>A140*$B$6</f>
        <v/>
      </c>
      <c r="C140" s="5">
        <f>EXP(-$B$12*B140)</f>
        <v/>
      </c>
      <c r="D140" s="5">
        <f>EXP(-$B$13*B140)</f>
        <v/>
      </c>
      <c r="E140">
        <f>C140</f>
        <v/>
      </c>
      <c r="F140">
        <f>D140-C140</f>
        <v/>
      </c>
      <c r="G140">
        <f>1-D140</f>
        <v/>
      </c>
      <c r="H140">
        <f>SUM(E140:G140)</f>
        <v/>
      </c>
      <c r="I140">
        <f>IF(AND(MIN(C140:D140)&gt;=0,MAX(C140:D140)&lt;=1,MIN(E140:G140)&gt;=-1E-10,ABS(H140-1)&lt;1E-8,C140&lt;=C139+1E-10,D140&lt;=D139+1E-10),"OK","ERROR")</f>
        <v/>
      </c>
      <c r="J140">
        <f>1/(1+$B$4)^(B140+$B$6/2)</f>
        <v/>
      </c>
      <c r="K140">
        <f>1/(1+$B$5)^(B140+$B$6/2)</f>
        <v/>
      </c>
      <c r="L140" t="inlineStr">
        <is>
          <t>Average endpoints</t>
        </is>
      </c>
      <c r="M140" s="4">
        <f>SUMPRODUCT((E140:G140+E141:G141)/2,$B$17:$D$17)*$B$6</f>
        <v/>
      </c>
      <c r="N140" s="4">
        <f>M140*J140</f>
        <v/>
      </c>
      <c r="O140" s="4">
        <f>SUMPRODUCT((E140:G140+E141:G141)/2,$B$18:$D$18)*$B$6</f>
        <v/>
      </c>
      <c r="P140" s="4">
        <f>O140*J140</f>
        <v/>
      </c>
      <c r="Q140" s="4">
        <f>SUMPRODUCT((E140:G140+E141:G141)/2,$B$19:$D$19)*$B$6</f>
        <v/>
      </c>
      <c r="R140" s="4">
        <f>Q140*J140</f>
        <v/>
      </c>
      <c r="S140" s="4">
        <f>IF(A140=0,SUMPRODUCT((E140:G140+E141:G141)/2,$B$20:$D$20)*$B$6,0)</f>
        <v/>
      </c>
      <c r="T140" s="4">
        <f>S140*J140</f>
        <v/>
      </c>
      <c r="U140" s="4">
        <f>N140+P140+R140+T140</f>
        <v/>
      </c>
      <c r="V140">
        <f>SUMPRODUCT((E140:G140+E141:G141)/2,$B$24:$D$24)*$B$6</f>
        <v/>
      </c>
      <c r="W140" s="5">
        <f>V140*K140</f>
        <v/>
      </c>
      <c r="X140">
        <f>SUMPRODUCT((E140:G140+E141:G141)/2,$B$25:$D$25)*$B$6</f>
        <v/>
      </c>
      <c r="Y140">
        <f>X140*K140</f>
        <v/>
      </c>
    </row>
    <row r="141">
      <c r="A141" t="n">
        <v>112</v>
      </c>
      <c r="B141">
        <f>A141*$B$6</f>
        <v/>
      </c>
      <c r="C141" s="5">
        <f>EXP(-$B$12*B141)</f>
        <v/>
      </c>
      <c r="D141" s="5">
        <f>EXP(-$B$13*B141)</f>
        <v/>
      </c>
      <c r="E141">
        <f>C141</f>
        <v/>
      </c>
      <c r="F141">
        <f>D141-C141</f>
        <v/>
      </c>
      <c r="G141">
        <f>1-D141</f>
        <v/>
      </c>
      <c r="H141">
        <f>SUM(E141:G141)</f>
        <v/>
      </c>
      <c r="I141">
        <f>IF(AND(MIN(C141:D141)&gt;=0,MAX(C141:D141)&lt;=1,MIN(E141:G141)&gt;=-1E-10,ABS(H141-1)&lt;1E-8,C141&lt;=C140+1E-10,D141&lt;=D140+1E-10),"OK","ERROR")</f>
        <v/>
      </c>
      <c r="J141">
        <f>1/(1+$B$4)^(B141+$B$6/2)</f>
        <v/>
      </c>
      <c r="K141">
        <f>1/(1+$B$5)^(B141+$B$6/2)</f>
        <v/>
      </c>
      <c r="L141" t="inlineStr">
        <is>
          <t>Average endpoints</t>
        </is>
      </c>
      <c r="M141" s="4">
        <f>SUMPRODUCT((E141:G141+E142:G142)/2,$B$17:$D$17)*$B$6</f>
        <v/>
      </c>
      <c r="N141" s="4">
        <f>M141*J141</f>
        <v/>
      </c>
      <c r="O141" s="4">
        <f>SUMPRODUCT((E141:G141+E142:G142)/2,$B$18:$D$18)*$B$6</f>
        <v/>
      </c>
      <c r="P141" s="4">
        <f>O141*J141</f>
        <v/>
      </c>
      <c r="Q141" s="4">
        <f>SUMPRODUCT((E141:G141+E142:G142)/2,$B$19:$D$19)*$B$6</f>
        <v/>
      </c>
      <c r="R141" s="4">
        <f>Q141*J141</f>
        <v/>
      </c>
      <c r="S141" s="4">
        <f>IF(A141=0,SUMPRODUCT((E141:G141+E142:G142)/2,$B$20:$D$20)*$B$6,0)</f>
        <v/>
      </c>
      <c r="T141" s="4">
        <f>S141*J141</f>
        <v/>
      </c>
      <c r="U141" s="4">
        <f>N141+P141+R141+T141</f>
        <v/>
      </c>
      <c r="V141">
        <f>SUMPRODUCT((E141:G141+E142:G142)/2,$B$24:$D$24)*$B$6</f>
        <v/>
      </c>
      <c r="W141" s="5">
        <f>V141*K141</f>
        <v/>
      </c>
      <c r="X141">
        <f>SUMPRODUCT((E141:G141+E142:G142)/2,$B$25:$D$25)*$B$6</f>
        <v/>
      </c>
      <c r="Y141">
        <f>X141*K141</f>
        <v/>
      </c>
    </row>
    <row r="142">
      <c r="A142" t="n">
        <v>113</v>
      </c>
      <c r="B142">
        <f>A142*$B$6</f>
        <v/>
      </c>
      <c r="C142" s="5">
        <f>EXP(-$B$12*B142)</f>
        <v/>
      </c>
      <c r="D142" s="5">
        <f>EXP(-$B$13*B142)</f>
        <v/>
      </c>
      <c r="E142">
        <f>C142</f>
        <v/>
      </c>
      <c r="F142">
        <f>D142-C142</f>
        <v/>
      </c>
      <c r="G142">
        <f>1-D142</f>
        <v/>
      </c>
      <c r="H142">
        <f>SUM(E142:G142)</f>
        <v/>
      </c>
      <c r="I142">
        <f>IF(AND(MIN(C142:D142)&gt;=0,MAX(C142:D142)&lt;=1,MIN(E142:G142)&gt;=-1E-10,ABS(H142-1)&lt;1E-8,C142&lt;=C141+1E-10,D142&lt;=D141+1E-10),"OK","ERROR")</f>
        <v/>
      </c>
      <c r="J142">
        <f>1/(1+$B$4)^(B142+$B$6/2)</f>
        <v/>
      </c>
      <c r="K142">
        <f>1/(1+$B$5)^(B142+$B$6/2)</f>
        <v/>
      </c>
      <c r="L142" t="inlineStr">
        <is>
          <t>Average endpoints</t>
        </is>
      </c>
      <c r="M142" s="4">
        <f>SUMPRODUCT((E142:G142+E143:G143)/2,$B$17:$D$17)*$B$6</f>
        <v/>
      </c>
      <c r="N142" s="4">
        <f>M142*J142</f>
        <v/>
      </c>
      <c r="O142" s="4">
        <f>SUMPRODUCT((E142:G142+E143:G143)/2,$B$18:$D$18)*$B$6</f>
        <v/>
      </c>
      <c r="P142" s="4">
        <f>O142*J142</f>
        <v/>
      </c>
      <c r="Q142" s="4">
        <f>SUMPRODUCT((E142:G142+E143:G143)/2,$B$19:$D$19)*$B$6</f>
        <v/>
      </c>
      <c r="R142" s="4">
        <f>Q142*J142</f>
        <v/>
      </c>
      <c r="S142" s="4">
        <f>IF(A142=0,SUMPRODUCT((E142:G142+E143:G143)/2,$B$20:$D$20)*$B$6,0)</f>
        <v/>
      </c>
      <c r="T142" s="4">
        <f>S142*J142</f>
        <v/>
      </c>
      <c r="U142" s="4">
        <f>N142+P142+R142+T142</f>
        <v/>
      </c>
      <c r="V142">
        <f>SUMPRODUCT((E142:G142+E143:G143)/2,$B$24:$D$24)*$B$6</f>
        <v/>
      </c>
      <c r="W142" s="5">
        <f>V142*K142</f>
        <v/>
      </c>
      <c r="X142">
        <f>SUMPRODUCT((E142:G142+E143:G143)/2,$B$25:$D$25)*$B$6</f>
        <v/>
      </c>
      <c r="Y142">
        <f>X142*K142</f>
        <v/>
      </c>
    </row>
    <row r="143">
      <c r="A143" t="n">
        <v>114</v>
      </c>
      <c r="B143">
        <f>A143*$B$6</f>
        <v/>
      </c>
      <c r="C143" s="5">
        <f>EXP(-$B$12*B143)</f>
        <v/>
      </c>
      <c r="D143" s="5">
        <f>EXP(-$B$13*B143)</f>
        <v/>
      </c>
      <c r="E143">
        <f>C143</f>
        <v/>
      </c>
      <c r="F143">
        <f>D143-C143</f>
        <v/>
      </c>
      <c r="G143">
        <f>1-D143</f>
        <v/>
      </c>
      <c r="H143">
        <f>SUM(E143:G143)</f>
        <v/>
      </c>
      <c r="I143">
        <f>IF(AND(MIN(C143:D143)&gt;=0,MAX(C143:D143)&lt;=1,MIN(E143:G143)&gt;=-1E-10,ABS(H143-1)&lt;1E-8,C143&lt;=C142+1E-10,D143&lt;=D142+1E-10),"OK","ERROR")</f>
        <v/>
      </c>
      <c r="J143">
        <f>1/(1+$B$4)^(B143+$B$6/2)</f>
        <v/>
      </c>
      <c r="K143">
        <f>1/(1+$B$5)^(B143+$B$6/2)</f>
        <v/>
      </c>
      <c r="L143" t="inlineStr">
        <is>
          <t>Average endpoints</t>
        </is>
      </c>
      <c r="M143" s="4">
        <f>SUMPRODUCT((E143:G143+E144:G144)/2,$B$17:$D$17)*$B$6</f>
        <v/>
      </c>
      <c r="N143" s="4">
        <f>M143*J143</f>
        <v/>
      </c>
      <c r="O143" s="4">
        <f>SUMPRODUCT((E143:G143+E144:G144)/2,$B$18:$D$18)*$B$6</f>
        <v/>
      </c>
      <c r="P143" s="4">
        <f>O143*J143</f>
        <v/>
      </c>
      <c r="Q143" s="4">
        <f>SUMPRODUCT((E143:G143+E144:G144)/2,$B$19:$D$19)*$B$6</f>
        <v/>
      </c>
      <c r="R143" s="4">
        <f>Q143*J143</f>
        <v/>
      </c>
      <c r="S143" s="4">
        <f>IF(A143=0,SUMPRODUCT((E143:G143+E144:G144)/2,$B$20:$D$20)*$B$6,0)</f>
        <v/>
      </c>
      <c r="T143" s="4">
        <f>S143*J143</f>
        <v/>
      </c>
      <c r="U143" s="4">
        <f>N143+P143+R143+T143</f>
        <v/>
      </c>
      <c r="V143">
        <f>SUMPRODUCT((E143:G143+E144:G144)/2,$B$24:$D$24)*$B$6</f>
        <v/>
      </c>
      <c r="W143" s="5">
        <f>V143*K143</f>
        <v/>
      </c>
      <c r="X143">
        <f>SUMPRODUCT((E143:G143+E144:G144)/2,$B$25:$D$25)*$B$6</f>
        <v/>
      </c>
      <c r="Y143">
        <f>X143*K143</f>
        <v/>
      </c>
    </row>
    <row r="144">
      <c r="A144" t="n">
        <v>115</v>
      </c>
      <c r="B144">
        <f>A144*$B$6</f>
        <v/>
      </c>
      <c r="C144" s="5">
        <f>EXP(-$B$12*B144)</f>
        <v/>
      </c>
      <c r="D144" s="5">
        <f>EXP(-$B$13*B144)</f>
        <v/>
      </c>
      <c r="E144">
        <f>C144</f>
        <v/>
      </c>
      <c r="F144">
        <f>D144-C144</f>
        <v/>
      </c>
      <c r="G144">
        <f>1-D144</f>
        <v/>
      </c>
      <c r="H144">
        <f>SUM(E144:G144)</f>
        <v/>
      </c>
      <c r="I144">
        <f>IF(AND(MIN(C144:D144)&gt;=0,MAX(C144:D144)&lt;=1,MIN(E144:G144)&gt;=-1E-10,ABS(H144-1)&lt;1E-8,C144&lt;=C143+1E-10,D144&lt;=D143+1E-10),"OK","ERROR")</f>
        <v/>
      </c>
      <c r="J144">
        <f>1/(1+$B$4)^(B144+$B$6/2)</f>
        <v/>
      </c>
      <c r="K144">
        <f>1/(1+$B$5)^(B144+$B$6/2)</f>
        <v/>
      </c>
      <c r="L144" t="inlineStr">
        <is>
          <t>Average endpoints</t>
        </is>
      </c>
      <c r="M144" s="4">
        <f>SUMPRODUCT((E144:G144+E145:G145)/2,$B$17:$D$17)*$B$6</f>
        <v/>
      </c>
      <c r="N144" s="4">
        <f>M144*J144</f>
        <v/>
      </c>
      <c r="O144" s="4">
        <f>SUMPRODUCT((E144:G144+E145:G145)/2,$B$18:$D$18)*$B$6</f>
        <v/>
      </c>
      <c r="P144" s="4">
        <f>O144*J144</f>
        <v/>
      </c>
      <c r="Q144" s="4">
        <f>SUMPRODUCT((E144:G144+E145:G145)/2,$B$19:$D$19)*$B$6</f>
        <v/>
      </c>
      <c r="R144" s="4">
        <f>Q144*J144</f>
        <v/>
      </c>
      <c r="S144" s="4">
        <f>IF(A144=0,SUMPRODUCT((E144:G144+E145:G145)/2,$B$20:$D$20)*$B$6,0)</f>
        <v/>
      </c>
      <c r="T144" s="4">
        <f>S144*J144</f>
        <v/>
      </c>
      <c r="U144" s="4">
        <f>N144+P144+R144+T144</f>
        <v/>
      </c>
      <c r="V144">
        <f>SUMPRODUCT((E144:G144+E145:G145)/2,$B$24:$D$24)*$B$6</f>
        <v/>
      </c>
      <c r="W144" s="5">
        <f>V144*K144</f>
        <v/>
      </c>
      <c r="X144">
        <f>SUMPRODUCT((E144:G144+E145:G145)/2,$B$25:$D$25)*$B$6</f>
        <v/>
      </c>
      <c r="Y144">
        <f>X144*K144</f>
        <v/>
      </c>
    </row>
    <row r="145">
      <c r="A145" t="n">
        <v>116</v>
      </c>
      <c r="B145">
        <f>A145*$B$6</f>
        <v/>
      </c>
      <c r="C145" s="5">
        <f>EXP(-$B$12*B145)</f>
        <v/>
      </c>
      <c r="D145" s="5">
        <f>EXP(-$B$13*B145)</f>
        <v/>
      </c>
      <c r="E145">
        <f>C145</f>
        <v/>
      </c>
      <c r="F145">
        <f>D145-C145</f>
        <v/>
      </c>
      <c r="G145">
        <f>1-D145</f>
        <v/>
      </c>
      <c r="H145">
        <f>SUM(E145:G145)</f>
        <v/>
      </c>
      <c r="I145">
        <f>IF(AND(MIN(C145:D145)&gt;=0,MAX(C145:D145)&lt;=1,MIN(E145:G145)&gt;=-1E-10,ABS(H145-1)&lt;1E-8,C145&lt;=C144+1E-10,D145&lt;=D144+1E-10),"OK","ERROR")</f>
        <v/>
      </c>
      <c r="J145">
        <f>1/(1+$B$4)^(B145+$B$6/2)</f>
        <v/>
      </c>
      <c r="K145">
        <f>1/(1+$B$5)^(B145+$B$6/2)</f>
        <v/>
      </c>
      <c r="L145" t="inlineStr">
        <is>
          <t>Average endpoints</t>
        </is>
      </c>
      <c r="M145" s="4">
        <f>SUMPRODUCT((E145:G145+E146:G146)/2,$B$17:$D$17)*$B$6</f>
        <v/>
      </c>
      <c r="N145" s="4">
        <f>M145*J145</f>
        <v/>
      </c>
      <c r="O145" s="4">
        <f>SUMPRODUCT((E145:G145+E146:G146)/2,$B$18:$D$18)*$B$6</f>
        <v/>
      </c>
      <c r="P145" s="4">
        <f>O145*J145</f>
        <v/>
      </c>
      <c r="Q145" s="4">
        <f>SUMPRODUCT((E145:G145+E146:G146)/2,$B$19:$D$19)*$B$6</f>
        <v/>
      </c>
      <c r="R145" s="4">
        <f>Q145*J145</f>
        <v/>
      </c>
      <c r="S145" s="4">
        <f>IF(A145=0,SUMPRODUCT((E145:G145+E146:G146)/2,$B$20:$D$20)*$B$6,0)</f>
        <v/>
      </c>
      <c r="T145" s="4">
        <f>S145*J145</f>
        <v/>
      </c>
      <c r="U145" s="4">
        <f>N145+P145+R145+T145</f>
        <v/>
      </c>
      <c r="V145">
        <f>SUMPRODUCT((E145:G145+E146:G146)/2,$B$24:$D$24)*$B$6</f>
        <v/>
      </c>
      <c r="W145" s="5">
        <f>V145*K145</f>
        <v/>
      </c>
      <c r="X145">
        <f>SUMPRODUCT((E145:G145+E146:G146)/2,$B$25:$D$25)*$B$6</f>
        <v/>
      </c>
      <c r="Y145">
        <f>X145*K145</f>
        <v/>
      </c>
    </row>
    <row r="146">
      <c r="A146" t="n">
        <v>117</v>
      </c>
      <c r="B146">
        <f>A146*$B$6</f>
        <v/>
      </c>
      <c r="C146" s="5">
        <f>EXP(-$B$12*B146)</f>
        <v/>
      </c>
      <c r="D146" s="5">
        <f>EXP(-$B$13*B146)</f>
        <v/>
      </c>
      <c r="E146">
        <f>C146</f>
        <v/>
      </c>
      <c r="F146">
        <f>D146-C146</f>
        <v/>
      </c>
      <c r="G146">
        <f>1-D146</f>
        <v/>
      </c>
      <c r="H146">
        <f>SUM(E146:G146)</f>
        <v/>
      </c>
      <c r="I146">
        <f>IF(AND(MIN(C146:D146)&gt;=0,MAX(C146:D146)&lt;=1,MIN(E146:G146)&gt;=-1E-10,ABS(H146-1)&lt;1E-8,C146&lt;=C145+1E-10,D146&lt;=D145+1E-10),"OK","ERROR")</f>
        <v/>
      </c>
      <c r="J146">
        <f>1/(1+$B$4)^(B146+$B$6/2)</f>
        <v/>
      </c>
      <c r="K146">
        <f>1/(1+$B$5)^(B146+$B$6/2)</f>
        <v/>
      </c>
      <c r="L146" t="inlineStr">
        <is>
          <t>Average endpoints</t>
        </is>
      </c>
      <c r="M146" s="4">
        <f>SUMPRODUCT((E146:G146+E147:G147)/2,$B$17:$D$17)*$B$6</f>
        <v/>
      </c>
      <c r="N146" s="4">
        <f>M146*J146</f>
        <v/>
      </c>
      <c r="O146" s="4">
        <f>SUMPRODUCT((E146:G146+E147:G147)/2,$B$18:$D$18)*$B$6</f>
        <v/>
      </c>
      <c r="P146" s="4">
        <f>O146*J146</f>
        <v/>
      </c>
      <c r="Q146" s="4">
        <f>SUMPRODUCT((E146:G146+E147:G147)/2,$B$19:$D$19)*$B$6</f>
        <v/>
      </c>
      <c r="R146" s="4">
        <f>Q146*J146</f>
        <v/>
      </c>
      <c r="S146" s="4">
        <f>IF(A146=0,SUMPRODUCT((E146:G146+E147:G147)/2,$B$20:$D$20)*$B$6,0)</f>
        <v/>
      </c>
      <c r="T146" s="4">
        <f>S146*J146</f>
        <v/>
      </c>
      <c r="U146" s="4">
        <f>N146+P146+R146+T146</f>
        <v/>
      </c>
      <c r="V146">
        <f>SUMPRODUCT((E146:G146+E147:G147)/2,$B$24:$D$24)*$B$6</f>
        <v/>
      </c>
      <c r="W146" s="5">
        <f>V146*K146</f>
        <v/>
      </c>
      <c r="X146">
        <f>SUMPRODUCT((E146:G146+E147:G147)/2,$B$25:$D$25)*$B$6</f>
        <v/>
      </c>
      <c r="Y146">
        <f>X146*K146</f>
        <v/>
      </c>
    </row>
    <row r="147">
      <c r="A147" t="n">
        <v>118</v>
      </c>
      <c r="B147">
        <f>A147*$B$6</f>
        <v/>
      </c>
      <c r="C147" s="5">
        <f>EXP(-$B$12*B147)</f>
        <v/>
      </c>
      <c r="D147" s="5">
        <f>EXP(-$B$13*B147)</f>
        <v/>
      </c>
      <c r="E147">
        <f>C147</f>
        <v/>
      </c>
      <c r="F147">
        <f>D147-C147</f>
        <v/>
      </c>
      <c r="G147">
        <f>1-D147</f>
        <v/>
      </c>
      <c r="H147">
        <f>SUM(E147:G147)</f>
        <v/>
      </c>
      <c r="I147">
        <f>IF(AND(MIN(C147:D147)&gt;=0,MAX(C147:D147)&lt;=1,MIN(E147:G147)&gt;=-1E-10,ABS(H147-1)&lt;1E-8,C147&lt;=C146+1E-10,D147&lt;=D146+1E-10),"OK","ERROR")</f>
        <v/>
      </c>
      <c r="J147">
        <f>1/(1+$B$4)^(B147+$B$6/2)</f>
        <v/>
      </c>
      <c r="K147">
        <f>1/(1+$B$5)^(B147+$B$6/2)</f>
        <v/>
      </c>
      <c r="L147" t="inlineStr">
        <is>
          <t>Average endpoints</t>
        </is>
      </c>
      <c r="M147" s="4">
        <f>SUMPRODUCT((E147:G147+E148:G148)/2,$B$17:$D$17)*$B$6</f>
        <v/>
      </c>
      <c r="N147" s="4">
        <f>M147*J147</f>
        <v/>
      </c>
      <c r="O147" s="4">
        <f>SUMPRODUCT((E147:G147+E148:G148)/2,$B$18:$D$18)*$B$6</f>
        <v/>
      </c>
      <c r="P147" s="4">
        <f>O147*J147</f>
        <v/>
      </c>
      <c r="Q147" s="4">
        <f>SUMPRODUCT((E147:G147+E148:G148)/2,$B$19:$D$19)*$B$6</f>
        <v/>
      </c>
      <c r="R147" s="4">
        <f>Q147*J147</f>
        <v/>
      </c>
      <c r="S147" s="4">
        <f>IF(A147=0,SUMPRODUCT((E147:G147+E148:G148)/2,$B$20:$D$20)*$B$6,0)</f>
        <v/>
      </c>
      <c r="T147" s="4">
        <f>S147*J147</f>
        <v/>
      </c>
      <c r="U147" s="4">
        <f>N147+P147+R147+T147</f>
        <v/>
      </c>
      <c r="V147">
        <f>SUMPRODUCT((E147:G147+E148:G148)/2,$B$24:$D$24)*$B$6</f>
        <v/>
      </c>
      <c r="W147" s="5">
        <f>V147*K147</f>
        <v/>
      </c>
      <c r="X147">
        <f>SUMPRODUCT((E147:G147+E148:G148)/2,$B$25:$D$25)*$B$6</f>
        <v/>
      </c>
      <c r="Y147">
        <f>X147*K147</f>
        <v/>
      </c>
    </row>
    <row r="148">
      <c r="A148" t="n">
        <v>119</v>
      </c>
      <c r="B148">
        <f>A148*$B$6</f>
        <v/>
      </c>
      <c r="C148" s="5">
        <f>EXP(-$B$12*B148)</f>
        <v/>
      </c>
      <c r="D148" s="5">
        <f>EXP(-$B$13*B148)</f>
        <v/>
      </c>
      <c r="E148">
        <f>C148</f>
        <v/>
      </c>
      <c r="F148">
        <f>D148-C148</f>
        <v/>
      </c>
      <c r="G148">
        <f>1-D148</f>
        <v/>
      </c>
      <c r="H148">
        <f>SUM(E148:G148)</f>
        <v/>
      </c>
      <c r="I148">
        <f>IF(AND(MIN(C148:D148)&gt;=0,MAX(C148:D148)&lt;=1,MIN(E148:G148)&gt;=-1E-10,ABS(H148-1)&lt;1E-8,C148&lt;=C147+1E-10,D148&lt;=D147+1E-10),"OK","ERROR")</f>
        <v/>
      </c>
      <c r="J148">
        <f>1/(1+$B$4)^(B148+$B$6/2)</f>
        <v/>
      </c>
      <c r="K148">
        <f>1/(1+$B$5)^(B148+$B$6/2)</f>
        <v/>
      </c>
      <c r="L148" t="inlineStr">
        <is>
          <t>Average endpoints</t>
        </is>
      </c>
      <c r="M148" s="4">
        <f>SUMPRODUCT((E148:G148+E149:G149)/2,$B$17:$D$17)*$B$6</f>
        <v/>
      </c>
      <c r="N148" s="4">
        <f>M148*J148</f>
        <v/>
      </c>
      <c r="O148" s="4">
        <f>SUMPRODUCT((E148:G148+E149:G149)/2,$B$18:$D$18)*$B$6</f>
        <v/>
      </c>
      <c r="P148" s="4">
        <f>O148*J148</f>
        <v/>
      </c>
      <c r="Q148" s="4">
        <f>SUMPRODUCT((E148:G148+E149:G149)/2,$B$19:$D$19)*$B$6</f>
        <v/>
      </c>
      <c r="R148" s="4">
        <f>Q148*J148</f>
        <v/>
      </c>
      <c r="S148" s="4">
        <f>IF(A148=0,SUMPRODUCT((E148:G148+E149:G149)/2,$B$20:$D$20)*$B$6,0)</f>
        <v/>
      </c>
      <c r="T148" s="4">
        <f>S148*J148</f>
        <v/>
      </c>
      <c r="U148" s="4">
        <f>N148+P148+R148+T148</f>
        <v/>
      </c>
      <c r="V148">
        <f>SUMPRODUCT((E148:G148+E149:G149)/2,$B$24:$D$24)*$B$6</f>
        <v/>
      </c>
      <c r="W148" s="5">
        <f>V148*K148</f>
        <v/>
      </c>
      <c r="X148">
        <f>SUMPRODUCT((E148:G148+E149:G149)/2,$B$25:$D$25)*$B$6</f>
        <v/>
      </c>
      <c r="Y148">
        <f>X148*K148</f>
        <v/>
      </c>
    </row>
    <row r="149">
      <c r="A149" t="n">
        <v>120</v>
      </c>
      <c r="B149">
        <f>A149*$B$6</f>
        <v/>
      </c>
      <c r="C149" s="5">
        <f>EXP(-$B$12*B149)</f>
        <v/>
      </c>
      <c r="D149" s="5">
        <f>EXP(-$B$13*B149)</f>
        <v/>
      </c>
      <c r="E149">
        <f>C149</f>
        <v/>
      </c>
      <c r="F149">
        <f>D149-C149</f>
        <v/>
      </c>
      <c r="G149">
        <f>1-D149</f>
        <v/>
      </c>
      <c r="H149">
        <f>SUM(E149:G149)</f>
        <v/>
      </c>
      <c r="I149">
        <f>IF(AND(MIN(C149:D149)&gt;=0,MAX(C149:D149)&lt;=1,MIN(E149:G149)&gt;=-1E-10,ABS(H149-1)&lt;1E-8,C149&lt;=C148+1E-10,D149&lt;=D148+1E-10),"OK","ERROR")</f>
        <v/>
      </c>
      <c r="J149">
        <f>1/(1+$B$4)^(B149+$B$6/2)</f>
        <v/>
      </c>
      <c r="K149">
        <f>1/(1+$B$5)^(B149+$B$6/2)</f>
        <v/>
      </c>
      <c r="L149" t="inlineStr">
        <is>
          <t>Average endpoints</t>
        </is>
      </c>
      <c r="M149" s="4">
        <f>SUMPRODUCT((E149:G149+E150:G150)/2,$B$17:$D$17)*$B$6</f>
        <v/>
      </c>
      <c r="N149" s="4">
        <f>M149*J149</f>
        <v/>
      </c>
      <c r="O149" s="4">
        <f>SUMPRODUCT((E149:G149+E150:G150)/2,$B$18:$D$18)*$B$6</f>
        <v/>
      </c>
      <c r="P149" s="4">
        <f>O149*J149</f>
        <v/>
      </c>
      <c r="Q149" s="4">
        <f>SUMPRODUCT((E149:G149+E150:G150)/2,$B$19:$D$19)*$B$6</f>
        <v/>
      </c>
      <c r="R149" s="4">
        <f>Q149*J149</f>
        <v/>
      </c>
      <c r="S149" s="4">
        <f>IF(A149=0,SUMPRODUCT((E149:G149+E150:G150)/2,$B$20:$D$20)*$B$6,0)</f>
        <v/>
      </c>
      <c r="T149" s="4">
        <f>S149*J149</f>
        <v/>
      </c>
      <c r="U149" s="4">
        <f>N149+P149+R149+T149</f>
        <v/>
      </c>
      <c r="V149">
        <f>SUMPRODUCT((E149:G149+E150:G150)/2,$B$24:$D$24)*$B$6</f>
        <v/>
      </c>
      <c r="W149" s="5">
        <f>V149*K149</f>
        <v/>
      </c>
      <c r="X149">
        <f>SUMPRODUCT((E149:G149+E150:G150)/2,$B$25:$D$25)*$B$6</f>
        <v/>
      </c>
      <c r="Y149">
        <f>X149*K149</f>
        <v/>
      </c>
    </row>
    <row r="150">
      <c r="A150" t="n">
        <v>121</v>
      </c>
      <c r="B150">
        <f>A150*$B$6</f>
        <v/>
      </c>
      <c r="C150" s="5">
        <f>EXP(-$B$12*B150)</f>
        <v/>
      </c>
      <c r="D150" s="5">
        <f>EXP(-$B$13*B150)</f>
        <v/>
      </c>
      <c r="E150">
        <f>C150</f>
        <v/>
      </c>
      <c r="F150">
        <f>D150-C150</f>
        <v/>
      </c>
      <c r="G150">
        <f>1-D150</f>
        <v/>
      </c>
      <c r="H150">
        <f>SUM(E150:G150)</f>
        <v/>
      </c>
      <c r="I150">
        <f>IF(AND(MIN(C150:D150)&gt;=0,MAX(C150:D150)&lt;=1,MIN(E150:G150)&gt;=-1E-10,ABS(H150-1)&lt;1E-8,C150&lt;=C149+1E-10,D150&lt;=D149+1E-10),"OK","ERROR")</f>
        <v/>
      </c>
      <c r="J150">
        <f>1/(1+$B$4)^(B150+$B$6/2)</f>
        <v/>
      </c>
      <c r="K150">
        <f>1/(1+$B$5)^(B150+$B$6/2)</f>
        <v/>
      </c>
      <c r="L150" t="inlineStr">
        <is>
          <t>Average endpoints</t>
        </is>
      </c>
      <c r="M150" s="4">
        <f>SUMPRODUCT((E150:G150+E151:G151)/2,$B$17:$D$17)*$B$6</f>
        <v/>
      </c>
      <c r="N150" s="4">
        <f>M150*J150</f>
        <v/>
      </c>
      <c r="O150" s="4">
        <f>SUMPRODUCT((E150:G150+E151:G151)/2,$B$18:$D$18)*$B$6</f>
        <v/>
      </c>
      <c r="P150" s="4">
        <f>O150*J150</f>
        <v/>
      </c>
      <c r="Q150" s="4">
        <f>SUMPRODUCT((E150:G150+E151:G151)/2,$B$19:$D$19)*$B$6</f>
        <v/>
      </c>
      <c r="R150" s="4">
        <f>Q150*J150</f>
        <v/>
      </c>
      <c r="S150" s="4">
        <f>IF(A150=0,SUMPRODUCT((E150:G150+E151:G151)/2,$B$20:$D$20)*$B$6,0)</f>
        <v/>
      </c>
      <c r="T150" s="4">
        <f>S150*J150</f>
        <v/>
      </c>
      <c r="U150" s="4">
        <f>N150+P150+R150+T150</f>
        <v/>
      </c>
      <c r="V150">
        <f>SUMPRODUCT((E150:G150+E151:G151)/2,$B$24:$D$24)*$B$6</f>
        <v/>
      </c>
      <c r="W150" s="5">
        <f>V150*K150</f>
        <v/>
      </c>
      <c r="X150">
        <f>SUMPRODUCT((E150:G150+E151:G151)/2,$B$25:$D$25)*$B$6</f>
        <v/>
      </c>
      <c r="Y150">
        <f>X150*K150</f>
        <v/>
      </c>
    </row>
    <row r="151">
      <c r="A151" t="n">
        <v>122</v>
      </c>
      <c r="B151">
        <f>A151*$B$6</f>
        <v/>
      </c>
      <c r="C151" s="5">
        <f>EXP(-$B$12*B151)</f>
        <v/>
      </c>
      <c r="D151" s="5">
        <f>EXP(-$B$13*B151)</f>
        <v/>
      </c>
      <c r="E151">
        <f>C151</f>
        <v/>
      </c>
      <c r="F151">
        <f>D151-C151</f>
        <v/>
      </c>
      <c r="G151">
        <f>1-D151</f>
        <v/>
      </c>
      <c r="H151">
        <f>SUM(E151:G151)</f>
        <v/>
      </c>
      <c r="I151">
        <f>IF(AND(MIN(C151:D151)&gt;=0,MAX(C151:D151)&lt;=1,MIN(E151:G151)&gt;=-1E-10,ABS(H151-1)&lt;1E-8,C151&lt;=C150+1E-10,D151&lt;=D150+1E-10),"OK","ERROR")</f>
        <v/>
      </c>
      <c r="J151">
        <f>1/(1+$B$4)^(B151+$B$6/2)</f>
        <v/>
      </c>
      <c r="K151">
        <f>1/(1+$B$5)^(B151+$B$6/2)</f>
        <v/>
      </c>
      <c r="L151" t="inlineStr">
        <is>
          <t>Average endpoints</t>
        </is>
      </c>
      <c r="M151" s="4">
        <f>SUMPRODUCT((E151:G151+E152:G152)/2,$B$17:$D$17)*$B$6</f>
        <v/>
      </c>
      <c r="N151" s="4">
        <f>M151*J151</f>
        <v/>
      </c>
      <c r="O151" s="4">
        <f>SUMPRODUCT((E151:G151+E152:G152)/2,$B$18:$D$18)*$B$6</f>
        <v/>
      </c>
      <c r="P151" s="4">
        <f>O151*J151</f>
        <v/>
      </c>
      <c r="Q151" s="4">
        <f>SUMPRODUCT((E151:G151+E152:G152)/2,$B$19:$D$19)*$B$6</f>
        <v/>
      </c>
      <c r="R151" s="4">
        <f>Q151*J151</f>
        <v/>
      </c>
      <c r="S151" s="4">
        <f>IF(A151=0,SUMPRODUCT((E151:G151+E152:G152)/2,$B$20:$D$20)*$B$6,0)</f>
        <v/>
      </c>
      <c r="T151" s="4">
        <f>S151*J151</f>
        <v/>
      </c>
      <c r="U151" s="4">
        <f>N151+P151+R151+T151</f>
        <v/>
      </c>
      <c r="V151">
        <f>SUMPRODUCT((E151:G151+E152:G152)/2,$B$24:$D$24)*$B$6</f>
        <v/>
      </c>
      <c r="W151" s="5">
        <f>V151*K151</f>
        <v/>
      </c>
      <c r="X151">
        <f>SUMPRODUCT((E151:G151+E152:G152)/2,$B$25:$D$25)*$B$6</f>
        <v/>
      </c>
      <c r="Y151">
        <f>X151*K151</f>
        <v/>
      </c>
    </row>
    <row r="152">
      <c r="A152" t="n">
        <v>123</v>
      </c>
      <c r="B152">
        <f>A152*$B$6</f>
        <v/>
      </c>
      <c r="C152" s="5">
        <f>EXP(-$B$12*B152)</f>
        <v/>
      </c>
      <c r="D152" s="5">
        <f>EXP(-$B$13*B152)</f>
        <v/>
      </c>
      <c r="E152">
        <f>C152</f>
        <v/>
      </c>
      <c r="F152">
        <f>D152-C152</f>
        <v/>
      </c>
      <c r="G152">
        <f>1-D152</f>
        <v/>
      </c>
      <c r="H152">
        <f>SUM(E152:G152)</f>
        <v/>
      </c>
      <c r="I152">
        <f>IF(AND(MIN(C152:D152)&gt;=0,MAX(C152:D152)&lt;=1,MIN(E152:G152)&gt;=-1E-10,ABS(H152-1)&lt;1E-8,C152&lt;=C151+1E-10,D152&lt;=D151+1E-10),"OK","ERROR")</f>
        <v/>
      </c>
      <c r="J152">
        <f>1/(1+$B$4)^(B152+$B$6/2)</f>
        <v/>
      </c>
      <c r="K152">
        <f>1/(1+$B$5)^(B152+$B$6/2)</f>
        <v/>
      </c>
      <c r="L152" t="inlineStr">
        <is>
          <t>Average endpoints</t>
        </is>
      </c>
      <c r="M152" s="4">
        <f>SUMPRODUCT((E152:G152+E153:G153)/2,$B$17:$D$17)*$B$6</f>
        <v/>
      </c>
      <c r="N152" s="4">
        <f>M152*J152</f>
        <v/>
      </c>
      <c r="O152" s="4">
        <f>SUMPRODUCT((E152:G152+E153:G153)/2,$B$18:$D$18)*$B$6</f>
        <v/>
      </c>
      <c r="P152" s="4">
        <f>O152*J152</f>
        <v/>
      </c>
      <c r="Q152" s="4">
        <f>SUMPRODUCT((E152:G152+E153:G153)/2,$B$19:$D$19)*$B$6</f>
        <v/>
      </c>
      <c r="R152" s="4">
        <f>Q152*J152</f>
        <v/>
      </c>
      <c r="S152" s="4">
        <f>IF(A152=0,SUMPRODUCT((E152:G152+E153:G153)/2,$B$20:$D$20)*$B$6,0)</f>
        <v/>
      </c>
      <c r="T152" s="4">
        <f>S152*J152</f>
        <v/>
      </c>
      <c r="U152" s="4">
        <f>N152+P152+R152+T152</f>
        <v/>
      </c>
      <c r="V152">
        <f>SUMPRODUCT((E152:G152+E153:G153)/2,$B$24:$D$24)*$B$6</f>
        <v/>
      </c>
      <c r="W152" s="5">
        <f>V152*K152</f>
        <v/>
      </c>
      <c r="X152">
        <f>SUMPRODUCT((E152:G152+E153:G153)/2,$B$25:$D$25)*$B$6</f>
        <v/>
      </c>
      <c r="Y152">
        <f>X152*K152</f>
        <v/>
      </c>
    </row>
    <row r="153">
      <c r="A153" t="n">
        <v>124</v>
      </c>
      <c r="B153">
        <f>A153*$B$6</f>
        <v/>
      </c>
      <c r="C153" s="5">
        <f>EXP(-$B$12*B153)</f>
        <v/>
      </c>
      <c r="D153" s="5">
        <f>EXP(-$B$13*B153)</f>
        <v/>
      </c>
      <c r="E153">
        <f>C153</f>
        <v/>
      </c>
      <c r="F153">
        <f>D153-C153</f>
        <v/>
      </c>
      <c r="G153">
        <f>1-D153</f>
        <v/>
      </c>
      <c r="H153">
        <f>SUM(E153:G153)</f>
        <v/>
      </c>
      <c r="I153">
        <f>IF(AND(MIN(C153:D153)&gt;=0,MAX(C153:D153)&lt;=1,MIN(E153:G153)&gt;=-1E-10,ABS(H153-1)&lt;1E-8,C153&lt;=C152+1E-10,D153&lt;=D152+1E-10),"OK","ERROR")</f>
        <v/>
      </c>
      <c r="J153">
        <f>1/(1+$B$4)^(B153+$B$6/2)</f>
        <v/>
      </c>
      <c r="K153">
        <f>1/(1+$B$5)^(B153+$B$6/2)</f>
        <v/>
      </c>
      <c r="L153" t="inlineStr">
        <is>
          <t>Average endpoints</t>
        </is>
      </c>
      <c r="M153" s="4">
        <f>SUMPRODUCT((E153:G153+E154:G154)/2,$B$17:$D$17)*$B$6</f>
        <v/>
      </c>
      <c r="N153" s="4">
        <f>M153*J153</f>
        <v/>
      </c>
      <c r="O153" s="4">
        <f>SUMPRODUCT((E153:G153+E154:G154)/2,$B$18:$D$18)*$B$6</f>
        <v/>
      </c>
      <c r="P153" s="4">
        <f>O153*J153</f>
        <v/>
      </c>
      <c r="Q153" s="4">
        <f>SUMPRODUCT((E153:G153+E154:G154)/2,$B$19:$D$19)*$B$6</f>
        <v/>
      </c>
      <c r="R153" s="4">
        <f>Q153*J153</f>
        <v/>
      </c>
      <c r="S153" s="4">
        <f>IF(A153=0,SUMPRODUCT((E153:G153+E154:G154)/2,$B$20:$D$20)*$B$6,0)</f>
        <v/>
      </c>
      <c r="T153" s="4">
        <f>S153*J153</f>
        <v/>
      </c>
      <c r="U153" s="4">
        <f>N153+P153+R153+T153</f>
        <v/>
      </c>
      <c r="V153">
        <f>SUMPRODUCT((E153:G153+E154:G154)/2,$B$24:$D$24)*$B$6</f>
        <v/>
      </c>
      <c r="W153" s="5">
        <f>V153*K153</f>
        <v/>
      </c>
      <c r="X153">
        <f>SUMPRODUCT((E153:G153+E154:G154)/2,$B$25:$D$25)*$B$6</f>
        <v/>
      </c>
      <c r="Y153">
        <f>X153*K153</f>
        <v/>
      </c>
    </row>
    <row r="154">
      <c r="A154" t="n">
        <v>125</v>
      </c>
      <c r="B154">
        <f>A154*$B$6</f>
        <v/>
      </c>
      <c r="C154" s="5">
        <f>EXP(-$B$12*B154)</f>
        <v/>
      </c>
      <c r="D154" s="5">
        <f>EXP(-$B$13*B154)</f>
        <v/>
      </c>
      <c r="E154">
        <f>C154</f>
        <v/>
      </c>
      <c r="F154">
        <f>D154-C154</f>
        <v/>
      </c>
      <c r="G154">
        <f>1-D154</f>
        <v/>
      </c>
      <c r="H154">
        <f>SUM(E154:G154)</f>
        <v/>
      </c>
      <c r="I154">
        <f>IF(AND(MIN(C154:D154)&gt;=0,MAX(C154:D154)&lt;=1,MIN(E154:G154)&gt;=-1E-10,ABS(H154-1)&lt;1E-8,C154&lt;=C153+1E-10,D154&lt;=D153+1E-10),"OK","ERROR")</f>
        <v/>
      </c>
      <c r="J154">
        <f>1/(1+$B$4)^(B154+$B$6/2)</f>
        <v/>
      </c>
      <c r="K154">
        <f>1/(1+$B$5)^(B154+$B$6/2)</f>
        <v/>
      </c>
      <c r="L154" t="inlineStr">
        <is>
          <t>Average endpoints</t>
        </is>
      </c>
      <c r="M154" s="4">
        <f>SUMPRODUCT((E154:G154+E155:G155)/2,$B$17:$D$17)*$B$6</f>
        <v/>
      </c>
      <c r="N154" s="4">
        <f>M154*J154</f>
        <v/>
      </c>
      <c r="O154" s="4">
        <f>SUMPRODUCT((E154:G154+E155:G155)/2,$B$18:$D$18)*$B$6</f>
        <v/>
      </c>
      <c r="P154" s="4">
        <f>O154*J154</f>
        <v/>
      </c>
      <c r="Q154" s="4">
        <f>SUMPRODUCT((E154:G154+E155:G155)/2,$B$19:$D$19)*$B$6</f>
        <v/>
      </c>
      <c r="R154" s="4">
        <f>Q154*J154</f>
        <v/>
      </c>
      <c r="S154" s="4">
        <f>IF(A154=0,SUMPRODUCT((E154:G154+E155:G155)/2,$B$20:$D$20)*$B$6,0)</f>
        <v/>
      </c>
      <c r="T154" s="4">
        <f>S154*J154</f>
        <v/>
      </c>
      <c r="U154" s="4">
        <f>N154+P154+R154+T154</f>
        <v/>
      </c>
      <c r="V154">
        <f>SUMPRODUCT((E154:G154+E155:G155)/2,$B$24:$D$24)*$B$6</f>
        <v/>
      </c>
      <c r="W154" s="5">
        <f>V154*K154</f>
        <v/>
      </c>
      <c r="X154">
        <f>SUMPRODUCT((E154:G154+E155:G155)/2,$B$25:$D$25)*$B$6</f>
        <v/>
      </c>
      <c r="Y154">
        <f>X154*K154</f>
        <v/>
      </c>
    </row>
    <row r="155">
      <c r="A155" t="n">
        <v>126</v>
      </c>
      <c r="B155">
        <f>A155*$B$6</f>
        <v/>
      </c>
      <c r="C155" s="5">
        <f>EXP(-$B$12*B155)</f>
        <v/>
      </c>
      <c r="D155" s="5">
        <f>EXP(-$B$13*B155)</f>
        <v/>
      </c>
      <c r="E155">
        <f>C155</f>
        <v/>
      </c>
      <c r="F155">
        <f>D155-C155</f>
        <v/>
      </c>
      <c r="G155">
        <f>1-D155</f>
        <v/>
      </c>
      <c r="H155">
        <f>SUM(E155:G155)</f>
        <v/>
      </c>
      <c r="I155">
        <f>IF(AND(MIN(C155:D155)&gt;=0,MAX(C155:D155)&lt;=1,MIN(E155:G155)&gt;=-1E-10,ABS(H155-1)&lt;1E-8,C155&lt;=C154+1E-10,D155&lt;=D154+1E-10),"OK","ERROR")</f>
        <v/>
      </c>
      <c r="J155">
        <f>1/(1+$B$4)^(B155+$B$6/2)</f>
        <v/>
      </c>
      <c r="K155">
        <f>1/(1+$B$5)^(B155+$B$6/2)</f>
        <v/>
      </c>
      <c r="L155" t="inlineStr">
        <is>
          <t>Average endpoints</t>
        </is>
      </c>
      <c r="M155" s="4">
        <f>SUMPRODUCT((E155:G155+E156:G156)/2,$B$17:$D$17)*$B$6</f>
        <v/>
      </c>
      <c r="N155" s="4">
        <f>M155*J155</f>
        <v/>
      </c>
      <c r="O155" s="4">
        <f>SUMPRODUCT((E155:G155+E156:G156)/2,$B$18:$D$18)*$B$6</f>
        <v/>
      </c>
      <c r="P155" s="4">
        <f>O155*J155</f>
        <v/>
      </c>
      <c r="Q155" s="4">
        <f>SUMPRODUCT((E155:G155+E156:G156)/2,$B$19:$D$19)*$B$6</f>
        <v/>
      </c>
      <c r="R155" s="4">
        <f>Q155*J155</f>
        <v/>
      </c>
      <c r="S155" s="4">
        <f>IF(A155=0,SUMPRODUCT((E155:G155+E156:G156)/2,$B$20:$D$20)*$B$6,0)</f>
        <v/>
      </c>
      <c r="T155" s="4">
        <f>S155*J155</f>
        <v/>
      </c>
      <c r="U155" s="4">
        <f>N155+P155+R155+T155</f>
        <v/>
      </c>
      <c r="V155">
        <f>SUMPRODUCT((E155:G155+E156:G156)/2,$B$24:$D$24)*$B$6</f>
        <v/>
      </c>
      <c r="W155" s="5">
        <f>V155*K155</f>
        <v/>
      </c>
      <c r="X155">
        <f>SUMPRODUCT((E155:G155+E156:G156)/2,$B$25:$D$25)*$B$6</f>
        <v/>
      </c>
      <c r="Y155">
        <f>X155*K155</f>
        <v/>
      </c>
    </row>
    <row r="156">
      <c r="A156" t="n">
        <v>127</v>
      </c>
      <c r="B156">
        <f>A156*$B$6</f>
        <v/>
      </c>
      <c r="C156" s="5">
        <f>EXP(-$B$12*B156)</f>
        <v/>
      </c>
      <c r="D156" s="5">
        <f>EXP(-$B$13*B156)</f>
        <v/>
      </c>
      <c r="E156">
        <f>C156</f>
        <v/>
      </c>
      <c r="F156">
        <f>D156-C156</f>
        <v/>
      </c>
      <c r="G156">
        <f>1-D156</f>
        <v/>
      </c>
      <c r="H156">
        <f>SUM(E156:G156)</f>
        <v/>
      </c>
      <c r="I156">
        <f>IF(AND(MIN(C156:D156)&gt;=0,MAX(C156:D156)&lt;=1,MIN(E156:G156)&gt;=-1E-10,ABS(H156-1)&lt;1E-8,C156&lt;=C155+1E-10,D156&lt;=D155+1E-10),"OK","ERROR")</f>
        <v/>
      </c>
      <c r="J156">
        <f>1/(1+$B$4)^(B156+$B$6/2)</f>
        <v/>
      </c>
      <c r="K156">
        <f>1/(1+$B$5)^(B156+$B$6/2)</f>
        <v/>
      </c>
      <c r="L156" t="inlineStr">
        <is>
          <t>Average endpoints</t>
        </is>
      </c>
      <c r="M156" s="4">
        <f>SUMPRODUCT((E156:G156+E157:G157)/2,$B$17:$D$17)*$B$6</f>
        <v/>
      </c>
      <c r="N156" s="4">
        <f>M156*J156</f>
        <v/>
      </c>
      <c r="O156" s="4">
        <f>SUMPRODUCT((E156:G156+E157:G157)/2,$B$18:$D$18)*$B$6</f>
        <v/>
      </c>
      <c r="P156" s="4">
        <f>O156*J156</f>
        <v/>
      </c>
      <c r="Q156" s="4">
        <f>SUMPRODUCT((E156:G156+E157:G157)/2,$B$19:$D$19)*$B$6</f>
        <v/>
      </c>
      <c r="R156" s="4">
        <f>Q156*J156</f>
        <v/>
      </c>
      <c r="S156" s="4">
        <f>IF(A156=0,SUMPRODUCT((E156:G156+E157:G157)/2,$B$20:$D$20)*$B$6,0)</f>
        <v/>
      </c>
      <c r="T156" s="4">
        <f>S156*J156</f>
        <v/>
      </c>
      <c r="U156" s="4">
        <f>N156+P156+R156+T156</f>
        <v/>
      </c>
      <c r="V156">
        <f>SUMPRODUCT((E156:G156+E157:G157)/2,$B$24:$D$24)*$B$6</f>
        <v/>
      </c>
      <c r="W156" s="5">
        <f>V156*K156</f>
        <v/>
      </c>
      <c r="X156">
        <f>SUMPRODUCT((E156:G156+E157:G157)/2,$B$25:$D$25)*$B$6</f>
        <v/>
      </c>
      <c r="Y156">
        <f>X156*K156</f>
        <v/>
      </c>
    </row>
    <row r="157">
      <c r="A157" t="n">
        <v>128</v>
      </c>
      <c r="B157">
        <f>A157*$B$6</f>
        <v/>
      </c>
      <c r="C157" s="5">
        <f>EXP(-$B$12*B157)</f>
        <v/>
      </c>
      <c r="D157" s="5">
        <f>EXP(-$B$13*B157)</f>
        <v/>
      </c>
      <c r="E157">
        <f>C157</f>
        <v/>
      </c>
      <c r="F157">
        <f>D157-C157</f>
        <v/>
      </c>
      <c r="G157">
        <f>1-D157</f>
        <v/>
      </c>
      <c r="H157">
        <f>SUM(E157:G157)</f>
        <v/>
      </c>
      <c r="I157">
        <f>IF(AND(MIN(C157:D157)&gt;=0,MAX(C157:D157)&lt;=1,MIN(E157:G157)&gt;=-1E-10,ABS(H157-1)&lt;1E-8,C157&lt;=C156+1E-10,D157&lt;=D156+1E-10),"OK","ERROR")</f>
        <v/>
      </c>
      <c r="J157">
        <f>1/(1+$B$4)^(B157+$B$6/2)</f>
        <v/>
      </c>
      <c r="K157">
        <f>1/(1+$B$5)^(B157+$B$6/2)</f>
        <v/>
      </c>
      <c r="L157" t="inlineStr">
        <is>
          <t>Average endpoints</t>
        </is>
      </c>
      <c r="M157" s="4">
        <f>SUMPRODUCT((E157:G157+E158:G158)/2,$B$17:$D$17)*$B$6</f>
        <v/>
      </c>
      <c r="N157" s="4">
        <f>M157*J157</f>
        <v/>
      </c>
      <c r="O157" s="4">
        <f>SUMPRODUCT((E157:G157+E158:G158)/2,$B$18:$D$18)*$B$6</f>
        <v/>
      </c>
      <c r="P157" s="4">
        <f>O157*J157</f>
        <v/>
      </c>
      <c r="Q157" s="4">
        <f>SUMPRODUCT((E157:G157+E158:G158)/2,$B$19:$D$19)*$B$6</f>
        <v/>
      </c>
      <c r="R157" s="4">
        <f>Q157*J157</f>
        <v/>
      </c>
      <c r="S157" s="4">
        <f>IF(A157=0,SUMPRODUCT((E157:G157+E158:G158)/2,$B$20:$D$20)*$B$6,0)</f>
        <v/>
      </c>
      <c r="T157" s="4">
        <f>S157*J157</f>
        <v/>
      </c>
      <c r="U157" s="4">
        <f>N157+P157+R157+T157</f>
        <v/>
      </c>
      <c r="V157">
        <f>SUMPRODUCT((E157:G157+E158:G158)/2,$B$24:$D$24)*$B$6</f>
        <v/>
      </c>
      <c r="W157" s="5">
        <f>V157*K157</f>
        <v/>
      </c>
      <c r="X157">
        <f>SUMPRODUCT((E157:G157+E158:G158)/2,$B$25:$D$25)*$B$6</f>
        <v/>
      </c>
      <c r="Y157">
        <f>X157*K157</f>
        <v/>
      </c>
    </row>
    <row r="158">
      <c r="A158" t="n">
        <v>129</v>
      </c>
      <c r="B158">
        <f>A158*$B$6</f>
        <v/>
      </c>
      <c r="C158" s="5">
        <f>EXP(-$B$12*B158)</f>
        <v/>
      </c>
      <c r="D158" s="5">
        <f>EXP(-$B$13*B158)</f>
        <v/>
      </c>
      <c r="E158">
        <f>C158</f>
        <v/>
      </c>
      <c r="F158">
        <f>D158-C158</f>
        <v/>
      </c>
      <c r="G158">
        <f>1-D158</f>
        <v/>
      </c>
      <c r="H158">
        <f>SUM(E158:G158)</f>
        <v/>
      </c>
      <c r="I158">
        <f>IF(AND(MIN(C158:D158)&gt;=0,MAX(C158:D158)&lt;=1,MIN(E158:G158)&gt;=-1E-10,ABS(H158-1)&lt;1E-8,C158&lt;=C157+1E-10,D158&lt;=D157+1E-10),"OK","ERROR")</f>
        <v/>
      </c>
      <c r="J158">
        <f>1/(1+$B$4)^(B158+$B$6/2)</f>
        <v/>
      </c>
      <c r="K158">
        <f>1/(1+$B$5)^(B158+$B$6/2)</f>
        <v/>
      </c>
      <c r="L158" t="inlineStr">
        <is>
          <t>Average endpoints</t>
        </is>
      </c>
      <c r="M158" s="4">
        <f>SUMPRODUCT((E158:G158+E159:G159)/2,$B$17:$D$17)*$B$6</f>
        <v/>
      </c>
      <c r="N158" s="4">
        <f>M158*J158</f>
        <v/>
      </c>
      <c r="O158" s="4">
        <f>SUMPRODUCT((E158:G158+E159:G159)/2,$B$18:$D$18)*$B$6</f>
        <v/>
      </c>
      <c r="P158" s="4">
        <f>O158*J158</f>
        <v/>
      </c>
      <c r="Q158" s="4">
        <f>SUMPRODUCT((E158:G158+E159:G159)/2,$B$19:$D$19)*$B$6</f>
        <v/>
      </c>
      <c r="R158" s="4">
        <f>Q158*J158</f>
        <v/>
      </c>
      <c r="S158" s="4">
        <f>IF(A158=0,SUMPRODUCT((E158:G158+E159:G159)/2,$B$20:$D$20)*$B$6,0)</f>
        <v/>
      </c>
      <c r="T158" s="4">
        <f>S158*J158</f>
        <v/>
      </c>
      <c r="U158" s="4">
        <f>N158+P158+R158+T158</f>
        <v/>
      </c>
      <c r="V158">
        <f>SUMPRODUCT((E158:G158+E159:G159)/2,$B$24:$D$24)*$B$6</f>
        <v/>
      </c>
      <c r="W158" s="5">
        <f>V158*K158</f>
        <v/>
      </c>
      <c r="X158">
        <f>SUMPRODUCT((E158:G158+E159:G159)/2,$B$25:$D$25)*$B$6</f>
        <v/>
      </c>
      <c r="Y158">
        <f>X158*K158</f>
        <v/>
      </c>
    </row>
    <row r="159">
      <c r="A159" t="n">
        <v>130</v>
      </c>
      <c r="B159">
        <f>A159*$B$6</f>
        <v/>
      </c>
      <c r="C159" s="5">
        <f>EXP(-$B$12*B159)</f>
        <v/>
      </c>
      <c r="D159" s="5">
        <f>EXP(-$B$13*B159)</f>
        <v/>
      </c>
      <c r="E159">
        <f>C159</f>
        <v/>
      </c>
      <c r="F159">
        <f>D159-C159</f>
        <v/>
      </c>
      <c r="G159">
        <f>1-D159</f>
        <v/>
      </c>
      <c r="H159">
        <f>SUM(E159:G159)</f>
        <v/>
      </c>
      <c r="I159">
        <f>IF(AND(MIN(C159:D159)&gt;=0,MAX(C159:D159)&lt;=1,MIN(E159:G159)&gt;=-1E-10,ABS(H159-1)&lt;1E-8,C159&lt;=C158+1E-10,D159&lt;=D158+1E-10),"OK","ERROR")</f>
        <v/>
      </c>
      <c r="J159">
        <f>1/(1+$B$4)^(B159+$B$6/2)</f>
        <v/>
      </c>
      <c r="K159">
        <f>1/(1+$B$5)^(B159+$B$6/2)</f>
        <v/>
      </c>
      <c r="L159" t="inlineStr">
        <is>
          <t>Average endpoints</t>
        </is>
      </c>
      <c r="M159" s="4">
        <f>SUMPRODUCT((E159:G159+E160:G160)/2,$B$17:$D$17)*$B$6</f>
        <v/>
      </c>
      <c r="N159" s="4">
        <f>M159*J159</f>
        <v/>
      </c>
      <c r="O159" s="4">
        <f>SUMPRODUCT((E159:G159+E160:G160)/2,$B$18:$D$18)*$B$6</f>
        <v/>
      </c>
      <c r="P159" s="4">
        <f>O159*J159</f>
        <v/>
      </c>
      <c r="Q159" s="4">
        <f>SUMPRODUCT((E159:G159+E160:G160)/2,$B$19:$D$19)*$B$6</f>
        <v/>
      </c>
      <c r="R159" s="4">
        <f>Q159*J159</f>
        <v/>
      </c>
      <c r="S159" s="4">
        <f>IF(A159=0,SUMPRODUCT((E159:G159+E160:G160)/2,$B$20:$D$20)*$B$6,0)</f>
        <v/>
      </c>
      <c r="T159" s="4">
        <f>S159*J159</f>
        <v/>
      </c>
      <c r="U159" s="4">
        <f>N159+P159+R159+T159</f>
        <v/>
      </c>
      <c r="V159">
        <f>SUMPRODUCT((E159:G159+E160:G160)/2,$B$24:$D$24)*$B$6</f>
        <v/>
      </c>
      <c r="W159" s="5">
        <f>V159*K159</f>
        <v/>
      </c>
      <c r="X159">
        <f>SUMPRODUCT((E159:G159+E160:G160)/2,$B$25:$D$25)*$B$6</f>
        <v/>
      </c>
      <c r="Y159">
        <f>X159*K159</f>
        <v/>
      </c>
    </row>
    <row r="160">
      <c r="A160" t="n">
        <v>131</v>
      </c>
      <c r="B160">
        <f>A160*$B$6</f>
        <v/>
      </c>
      <c r="C160" s="5">
        <f>EXP(-$B$12*B160)</f>
        <v/>
      </c>
      <c r="D160" s="5">
        <f>EXP(-$B$13*B160)</f>
        <v/>
      </c>
      <c r="E160">
        <f>C160</f>
        <v/>
      </c>
      <c r="F160">
        <f>D160-C160</f>
        <v/>
      </c>
      <c r="G160">
        <f>1-D160</f>
        <v/>
      </c>
      <c r="H160">
        <f>SUM(E160:G160)</f>
        <v/>
      </c>
      <c r="I160">
        <f>IF(AND(MIN(C160:D160)&gt;=0,MAX(C160:D160)&lt;=1,MIN(E160:G160)&gt;=-1E-10,ABS(H160-1)&lt;1E-8,C160&lt;=C159+1E-10,D160&lt;=D159+1E-10),"OK","ERROR")</f>
        <v/>
      </c>
      <c r="J160">
        <f>1/(1+$B$4)^(B160+$B$6/2)</f>
        <v/>
      </c>
      <c r="K160">
        <f>1/(1+$B$5)^(B160+$B$6/2)</f>
        <v/>
      </c>
      <c r="L160" t="inlineStr">
        <is>
          <t>Average endpoints</t>
        </is>
      </c>
      <c r="M160" s="4">
        <f>SUMPRODUCT((E160:G160+E161:G161)/2,$B$17:$D$17)*$B$6</f>
        <v/>
      </c>
      <c r="N160" s="4">
        <f>M160*J160</f>
        <v/>
      </c>
      <c r="O160" s="4">
        <f>SUMPRODUCT((E160:G160+E161:G161)/2,$B$18:$D$18)*$B$6</f>
        <v/>
      </c>
      <c r="P160" s="4">
        <f>O160*J160</f>
        <v/>
      </c>
      <c r="Q160" s="4">
        <f>SUMPRODUCT((E160:G160+E161:G161)/2,$B$19:$D$19)*$B$6</f>
        <v/>
      </c>
      <c r="R160" s="4">
        <f>Q160*J160</f>
        <v/>
      </c>
      <c r="S160" s="4">
        <f>IF(A160=0,SUMPRODUCT((E160:G160+E161:G161)/2,$B$20:$D$20)*$B$6,0)</f>
        <v/>
      </c>
      <c r="T160" s="4">
        <f>S160*J160</f>
        <v/>
      </c>
      <c r="U160" s="4">
        <f>N160+P160+R160+T160</f>
        <v/>
      </c>
      <c r="V160">
        <f>SUMPRODUCT((E160:G160+E161:G161)/2,$B$24:$D$24)*$B$6</f>
        <v/>
      </c>
      <c r="W160" s="5">
        <f>V160*K160</f>
        <v/>
      </c>
      <c r="X160">
        <f>SUMPRODUCT((E160:G160+E161:G161)/2,$B$25:$D$25)*$B$6</f>
        <v/>
      </c>
      <c r="Y160">
        <f>X160*K160</f>
        <v/>
      </c>
    </row>
    <row r="161">
      <c r="A161" t="n">
        <v>132</v>
      </c>
      <c r="B161">
        <f>A161*$B$6</f>
        <v/>
      </c>
      <c r="C161" s="5">
        <f>EXP(-$B$12*B161)</f>
        <v/>
      </c>
      <c r="D161" s="5">
        <f>EXP(-$B$13*B161)</f>
        <v/>
      </c>
      <c r="E161">
        <f>C161</f>
        <v/>
      </c>
      <c r="F161">
        <f>D161-C161</f>
        <v/>
      </c>
      <c r="G161">
        <f>1-D161</f>
        <v/>
      </c>
      <c r="H161">
        <f>SUM(E161:G161)</f>
        <v/>
      </c>
      <c r="I161">
        <f>IF(AND(MIN(C161:D161)&gt;=0,MAX(C161:D161)&lt;=1,MIN(E161:G161)&gt;=-1E-10,ABS(H161-1)&lt;1E-8,C161&lt;=C160+1E-10,D161&lt;=D160+1E-10),"OK","ERROR")</f>
        <v/>
      </c>
      <c r="J161">
        <f>1/(1+$B$4)^(B161+$B$6/2)</f>
        <v/>
      </c>
      <c r="K161">
        <f>1/(1+$B$5)^(B161+$B$6/2)</f>
        <v/>
      </c>
      <c r="L161" t="inlineStr">
        <is>
          <t>Average endpoints</t>
        </is>
      </c>
      <c r="M161" s="4">
        <f>SUMPRODUCT((E161:G161+E162:G162)/2,$B$17:$D$17)*$B$6</f>
        <v/>
      </c>
      <c r="N161" s="4">
        <f>M161*J161</f>
        <v/>
      </c>
      <c r="O161" s="4">
        <f>SUMPRODUCT((E161:G161+E162:G162)/2,$B$18:$D$18)*$B$6</f>
        <v/>
      </c>
      <c r="P161" s="4">
        <f>O161*J161</f>
        <v/>
      </c>
      <c r="Q161" s="4">
        <f>SUMPRODUCT((E161:G161+E162:G162)/2,$B$19:$D$19)*$B$6</f>
        <v/>
      </c>
      <c r="R161" s="4">
        <f>Q161*J161</f>
        <v/>
      </c>
      <c r="S161" s="4">
        <f>IF(A161=0,SUMPRODUCT((E161:G161+E162:G162)/2,$B$20:$D$20)*$B$6,0)</f>
        <v/>
      </c>
      <c r="T161" s="4">
        <f>S161*J161</f>
        <v/>
      </c>
      <c r="U161" s="4">
        <f>N161+P161+R161+T161</f>
        <v/>
      </c>
      <c r="V161">
        <f>SUMPRODUCT((E161:G161+E162:G162)/2,$B$24:$D$24)*$B$6</f>
        <v/>
      </c>
      <c r="W161" s="5">
        <f>V161*K161</f>
        <v/>
      </c>
      <c r="X161">
        <f>SUMPRODUCT((E161:G161+E162:G162)/2,$B$25:$D$25)*$B$6</f>
        <v/>
      </c>
      <c r="Y161">
        <f>X161*K161</f>
        <v/>
      </c>
    </row>
    <row r="162">
      <c r="A162" t="n">
        <v>133</v>
      </c>
      <c r="B162">
        <f>A162*$B$6</f>
        <v/>
      </c>
      <c r="C162" s="5">
        <f>EXP(-$B$12*B162)</f>
        <v/>
      </c>
      <c r="D162" s="5">
        <f>EXP(-$B$13*B162)</f>
        <v/>
      </c>
      <c r="E162">
        <f>C162</f>
        <v/>
      </c>
      <c r="F162">
        <f>D162-C162</f>
        <v/>
      </c>
      <c r="G162">
        <f>1-D162</f>
        <v/>
      </c>
      <c r="H162">
        <f>SUM(E162:G162)</f>
        <v/>
      </c>
      <c r="I162">
        <f>IF(AND(MIN(C162:D162)&gt;=0,MAX(C162:D162)&lt;=1,MIN(E162:G162)&gt;=-1E-10,ABS(H162-1)&lt;1E-8,C162&lt;=C161+1E-10,D162&lt;=D161+1E-10),"OK","ERROR")</f>
        <v/>
      </c>
      <c r="J162">
        <f>1/(1+$B$4)^(B162+$B$6/2)</f>
        <v/>
      </c>
      <c r="K162">
        <f>1/(1+$B$5)^(B162+$B$6/2)</f>
        <v/>
      </c>
      <c r="L162" t="inlineStr">
        <is>
          <t>Average endpoints</t>
        </is>
      </c>
      <c r="M162" s="4">
        <f>SUMPRODUCT((E162:G162+E163:G163)/2,$B$17:$D$17)*$B$6</f>
        <v/>
      </c>
      <c r="N162" s="4">
        <f>M162*J162</f>
        <v/>
      </c>
      <c r="O162" s="4">
        <f>SUMPRODUCT((E162:G162+E163:G163)/2,$B$18:$D$18)*$B$6</f>
        <v/>
      </c>
      <c r="P162" s="4">
        <f>O162*J162</f>
        <v/>
      </c>
      <c r="Q162" s="4">
        <f>SUMPRODUCT((E162:G162+E163:G163)/2,$B$19:$D$19)*$B$6</f>
        <v/>
      </c>
      <c r="R162" s="4">
        <f>Q162*J162</f>
        <v/>
      </c>
      <c r="S162" s="4">
        <f>IF(A162=0,SUMPRODUCT((E162:G162+E163:G163)/2,$B$20:$D$20)*$B$6,0)</f>
        <v/>
      </c>
      <c r="T162" s="4">
        <f>S162*J162</f>
        <v/>
      </c>
      <c r="U162" s="4">
        <f>N162+P162+R162+T162</f>
        <v/>
      </c>
      <c r="V162">
        <f>SUMPRODUCT((E162:G162+E163:G163)/2,$B$24:$D$24)*$B$6</f>
        <v/>
      </c>
      <c r="W162" s="5">
        <f>V162*K162</f>
        <v/>
      </c>
      <c r="X162">
        <f>SUMPRODUCT((E162:G162+E163:G163)/2,$B$25:$D$25)*$B$6</f>
        <v/>
      </c>
      <c r="Y162">
        <f>X162*K162</f>
        <v/>
      </c>
    </row>
    <row r="163">
      <c r="A163" t="n">
        <v>134</v>
      </c>
      <c r="B163">
        <f>A163*$B$6</f>
        <v/>
      </c>
      <c r="C163" s="5">
        <f>EXP(-$B$12*B163)</f>
        <v/>
      </c>
      <c r="D163" s="5">
        <f>EXP(-$B$13*B163)</f>
        <v/>
      </c>
      <c r="E163">
        <f>C163</f>
        <v/>
      </c>
      <c r="F163">
        <f>D163-C163</f>
        <v/>
      </c>
      <c r="G163">
        <f>1-D163</f>
        <v/>
      </c>
      <c r="H163">
        <f>SUM(E163:G163)</f>
        <v/>
      </c>
      <c r="I163">
        <f>IF(AND(MIN(C163:D163)&gt;=0,MAX(C163:D163)&lt;=1,MIN(E163:G163)&gt;=-1E-10,ABS(H163-1)&lt;1E-8,C163&lt;=C162+1E-10,D163&lt;=D162+1E-10),"OK","ERROR")</f>
        <v/>
      </c>
      <c r="J163">
        <f>1/(1+$B$4)^(B163+$B$6/2)</f>
        <v/>
      </c>
      <c r="K163">
        <f>1/(1+$B$5)^(B163+$B$6/2)</f>
        <v/>
      </c>
      <c r="L163" t="inlineStr">
        <is>
          <t>Average endpoints</t>
        </is>
      </c>
      <c r="M163" s="4">
        <f>SUMPRODUCT((E163:G163+E164:G164)/2,$B$17:$D$17)*$B$6</f>
        <v/>
      </c>
      <c r="N163" s="4">
        <f>M163*J163</f>
        <v/>
      </c>
      <c r="O163" s="4">
        <f>SUMPRODUCT((E163:G163+E164:G164)/2,$B$18:$D$18)*$B$6</f>
        <v/>
      </c>
      <c r="P163" s="4">
        <f>O163*J163</f>
        <v/>
      </c>
      <c r="Q163" s="4">
        <f>SUMPRODUCT((E163:G163+E164:G164)/2,$B$19:$D$19)*$B$6</f>
        <v/>
      </c>
      <c r="R163" s="4">
        <f>Q163*J163</f>
        <v/>
      </c>
      <c r="S163" s="4">
        <f>IF(A163=0,SUMPRODUCT((E163:G163+E164:G164)/2,$B$20:$D$20)*$B$6,0)</f>
        <v/>
      </c>
      <c r="T163" s="4">
        <f>S163*J163</f>
        <v/>
      </c>
      <c r="U163" s="4">
        <f>N163+P163+R163+T163</f>
        <v/>
      </c>
      <c r="V163">
        <f>SUMPRODUCT((E163:G163+E164:G164)/2,$B$24:$D$24)*$B$6</f>
        <v/>
      </c>
      <c r="W163" s="5">
        <f>V163*K163</f>
        <v/>
      </c>
      <c r="X163">
        <f>SUMPRODUCT((E163:G163+E164:G164)/2,$B$25:$D$25)*$B$6</f>
        <v/>
      </c>
      <c r="Y163">
        <f>X163*K163</f>
        <v/>
      </c>
    </row>
    <row r="164">
      <c r="A164" t="n">
        <v>135</v>
      </c>
      <c r="B164">
        <f>A164*$B$6</f>
        <v/>
      </c>
      <c r="C164" s="5">
        <f>EXP(-$B$12*B164)</f>
        <v/>
      </c>
      <c r="D164" s="5">
        <f>EXP(-$B$13*B164)</f>
        <v/>
      </c>
      <c r="E164">
        <f>C164</f>
        <v/>
      </c>
      <c r="F164">
        <f>D164-C164</f>
        <v/>
      </c>
      <c r="G164">
        <f>1-D164</f>
        <v/>
      </c>
      <c r="H164">
        <f>SUM(E164:G164)</f>
        <v/>
      </c>
      <c r="I164">
        <f>IF(AND(MIN(C164:D164)&gt;=0,MAX(C164:D164)&lt;=1,MIN(E164:G164)&gt;=-1E-10,ABS(H164-1)&lt;1E-8,C164&lt;=C163+1E-10,D164&lt;=D163+1E-10),"OK","ERROR")</f>
        <v/>
      </c>
      <c r="J164">
        <f>1/(1+$B$4)^(B164+$B$6/2)</f>
        <v/>
      </c>
      <c r="K164">
        <f>1/(1+$B$5)^(B164+$B$6/2)</f>
        <v/>
      </c>
      <c r="L164" t="inlineStr">
        <is>
          <t>Average endpoints</t>
        </is>
      </c>
      <c r="M164" s="4">
        <f>SUMPRODUCT((E164:G164+E165:G165)/2,$B$17:$D$17)*$B$6</f>
        <v/>
      </c>
      <c r="N164" s="4">
        <f>M164*J164</f>
        <v/>
      </c>
      <c r="O164" s="4">
        <f>SUMPRODUCT((E164:G164+E165:G165)/2,$B$18:$D$18)*$B$6</f>
        <v/>
      </c>
      <c r="P164" s="4">
        <f>O164*J164</f>
        <v/>
      </c>
      <c r="Q164" s="4">
        <f>SUMPRODUCT((E164:G164+E165:G165)/2,$B$19:$D$19)*$B$6</f>
        <v/>
      </c>
      <c r="R164" s="4">
        <f>Q164*J164</f>
        <v/>
      </c>
      <c r="S164" s="4">
        <f>IF(A164=0,SUMPRODUCT((E164:G164+E165:G165)/2,$B$20:$D$20)*$B$6,0)</f>
        <v/>
      </c>
      <c r="T164" s="4">
        <f>S164*J164</f>
        <v/>
      </c>
      <c r="U164" s="4">
        <f>N164+P164+R164+T164</f>
        <v/>
      </c>
      <c r="V164">
        <f>SUMPRODUCT((E164:G164+E165:G165)/2,$B$24:$D$24)*$B$6</f>
        <v/>
      </c>
      <c r="W164" s="5">
        <f>V164*K164</f>
        <v/>
      </c>
      <c r="X164">
        <f>SUMPRODUCT((E164:G164+E165:G165)/2,$B$25:$D$25)*$B$6</f>
        <v/>
      </c>
      <c r="Y164">
        <f>X164*K164</f>
        <v/>
      </c>
    </row>
    <row r="165">
      <c r="A165" t="n">
        <v>136</v>
      </c>
      <c r="B165">
        <f>A165*$B$6</f>
        <v/>
      </c>
      <c r="C165" s="5">
        <f>EXP(-$B$12*B165)</f>
        <v/>
      </c>
      <c r="D165" s="5">
        <f>EXP(-$B$13*B165)</f>
        <v/>
      </c>
      <c r="E165">
        <f>C165</f>
        <v/>
      </c>
      <c r="F165">
        <f>D165-C165</f>
        <v/>
      </c>
      <c r="G165">
        <f>1-D165</f>
        <v/>
      </c>
      <c r="H165">
        <f>SUM(E165:G165)</f>
        <v/>
      </c>
      <c r="I165">
        <f>IF(AND(MIN(C165:D165)&gt;=0,MAX(C165:D165)&lt;=1,MIN(E165:G165)&gt;=-1E-10,ABS(H165-1)&lt;1E-8,C165&lt;=C164+1E-10,D165&lt;=D164+1E-10),"OK","ERROR")</f>
        <v/>
      </c>
      <c r="J165">
        <f>1/(1+$B$4)^(B165+$B$6/2)</f>
        <v/>
      </c>
      <c r="K165">
        <f>1/(1+$B$5)^(B165+$B$6/2)</f>
        <v/>
      </c>
      <c r="L165" t="inlineStr">
        <is>
          <t>Average endpoints</t>
        </is>
      </c>
      <c r="M165" s="4">
        <f>SUMPRODUCT((E165:G165+E166:G166)/2,$B$17:$D$17)*$B$6</f>
        <v/>
      </c>
      <c r="N165" s="4">
        <f>M165*J165</f>
        <v/>
      </c>
      <c r="O165" s="4">
        <f>SUMPRODUCT((E165:G165+E166:G166)/2,$B$18:$D$18)*$B$6</f>
        <v/>
      </c>
      <c r="P165" s="4">
        <f>O165*J165</f>
        <v/>
      </c>
      <c r="Q165" s="4">
        <f>SUMPRODUCT((E165:G165+E166:G166)/2,$B$19:$D$19)*$B$6</f>
        <v/>
      </c>
      <c r="R165" s="4">
        <f>Q165*J165</f>
        <v/>
      </c>
      <c r="S165" s="4">
        <f>IF(A165=0,SUMPRODUCT((E165:G165+E166:G166)/2,$B$20:$D$20)*$B$6,0)</f>
        <v/>
      </c>
      <c r="T165" s="4">
        <f>S165*J165</f>
        <v/>
      </c>
      <c r="U165" s="4">
        <f>N165+P165+R165+T165</f>
        <v/>
      </c>
      <c r="V165">
        <f>SUMPRODUCT((E165:G165+E166:G166)/2,$B$24:$D$24)*$B$6</f>
        <v/>
      </c>
      <c r="W165" s="5">
        <f>V165*K165</f>
        <v/>
      </c>
      <c r="X165">
        <f>SUMPRODUCT((E165:G165+E166:G166)/2,$B$25:$D$25)*$B$6</f>
        <v/>
      </c>
      <c r="Y165">
        <f>X165*K165</f>
        <v/>
      </c>
    </row>
    <row r="166">
      <c r="A166" t="n">
        <v>137</v>
      </c>
      <c r="B166">
        <f>A166*$B$6</f>
        <v/>
      </c>
      <c r="C166" s="5">
        <f>EXP(-$B$12*B166)</f>
        <v/>
      </c>
      <c r="D166" s="5">
        <f>EXP(-$B$13*B166)</f>
        <v/>
      </c>
      <c r="E166">
        <f>C166</f>
        <v/>
      </c>
      <c r="F166">
        <f>D166-C166</f>
        <v/>
      </c>
      <c r="G166">
        <f>1-D166</f>
        <v/>
      </c>
      <c r="H166">
        <f>SUM(E166:G166)</f>
        <v/>
      </c>
      <c r="I166">
        <f>IF(AND(MIN(C166:D166)&gt;=0,MAX(C166:D166)&lt;=1,MIN(E166:G166)&gt;=-1E-10,ABS(H166-1)&lt;1E-8,C166&lt;=C165+1E-10,D166&lt;=D165+1E-10),"OK","ERROR")</f>
        <v/>
      </c>
      <c r="J166">
        <f>1/(1+$B$4)^(B166+$B$6/2)</f>
        <v/>
      </c>
      <c r="K166">
        <f>1/(1+$B$5)^(B166+$B$6/2)</f>
        <v/>
      </c>
      <c r="L166" t="inlineStr">
        <is>
          <t>Average endpoints</t>
        </is>
      </c>
      <c r="M166" s="4">
        <f>SUMPRODUCT((E166:G166+E167:G167)/2,$B$17:$D$17)*$B$6</f>
        <v/>
      </c>
      <c r="N166" s="4">
        <f>M166*J166</f>
        <v/>
      </c>
      <c r="O166" s="4">
        <f>SUMPRODUCT((E166:G166+E167:G167)/2,$B$18:$D$18)*$B$6</f>
        <v/>
      </c>
      <c r="P166" s="4">
        <f>O166*J166</f>
        <v/>
      </c>
      <c r="Q166" s="4">
        <f>SUMPRODUCT((E166:G166+E167:G167)/2,$B$19:$D$19)*$B$6</f>
        <v/>
      </c>
      <c r="R166" s="4">
        <f>Q166*J166</f>
        <v/>
      </c>
      <c r="S166" s="4">
        <f>IF(A166=0,SUMPRODUCT((E166:G166+E167:G167)/2,$B$20:$D$20)*$B$6,0)</f>
        <v/>
      </c>
      <c r="T166" s="4">
        <f>S166*J166</f>
        <v/>
      </c>
      <c r="U166" s="4">
        <f>N166+P166+R166+T166</f>
        <v/>
      </c>
      <c r="V166">
        <f>SUMPRODUCT((E166:G166+E167:G167)/2,$B$24:$D$24)*$B$6</f>
        <v/>
      </c>
      <c r="W166" s="5">
        <f>V166*K166</f>
        <v/>
      </c>
      <c r="X166">
        <f>SUMPRODUCT((E166:G166+E167:G167)/2,$B$25:$D$25)*$B$6</f>
        <v/>
      </c>
      <c r="Y166">
        <f>X166*K166</f>
        <v/>
      </c>
    </row>
    <row r="167">
      <c r="A167" t="n">
        <v>138</v>
      </c>
      <c r="B167">
        <f>A167*$B$6</f>
        <v/>
      </c>
      <c r="C167" s="5">
        <f>EXP(-$B$12*B167)</f>
        <v/>
      </c>
      <c r="D167" s="5">
        <f>EXP(-$B$13*B167)</f>
        <v/>
      </c>
      <c r="E167">
        <f>C167</f>
        <v/>
      </c>
      <c r="F167">
        <f>D167-C167</f>
        <v/>
      </c>
      <c r="G167">
        <f>1-D167</f>
        <v/>
      </c>
      <c r="H167">
        <f>SUM(E167:G167)</f>
        <v/>
      </c>
      <c r="I167">
        <f>IF(AND(MIN(C167:D167)&gt;=0,MAX(C167:D167)&lt;=1,MIN(E167:G167)&gt;=-1E-10,ABS(H167-1)&lt;1E-8,C167&lt;=C166+1E-10,D167&lt;=D166+1E-10),"OK","ERROR")</f>
        <v/>
      </c>
      <c r="J167">
        <f>1/(1+$B$4)^(B167+$B$6/2)</f>
        <v/>
      </c>
      <c r="K167">
        <f>1/(1+$B$5)^(B167+$B$6/2)</f>
        <v/>
      </c>
      <c r="L167" t="inlineStr">
        <is>
          <t>Average endpoints</t>
        </is>
      </c>
      <c r="M167" s="4">
        <f>SUMPRODUCT((E167:G167+E168:G168)/2,$B$17:$D$17)*$B$6</f>
        <v/>
      </c>
      <c r="N167" s="4">
        <f>M167*J167</f>
        <v/>
      </c>
      <c r="O167" s="4">
        <f>SUMPRODUCT((E167:G167+E168:G168)/2,$B$18:$D$18)*$B$6</f>
        <v/>
      </c>
      <c r="P167" s="4">
        <f>O167*J167</f>
        <v/>
      </c>
      <c r="Q167" s="4">
        <f>SUMPRODUCT((E167:G167+E168:G168)/2,$B$19:$D$19)*$B$6</f>
        <v/>
      </c>
      <c r="R167" s="4">
        <f>Q167*J167</f>
        <v/>
      </c>
      <c r="S167" s="4">
        <f>IF(A167=0,SUMPRODUCT((E167:G167+E168:G168)/2,$B$20:$D$20)*$B$6,0)</f>
        <v/>
      </c>
      <c r="T167" s="4">
        <f>S167*J167</f>
        <v/>
      </c>
      <c r="U167" s="4">
        <f>N167+P167+R167+T167</f>
        <v/>
      </c>
      <c r="V167">
        <f>SUMPRODUCT((E167:G167+E168:G168)/2,$B$24:$D$24)*$B$6</f>
        <v/>
      </c>
      <c r="W167" s="5">
        <f>V167*K167</f>
        <v/>
      </c>
      <c r="X167">
        <f>SUMPRODUCT((E167:G167+E168:G168)/2,$B$25:$D$25)*$B$6</f>
        <v/>
      </c>
      <c r="Y167">
        <f>X167*K167</f>
        <v/>
      </c>
    </row>
    <row r="168">
      <c r="A168" t="n">
        <v>139</v>
      </c>
      <c r="B168">
        <f>A168*$B$6</f>
        <v/>
      </c>
      <c r="C168" s="5">
        <f>EXP(-$B$12*B168)</f>
        <v/>
      </c>
      <c r="D168" s="5">
        <f>EXP(-$B$13*B168)</f>
        <v/>
      </c>
      <c r="E168">
        <f>C168</f>
        <v/>
      </c>
      <c r="F168">
        <f>D168-C168</f>
        <v/>
      </c>
      <c r="G168">
        <f>1-D168</f>
        <v/>
      </c>
      <c r="H168">
        <f>SUM(E168:G168)</f>
        <v/>
      </c>
      <c r="I168">
        <f>IF(AND(MIN(C168:D168)&gt;=0,MAX(C168:D168)&lt;=1,MIN(E168:G168)&gt;=-1E-10,ABS(H168-1)&lt;1E-8,C168&lt;=C167+1E-10,D168&lt;=D167+1E-10),"OK","ERROR")</f>
        <v/>
      </c>
      <c r="J168">
        <f>1/(1+$B$4)^(B168+$B$6/2)</f>
        <v/>
      </c>
      <c r="K168">
        <f>1/(1+$B$5)^(B168+$B$6/2)</f>
        <v/>
      </c>
      <c r="L168" t="inlineStr">
        <is>
          <t>Average endpoints</t>
        </is>
      </c>
      <c r="M168" s="4">
        <f>SUMPRODUCT((E168:G168+E169:G169)/2,$B$17:$D$17)*$B$6</f>
        <v/>
      </c>
      <c r="N168" s="4">
        <f>M168*J168</f>
        <v/>
      </c>
      <c r="O168" s="4">
        <f>SUMPRODUCT((E168:G168+E169:G169)/2,$B$18:$D$18)*$B$6</f>
        <v/>
      </c>
      <c r="P168" s="4">
        <f>O168*J168</f>
        <v/>
      </c>
      <c r="Q168" s="4">
        <f>SUMPRODUCT((E168:G168+E169:G169)/2,$B$19:$D$19)*$B$6</f>
        <v/>
      </c>
      <c r="R168" s="4">
        <f>Q168*J168</f>
        <v/>
      </c>
      <c r="S168" s="4">
        <f>IF(A168=0,SUMPRODUCT((E168:G168+E169:G169)/2,$B$20:$D$20)*$B$6,0)</f>
        <v/>
      </c>
      <c r="T168" s="4">
        <f>S168*J168</f>
        <v/>
      </c>
      <c r="U168" s="4">
        <f>N168+P168+R168+T168</f>
        <v/>
      </c>
      <c r="V168">
        <f>SUMPRODUCT((E168:G168+E169:G169)/2,$B$24:$D$24)*$B$6</f>
        <v/>
      </c>
      <c r="W168" s="5">
        <f>V168*K168</f>
        <v/>
      </c>
      <c r="X168">
        <f>SUMPRODUCT((E168:G168+E169:G169)/2,$B$25:$D$25)*$B$6</f>
        <v/>
      </c>
      <c r="Y168">
        <f>X168*K168</f>
        <v/>
      </c>
    </row>
    <row r="169">
      <c r="A169" t="n">
        <v>140</v>
      </c>
      <c r="B169">
        <f>A169*$B$6</f>
        <v/>
      </c>
      <c r="C169" s="5">
        <f>EXP(-$B$12*B169)</f>
        <v/>
      </c>
      <c r="D169" s="5">
        <f>EXP(-$B$13*B169)</f>
        <v/>
      </c>
      <c r="E169">
        <f>C169</f>
        <v/>
      </c>
      <c r="F169">
        <f>D169-C169</f>
        <v/>
      </c>
      <c r="G169">
        <f>1-D169</f>
        <v/>
      </c>
      <c r="H169">
        <f>SUM(E169:G169)</f>
        <v/>
      </c>
      <c r="I169">
        <f>IF(AND(MIN(C169:D169)&gt;=0,MAX(C169:D169)&lt;=1,MIN(E169:G169)&gt;=-1E-10,ABS(H169-1)&lt;1E-8,C169&lt;=C168+1E-10,D169&lt;=D168+1E-10),"OK","ERROR")</f>
        <v/>
      </c>
      <c r="J169">
        <f>1/(1+$B$4)^(B169+$B$6/2)</f>
        <v/>
      </c>
      <c r="K169">
        <f>1/(1+$B$5)^(B169+$B$6/2)</f>
        <v/>
      </c>
      <c r="L169" t="inlineStr">
        <is>
          <t>Average endpoints</t>
        </is>
      </c>
      <c r="M169" s="4">
        <f>SUMPRODUCT((E169:G169+E170:G170)/2,$B$17:$D$17)*$B$6</f>
        <v/>
      </c>
      <c r="N169" s="4">
        <f>M169*J169</f>
        <v/>
      </c>
      <c r="O169" s="4">
        <f>SUMPRODUCT((E169:G169+E170:G170)/2,$B$18:$D$18)*$B$6</f>
        <v/>
      </c>
      <c r="P169" s="4">
        <f>O169*J169</f>
        <v/>
      </c>
      <c r="Q169" s="4">
        <f>SUMPRODUCT((E169:G169+E170:G170)/2,$B$19:$D$19)*$B$6</f>
        <v/>
      </c>
      <c r="R169" s="4">
        <f>Q169*J169</f>
        <v/>
      </c>
      <c r="S169" s="4">
        <f>IF(A169=0,SUMPRODUCT((E169:G169+E170:G170)/2,$B$20:$D$20)*$B$6,0)</f>
        <v/>
      </c>
      <c r="T169" s="4">
        <f>S169*J169</f>
        <v/>
      </c>
      <c r="U169" s="4">
        <f>N169+P169+R169+T169</f>
        <v/>
      </c>
      <c r="V169">
        <f>SUMPRODUCT((E169:G169+E170:G170)/2,$B$24:$D$24)*$B$6</f>
        <v/>
      </c>
      <c r="W169" s="5">
        <f>V169*K169</f>
        <v/>
      </c>
      <c r="X169">
        <f>SUMPRODUCT((E169:G169+E170:G170)/2,$B$25:$D$25)*$B$6</f>
        <v/>
      </c>
      <c r="Y169">
        <f>X169*K169</f>
        <v/>
      </c>
    </row>
    <row r="170">
      <c r="A170" t="n">
        <v>141</v>
      </c>
      <c r="B170">
        <f>A170*$B$6</f>
        <v/>
      </c>
      <c r="C170" s="5">
        <f>EXP(-$B$12*B170)</f>
        <v/>
      </c>
      <c r="D170" s="5">
        <f>EXP(-$B$13*B170)</f>
        <v/>
      </c>
      <c r="E170">
        <f>C170</f>
        <v/>
      </c>
      <c r="F170">
        <f>D170-C170</f>
        <v/>
      </c>
      <c r="G170">
        <f>1-D170</f>
        <v/>
      </c>
      <c r="H170">
        <f>SUM(E170:G170)</f>
        <v/>
      </c>
      <c r="I170">
        <f>IF(AND(MIN(C170:D170)&gt;=0,MAX(C170:D170)&lt;=1,MIN(E170:G170)&gt;=-1E-10,ABS(H170-1)&lt;1E-8,C170&lt;=C169+1E-10,D170&lt;=D169+1E-10),"OK","ERROR")</f>
        <v/>
      </c>
      <c r="J170">
        <f>1/(1+$B$4)^(B170+$B$6/2)</f>
        <v/>
      </c>
      <c r="K170">
        <f>1/(1+$B$5)^(B170+$B$6/2)</f>
        <v/>
      </c>
      <c r="L170" t="inlineStr">
        <is>
          <t>Average endpoints</t>
        </is>
      </c>
      <c r="M170" s="4">
        <f>SUMPRODUCT((E170:G170+E171:G171)/2,$B$17:$D$17)*$B$6</f>
        <v/>
      </c>
      <c r="N170" s="4">
        <f>M170*J170</f>
        <v/>
      </c>
      <c r="O170" s="4">
        <f>SUMPRODUCT((E170:G170+E171:G171)/2,$B$18:$D$18)*$B$6</f>
        <v/>
      </c>
      <c r="P170" s="4">
        <f>O170*J170</f>
        <v/>
      </c>
      <c r="Q170" s="4">
        <f>SUMPRODUCT((E170:G170+E171:G171)/2,$B$19:$D$19)*$B$6</f>
        <v/>
      </c>
      <c r="R170" s="4">
        <f>Q170*J170</f>
        <v/>
      </c>
      <c r="S170" s="4">
        <f>IF(A170=0,SUMPRODUCT((E170:G170+E171:G171)/2,$B$20:$D$20)*$B$6,0)</f>
        <v/>
      </c>
      <c r="T170" s="4">
        <f>S170*J170</f>
        <v/>
      </c>
      <c r="U170" s="4">
        <f>N170+P170+R170+T170</f>
        <v/>
      </c>
      <c r="V170">
        <f>SUMPRODUCT((E170:G170+E171:G171)/2,$B$24:$D$24)*$B$6</f>
        <v/>
      </c>
      <c r="W170" s="5">
        <f>V170*K170</f>
        <v/>
      </c>
      <c r="X170">
        <f>SUMPRODUCT((E170:G170+E171:G171)/2,$B$25:$D$25)*$B$6</f>
        <v/>
      </c>
      <c r="Y170">
        <f>X170*K170</f>
        <v/>
      </c>
    </row>
    <row r="171">
      <c r="A171" t="n">
        <v>142</v>
      </c>
      <c r="B171">
        <f>A171*$B$6</f>
        <v/>
      </c>
      <c r="C171" s="5">
        <f>EXP(-$B$12*B171)</f>
        <v/>
      </c>
      <c r="D171" s="5">
        <f>EXP(-$B$13*B171)</f>
        <v/>
      </c>
      <c r="E171">
        <f>C171</f>
        <v/>
      </c>
      <c r="F171">
        <f>D171-C171</f>
        <v/>
      </c>
      <c r="G171">
        <f>1-D171</f>
        <v/>
      </c>
      <c r="H171">
        <f>SUM(E171:G171)</f>
        <v/>
      </c>
      <c r="I171">
        <f>IF(AND(MIN(C171:D171)&gt;=0,MAX(C171:D171)&lt;=1,MIN(E171:G171)&gt;=-1E-10,ABS(H171-1)&lt;1E-8,C171&lt;=C170+1E-10,D171&lt;=D170+1E-10),"OK","ERROR")</f>
        <v/>
      </c>
      <c r="J171">
        <f>1/(1+$B$4)^(B171+$B$6/2)</f>
        <v/>
      </c>
      <c r="K171">
        <f>1/(1+$B$5)^(B171+$B$6/2)</f>
        <v/>
      </c>
      <c r="L171" t="inlineStr">
        <is>
          <t>Average endpoints</t>
        </is>
      </c>
      <c r="M171" s="4">
        <f>SUMPRODUCT((E171:G171+E172:G172)/2,$B$17:$D$17)*$B$6</f>
        <v/>
      </c>
      <c r="N171" s="4">
        <f>M171*J171</f>
        <v/>
      </c>
      <c r="O171" s="4">
        <f>SUMPRODUCT((E171:G171+E172:G172)/2,$B$18:$D$18)*$B$6</f>
        <v/>
      </c>
      <c r="P171" s="4">
        <f>O171*J171</f>
        <v/>
      </c>
      <c r="Q171" s="4">
        <f>SUMPRODUCT((E171:G171+E172:G172)/2,$B$19:$D$19)*$B$6</f>
        <v/>
      </c>
      <c r="R171" s="4">
        <f>Q171*J171</f>
        <v/>
      </c>
      <c r="S171" s="4">
        <f>IF(A171=0,SUMPRODUCT((E171:G171+E172:G172)/2,$B$20:$D$20)*$B$6,0)</f>
        <v/>
      </c>
      <c r="T171" s="4">
        <f>S171*J171</f>
        <v/>
      </c>
      <c r="U171" s="4">
        <f>N171+P171+R171+T171</f>
        <v/>
      </c>
      <c r="V171">
        <f>SUMPRODUCT((E171:G171+E172:G172)/2,$B$24:$D$24)*$B$6</f>
        <v/>
      </c>
      <c r="W171" s="5">
        <f>V171*K171</f>
        <v/>
      </c>
      <c r="X171">
        <f>SUMPRODUCT((E171:G171+E172:G172)/2,$B$25:$D$25)*$B$6</f>
        <v/>
      </c>
      <c r="Y171">
        <f>X171*K171</f>
        <v/>
      </c>
    </row>
    <row r="172">
      <c r="A172" t="n">
        <v>143</v>
      </c>
      <c r="B172">
        <f>A172*$B$6</f>
        <v/>
      </c>
      <c r="C172" s="5">
        <f>EXP(-$B$12*B172)</f>
        <v/>
      </c>
      <c r="D172" s="5">
        <f>EXP(-$B$13*B172)</f>
        <v/>
      </c>
      <c r="E172">
        <f>C172</f>
        <v/>
      </c>
      <c r="F172">
        <f>D172-C172</f>
        <v/>
      </c>
      <c r="G172">
        <f>1-D172</f>
        <v/>
      </c>
      <c r="H172">
        <f>SUM(E172:G172)</f>
        <v/>
      </c>
      <c r="I172">
        <f>IF(AND(MIN(C172:D172)&gt;=0,MAX(C172:D172)&lt;=1,MIN(E172:G172)&gt;=-1E-10,ABS(H172-1)&lt;1E-8,C172&lt;=C171+1E-10,D172&lt;=D171+1E-10),"OK","ERROR")</f>
        <v/>
      </c>
      <c r="J172">
        <f>1/(1+$B$4)^(B172+$B$6/2)</f>
        <v/>
      </c>
      <c r="K172">
        <f>1/(1+$B$5)^(B172+$B$6/2)</f>
        <v/>
      </c>
      <c r="L172" t="inlineStr">
        <is>
          <t>Average endpoints</t>
        </is>
      </c>
      <c r="M172" s="4">
        <f>SUMPRODUCT((E172:G172+E173:G173)/2,$B$17:$D$17)*$B$6</f>
        <v/>
      </c>
      <c r="N172" s="4">
        <f>M172*J172</f>
        <v/>
      </c>
      <c r="O172" s="4">
        <f>SUMPRODUCT((E172:G172+E173:G173)/2,$B$18:$D$18)*$B$6</f>
        <v/>
      </c>
      <c r="P172" s="4">
        <f>O172*J172</f>
        <v/>
      </c>
      <c r="Q172" s="4">
        <f>SUMPRODUCT((E172:G172+E173:G173)/2,$B$19:$D$19)*$B$6</f>
        <v/>
      </c>
      <c r="R172" s="4">
        <f>Q172*J172</f>
        <v/>
      </c>
      <c r="S172" s="4">
        <f>IF(A172=0,SUMPRODUCT((E172:G172+E173:G173)/2,$B$20:$D$20)*$B$6,0)</f>
        <v/>
      </c>
      <c r="T172" s="4">
        <f>S172*J172</f>
        <v/>
      </c>
      <c r="U172" s="4">
        <f>N172+P172+R172+T172</f>
        <v/>
      </c>
      <c r="V172">
        <f>SUMPRODUCT((E172:G172+E173:G173)/2,$B$24:$D$24)*$B$6</f>
        <v/>
      </c>
      <c r="W172" s="5">
        <f>V172*K172</f>
        <v/>
      </c>
      <c r="X172">
        <f>SUMPRODUCT((E172:G172+E173:G173)/2,$B$25:$D$25)*$B$6</f>
        <v/>
      </c>
      <c r="Y172">
        <f>X172*K172</f>
        <v/>
      </c>
    </row>
    <row r="173">
      <c r="A173" t="n">
        <v>144</v>
      </c>
      <c r="B173">
        <f>A173*$B$6</f>
        <v/>
      </c>
      <c r="C173" s="5">
        <f>EXP(-$B$12*B173)</f>
        <v/>
      </c>
      <c r="D173" s="5">
        <f>EXP(-$B$13*B173)</f>
        <v/>
      </c>
      <c r="E173">
        <f>C173</f>
        <v/>
      </c>
      <c r="F173">
        <f>D173-C173</f>
        <v/>
      </c>
      <c r="G173">
        <f>1-D173</f>
        <v/>
      </c>
      <c r="H173">
        <f>SUM(E173:G173)</f>
        <v/>
      </c>
      <c r="I173">
        <f>IF(AND(MIN(C173:D173)&gt;=0,MAX(C173:D173)&lt;=1,MIN(E173:G173)&gt;=-1E-10,ABS(H173-1)&lt;1E-8,C173&lt;=C172+1E-10,D173&lt;=D172+1E-10),"OK","ERROR")</f>
        <v/>
      </c>
      <c r="J173">
        <f>1/(1+$B$4)^(B173+$B$6/2)</f>
        <v/>
      </c>
      <c r="K173">
        <f>1/(1+$B$5)^(B173+$B$6/2)</f>
        <v/>
      </c>
      <c r="L173" t="inlineStr">
        <is>
          <t>Average endpoints</t>
        </is>
      </c>
      <c r="M173" s="4">
        <f>SUMPRODUCT((E173:G173+E174:G174)/2,$B$17:$D$17)*$B$6</f>
        <v/>
      </c>
      <c r="N173" s="4">
        <f>M173*J173</f>
        <v/>
      </c>
      <c r="O173" s="4">
        <f>SUMPRODUCT((E173:G173+E174:G174)/2,$B$18:$D$18)*$B$6</f>
        <v/>
      </c>
      <c r="P173" s="4">
        <f>O173*J173</f>
        <v/>
      </c>
      <c r="Q173" s="4">
        <f>SUMPRODUCT((E173:G173+E174:G174)/2,$B$19:$D$19)*$B$6</f>
        <v/>
      </c>
      <c r="R173" s="4">
        <f>Q173*J173</f>
        <v/>
      </c>
      <c r="S173" s="4">
        <f>IF(A173=0,SUMPRODUCT((E173:G173+E174:G174)/2,$B$20:$D$20)*$B$6,0)</f>
        <v/>
      </c>
      <c r="T173" s="4">
        <f>S173*J173</f>
        <v/>
      </c>
      <c r="U173" s="4">
        <f>N173+P173+R173+T173</f>
        <v/>
      </c>
      <c r="V173">
        <f>SUMPRODUCT((E173:G173+E174:G174)/2,$B$24:$D$24)*$B$6</f>
        <v/>
      </c>
      <c r="W173" s="5">
        <f>V173*K173</f>
        <v/>
      </c>
      <c r="X173">
        <f>SUMPRODUCT((E173:G173+E174:G174)/2,$B$25:$D$25)*$B$6</f>
        <v/>
      </c>
      <c r="Y173">
        <f>X173*K173</f>
        <v/>
      </c>
    </row>
    <row r="174">
      <c r="A174" t="n">
        <v>145</v>
      </c>
      <c r="B174">
        <f>A174*$B$6</f>
        <v/>
      </c>
      <c r="C174" s="5">
        <f>EXP(-$B$12*B174)</f>
        <v/>
      </c>
      <c r="D174" s="5">
        <f>EXP(-$B$13*B174)</f>
        <v/>
      </c>
      <c r="E174">
        <f>C174</f>
        <v/>
      </c>
      <c r="F174">
        <f>D174-C174</f>
        <v/>
      </c>
      <c r="G174">
        <f>1-D174</f>
        <v/>
      </c>
      <c r="H174">
        <f>SUM(E174:G174)</f>
        <v/>
      </c>
      <c r="I174">
        <f>IF(AND(MIN(C174:D174)&gt;=0,MAX(C174:D174)&lt;=1,MIN(E174:G174)&gt;=-1E-10,ABS(H174-1)&lt;1E-8,C174&lt;=C173+1E-10,D174&lt;=D173+1E-10),"OK","ERROR")</f>
        <v/>
      </c>
      <c r="J174">
        <f>1/(1+$B$4)^(B174+$B$6/2)</f>
        <v/>
      </c>
      <c r="K174">
        <f>1/(1+$B$5)^(B174+$B$6/2)</f>
        <v/>
      </c>
      <c r="L174" t="inlineStr">
        <is>
          <t>Average endpoints</t>
        </is>
      </c>
      <c r="M174" s="4">
        <f>SUMPRODUCT((E174:G174+E175:G175)/2,$B$17:$D$17)*$B$6</f>
        <v/>
      </c>
      <c r="N174" s="4">
        <f>M174*J174</f>
        <v/>
      </c>
      <c r="O174" s="4">
        <f>SUMPRODUCT((E174:G174+E175:G175)/2,$B$18:$D$18)*$B$6</f>
        <v/>
      </c>
      <c r="P174" s="4">
        <f>O174*J174</f>
        <v/>
      </c>
      <c r="Q174" s="4">
        <f>SUMPRODUCT((E174:G174+E175:G175)/2,$B$19:$D$19)*$B$6</f>
        <v/>
      </c>
      <c r="R174" s="4">
        <f>Q174*J174</f>
        <v/>
      </c>
      <c r="S174" s="4">
        <f>IF(A174=0,SUMPRODUCT((E174:G174+E175:G175)/2,$B$20:$D$20)*$B$6,0)</f>
        <v/>
      </c>
      <c r="T174" s="4">
        <f>S174*J174</f>
        <v/>
      </c>
      <c r="U174" s="4">
        <f>N174+P174+R174+T174</f>
        <v/>
      </c>
      <c r="V174">
        <f>SUMPRODUCT((E174:G174+E175:G175)/2,$B$24:$D$24)*$B$6</f>
        <v/>
      </c>
      <c r="W174" s="5">
        <f>V174*K174</f>
        <v/>
      </c>
      <c r="X174">
        <f>SUMPRODUCT((E174:G174+E175:G175)/2,$B$25:$D$25)*$B$6</f>
        <v/>
      </c>
      <c r="Y174">
        <f>X174*K174</f>
        <v/>
      </c>
    </row>
    <row r="175">
      <c r="A175" t="n">
        <v>146</v>
      </c>
      <c r="B175">
        <f>A175*$B$6</f>
        <v/>
      </c>
      <c r="C175" s="5">
        <f>EXP(-$B$12*B175)</f>
        <v/>
      </c>
      <c r="D175" s="5">
        <f>EXP(-$B$13*B175)</f>
        <v/>
      </c>
      <c r="E175">
        <f>C175</f>
        <v/>
      </c>
      <c r="F175">
        <f>D175-C175</f>
        <v/>
      </c>
      <c r="G175">
        <f>1-D175</f>
        <v/>
      </c>
      <c r="H175">
        <f>SUM(E175:G175)</f>
        <v/>
      </c>
      <c r="I175">
        <f>IF(AND(MIN(C175:D175)&gt;=0,MAX(C175:D175)&lt;=1,MIN(E175:G175)&gt;=-1E-10,ABS(H175-1)&lt;1E-8,C175&lt;=C174+1E-10,D175&lt;=D174+1E-10),"OK","ERROR")</f>
        <v/>
      </c>
      <c r="J175">
        <f>1/(1+$B$4)^(B175+$B$6/2)</f>
        <v/>
      </c>
      <c r="K175">
        <f>1/(1+$B$5)^(B175+$B$6/2)</f>
        <v/>
      </c>
      <c r="L175" t="inlineStr">
        <is>
          <t>Average endpoints</t>
        </is>
      </c>
      <c r="M175" s="4">
        <f>SUMPRODUCT((E175:G175+E176:G176)/2,$B$17:$D$17)*$B$6</f>
        <v/>
      </c>
      <c r="N175" s="4">
        <f>M175*J175</f>
        <v/>
      </c>
      <c r="O175" s="4">
        <f>SUMPRODUCT((E175:G175+E176:G176)/2,$B$18:$D$18)*$B$6</f>
        <v/>
      </c>
      <c r="P175" s="4">
        <f>O175*J175</f>
        <v/>
      </c>
      <c r="Q175" s="4">
        <f>SUMPRODUCT((E175:G175+E176:G176)/2,$B$19:$D$19)*$B$6</f>
        <v/>
      </c>
      <c r="R175" s="4">
        <f>Q175*J175</f>
        <v/>
      </c>
      <c r="S175" s="4">
        <f>IF(A175=0,SUMPRODUCT((E175:G175+E176:G176)/2,$B$20:$D$20)*$B$6,0)</f>
        <v/>
      </c>
      <c r="T175" s="4">
        <f>S175*J175</f>
        <v/>
      </c>
      <c r="U175" s="4">
        <f>N175+P175+R175+T175</f>
        <v/>
      </c>
      <c r="V175">
        <f>SUMPRODUCT((E175:G175+E176:G176)/2,$B$24:$D$24)*$B$6</f>
        <v/>
      </c>
      <c r="W175" s="5">
        <f>V175*K175</f>
        <v/>
      </c>
      <c r="X175">
        <f>SUMPRODUCT((E175:G175+E176:G176)/2,$B$25:$D$25)*$B$6</f>
        <v/>
      </c>
      <c r="Y175">
        <f>X175*K175</f>
        <v/>
      </c>
    </row>
    <row r="176">
      <c r="A176" t="n">
        <v>147</v>
      </c>
      <c r="B176">
        <f>A176*$B$6</f>
        <v/>
      </c>
      <c r="C176" s="5">
        <f>EXP(-$B$12*B176)</f>
        <v/>
      </c>
      <c r="D176" s="5">
        <f>EXP(-$B$13*B176)</f>
        <v/>
      </c>
      <c r="E176">
        <f>C176</f>
        <v/>
      </c>
      <c r="F176">
        <f>D176-C176</f>
        <v/>
      </c>
      <c r="G176">
        <f>1-D176</f>
        <v/>
      </c>
      <c r="H176">
        <f>SUM(E176:G176)</f>
        <v/>
      </c>
      <c r="I176">
        <f>IF(AND(MIN(C176:D176)&gt;=0,MAX(C176:D176)&lt;=1,MIN(E176:G176)&gt;=-1E-10,ABS(H176-1)&lt;1E-8,C176&lt;=C175+1E-10,D176&lt;=D175+1E-10),"OK","ERROR")</f>
        <v/>
      </c>
      <c r="J176">
        <f>1/(1+$B$4)^(B176+$B$6/2)</f>
        <v/>
      </c>
      <c r="K176">
        <f>1/(1+$B$5)^(B176+$B$6/2)</f>
        <v/>
      </c>
      <c r="L176" t="inlineStr">
        <is>
          <t>Average endpoints</t>
        </is>
      </c>
      <c r="M176" s="4">
        <f>SUMPRODUCT((E176:G176+E177:G177)/2,$B$17:$D$17)*$B$6</f>
        <v/>
      </c>
      <c r="N176" s="4">
        <f>M176*J176</f>
        <v/>
      </c>
      <c r="O176" s="4">
        <f>SUMPRODUCT((E176:G176+E177:G177)/2,$B$18:$D$18)*$B$6</f>
        <v/>
      </c>
      <c r="P176" s="4">
        <f>O176*J176</f>
        <v/>
      </c>
      <c r="Q176" s="4">
        <f>SUMPRODUCT((E176:G176+E177:G177)/2,$B$19:$D$19)*$B$6</f>
        <v/>
      </c>
      <c r="R176" s="4">
        <f>Q176*J176</f>
        <v/>
      </c>
      <c r="S176" s="4">
        <f>IF(A176=0,SUMPRODUCT((E176:G176+E177:G177)/2,$B$20:$D$20)*$B$6,0)</f>
        <v/>
      </c>
      <c r="T176" s="4">
        <f>S176*J176</f>
        <v/>
      </c>
      <c r="U176" s="4">
        <f>N176+P176+R176+T176</f>
        <v/>
      </c>
      <c r="V176">
        <f>SUMPRODUCT((E176:G176+E177:G177)/2,$B$24:$D$24)*$B$6</f>
        <v/>
      </c>
      <c r="W176" s="5">
        <f>V176*K176</f>
        <v/>
      </c>
      <c r="X176">
        <f>SUMPRODUCT((E176:G176+E177:G177)/2,$B$25:$D$25)*$B$6</f>
        <v/>
      </c>
      <c r="Y176">
        <f>X176*K176</f>
        <v/>
      </c>
    </row>
    <row r="177">
      <c r="A177" t="n">
        <v>148</v>
      </c>
      <c r="B177">
        <f>A177*$B$6</f>
        <v/>
      </c>
      <c r="C177" s="5">
        <f>EXP(-$B$12*B177)</f>
        <v/>
      </c>
      <c r="D177" s="5">
        <f>EXP(-$B$13*B177)</f>
        <v/>
      </c>
      <c r="E177">
        <f>C177</f>
        <v/>
      </c>
      <c r="F177">
        <f>D177-C177</f>
        <v/>
      </c>
      <c r="G177">
        <f>1-D177</f>
        <v/>
      </c>
      <c r="H177">
        <f>SUM(E177:G177)</f>
        <v/>
      </c>
      <c r="I177">
        <f>IF(AND(MIN(C177:D177)&gt;=0,MAX(C177:D177)&lt;=1,MIN(E177:G177)&gt;=-1E-10,ABS(H177-1)&lt;1E-8,C177&lt;=C176+1E-10,D177&lt;=D176+1E-10),"OK","ERROR")</f>
        <v/>
      </c>
      <c r="J177">
        <f>1/(1+$B$4)^(B177+$B$6/2)</f>
        <v/>
      </c>
      <c r="K177">
        <f>1/(1+$B$5)^(B177+$B$6/2)</f>
        <v/>
      </c>
      <c r="L177" t="inlineStr">
        <is>
          <t>Average endpoints</t>
        </is>
      </c>
      <c r="M177" s="4">
        <f>SUMPRODUCT((E177:G177+E178:G178)/2,$B$17:$D$17)*$B$6</f>
        <v/>
      </c>
      <c r="N177" s="4">
        <f>M177*J177</f>
        <v/>
      </c>
      <c r="O177" s="4">
        <f>SUMPRODUCT((E177:G177+E178:G178)/2,$B$18:$D$18)*$B$6</f>
        <v/>
      </c>
      <c r="P177" s="4">
        <f>O177*J177</f>
        <v/>
      </c>
      <c r="Q177" s="4">
        <f>SUMPRODUCT((E177:G177+E178:G178)/2,$B$19:$D$19)*$B$6</f>
        <v/>
      </c>
      <c r="R177" s="4">
        <f>Q177*J177</f>
        <v/>
      </c>
      <c r="S177" s="4">
        <f>IF(A177=0,SUMPRODUCT((E177:G177+E178:G178)/2,$B$20:$D$20)*$B$6,0)</f>
        <v/>
      </c>
      <c r="T177" s="4">
        <f>S177*J177</f>
        <v/>
      </c>
      <c r="U177" s="4">
        <f>N177+P177+R177+T177</f>
        <v/>
      </c>
      <c r="V177">
        <f>SUMPRODUCT((E177:G177+E178:G178)/2,$B$24:$D$24)*$B$6</f>
        <v/>
      </c>
      <c r="W177" s="5">
        <f>V177*K177</f>
        <v/>
      </c>
      <c r="X177">
        <f>SUMPRODUCT((E177:G177+E178:G178)/2,$B$25:$D$25)*$B$6</f>
        <v/>
      </c>
      <c r="Y177">
        <f>X177*K177</f>
        <v/>
      </c>
    </row>
    <row r="178">
      <c r="A178" t="n">
        <v>149</v>
      </c>
      <c r="B178">
        <f>A178*$B$6</f>
        <v/>
      </c>
      <c r="C178" s="5">
        <f>EXP(-$B$12*B178)</f>
        <v/>
      </c>
      <c r="D178" s="5">
        <f>EXP(-$B$13*B178)</f>
        <v/>
      </c>
      <c r="E178">
        <f>C178</f>
        <v/>
      </c>
      <c r="F178">
        <f>D178-C178</f>
        <v/>
      </c>
      <c r="G178">
        <f>1-D178</f>
        <v/>
      </c>
      <c r="H178">
        <f>SUM(E178:G178)</f>
        <v/>
      </c>
      <c r="I178">
        <f>IF(AND(MIN(C178:D178)&gt;=0,MAX(C178:D178)&lt;=1,MIN(E178:G178)&gt;=-1E-10,ABS(H178-1)&lt;1E-8,C178&lt;=C177+1E-10,D178&lt;=D177+1E-10),"OK","ERROR")</f>
        <v/>
      </c>
      <c r="J178">
        <f>1/(1+$B$4)^(B178+$B$6/2)</f>
        <v/>
      </c>
      <c r="K178">
        <f>1/(1+$B$5)^(B178+$B$6/2)</f>
        <v/>
      </c>
      <c r="L178" t="inlineStr">
        <is>
          <t>Average endpoints</t>
        </is>
      </c>
      <c r="M178" s="4">
        <f>SUMPRODUCT((E178:G178+E179:G179)/2,$B$17:$D$17)*$B$6</f>
        <v/>
      </c>
      <c r="N178" s="4">
        <f>M178*J178</f>
        <v/>
      </c>
      <c r="O178" s="4">
        <f>SUMPRODUCT((E178:G178+E179:G179)/2,$B$18:$D$18)*$B$6</f>
        <v/>
      </c>
      <c r="P178" s="4">
        <f>O178*J178</f>
        <v/>
      </c>
      <c r="Q178" s="4">
        <f>SUMPRODUCT((E178:G178+E179:G179)/2,$B$19:$D$19)*$B$6</f>
        <v/>
      </c>
      <c r="R178" s="4">
        <f>Q178*J178</f>
        <v/>
      </c>
      <c r="S178" s="4">
        <f>IF(A178=0,SUMPRODUCT((E178:G178+E179:G179)/2,$B$20:$D$20)*$B$6,0)</f>
        <v/>
      </c>
      <c r="T178" s="4">
        <f>S178*J178</f>
        <v/>
      </c>
      <c r="U178" s="4">
        <f>N178+P178+R178+T178</f>
        <v/>
      </c>
      <c r="V178">
        <f>SUMPRODUCT((E178:G178+E179:G179)/2,$B$24:$D$24)*$B$6</f>
        <v/>
      </c>
      <c r="W178" s="5">
        <f>V178*K178</f>
        <v/>
      </c>
      <c r="X178">
        <f>SUMPRODUCT((E178:G178+E179:G179)/2,$B$25:$D$25)*$B$6</f>
        <v/>
      </c>
      <c r="Y178">
        <f>X178*K178</f>
        <v/>
      </c>
    </row>
    <row r="179">
      <c r="A179" t="n">
        <v>150</v>
      </c>
      <c r="B179">
        <f>A179*$B$6</f>
        <v/>
      </c>
      <c r="C179" s="5">
        <f>EXP(-$B$12*B179)</f>
        <v/>
      </c>
      <c r="D179" s="5">
        <f>EXP(-$B$13*B179)</f>
        <v/>
      </c>
      <c r="E179">
        <f>C179</f>
        <v/>
      </c>
      <c r="F179">
        <f>D179-C179</f>
        <v/>
      </c>
      <c r="G179">
        <f>1-D179</f>
        <v/>
      </c>
      <c r="H179">
        <f>SUM(E179:G179)</f>
        <v/>
      </c>
      <c r="I179">
        <f>IF(AND(MIN(C179:D179)&gt;=0,MAX(C179:D179)&lt;=1,MIN(E179:G179)&gt;=-1E-10,ABS(H179-1)&lt;1E-8,C179&lt;=C178+1E-10,D179&lt;=D178+1E-10),"OK","ERROR")</f>
        <v/>
      </c>
      <c r="J179">
        <f>1/(1+$B$4)^(B179+$B$6/2)</f>
        <v/>
      </c>
      <c r="K179">
        <f>1/(1+$B$5)^(B179+$B$6/2)</f>
        <v/>
      </c>
      <c r="L179" t="inlineStr">
        <is>
          <t>Average endpoints</t>
        </is>
      </c>
      <c r="M179" s="4">
        <f>SUMPRODUCT((E179:G179+E180:G180)/2,$B$17:$D$17)*$B$6</f>
        <v/>
      </c>
      <c r="N179" s="4">
        <f>M179*J179</f>
        <v/>
      </c>
      <c r="O179" s="4">
        <f>SUMPRODUCT((E179:G179+E180:G180)/2,$B$18:$D$18)*$B$6</f>
        <v/>
      </c>
      <c r="P179" s="4">
        <f>O179*J179</f>
        <v/>
      </c>
      <c r="Q179" s="4">
        <f>SUMPRODUCT((E179:G179+E180:G180)/2,$B$19:$D$19)*$B$6</f>
        <v/>
      </c>
      <c r="R179" s="4">
        <f>Q179*J179</f>
        <v/>
      </c>
      <c r="S179" s="4">
        <f>IF(A179=0,SUMPRODUCT((E179:G179+E180:G180)/2,$B$20:$D$20)*$B$6,0)</f>
        <v/>
      </c>
      <c r="T179" s="4">
        <f>S179*J179</f>
        <v/>
      </c>
      <c r="U179" s="4">
        <f>N179+P179+R179+T179</f>
        <v/>
      </c>
      <c r="V179">
        <f>SUMPRODUCT((E179:G179+E180:G180)/2,$B$24:$D$24)*$B$6</f>
        <v/>
      </c>
      <c r="W179" s="5">
        <f>V179*K179</f>
        <v/>
      </c>
      <c r="X179">
        <f>SUMPRODUCT((E179:G179+E180:G180)/2,$B$25:$D$25)*$B$6</f>
        <v/>
      </c>
      <c r="Y179">
        <f>X179*K179</f>
        <v/>
      </c>
    </row>
    <row r="180">
      <c r="A180" t="n">
        <v>151</v>
      </c>
      <c r="B180">
        <f>A180*$B$6</f>
        <v/>
      </c>
      <c r="C180" s="5">
        <f>EXP(-$B$12*B180)</f>
        <v/>
      </c>
      <c r="D180" s="5">
        <f>EXP(-$B$13*B180)</f>
        <v/>
      </c>
      <c r="E180">
        <f>C180</f>
        <v/>
      </c>
      <c r="F180">
        <f>D180-C180</f>
        <v/>
      </c>
      <c r="G180">
        <f>1-D180</f>
        <v/>
      </c>
      <c r="H180">
        <f>SUM(E180:G180)</f>
        <v/>
      </c>
      <c r="I180">
        <f>IF(AND(MIN(C180:D180)&gt;=0,MAX(C180:D180)&lt;=1,MIN(E180:G180)&gt;=-1E-10,ABS(H180-1)&lt;1E-8,C180&lt;=C179+1E-10,D180&lt;=D179+1E-10),"OK","ERROR")</f>
        <v/>
      </c>
      <c r="J180">
        <f>1/(1+$B$4)^(B180+$B$6/2)</f>
        <v/>
      </c>
      <c r="K180">
        <f>1/(1+$B$5)^(B180+$B$6/2)</f>
        <v/>
      </c>
      <c r="L180" t="inlineStr">
        <is>
          <t>Average endpoints</t>
        </is>
      </c>
      <c r="M180" s="4">
        <f>SUMPRODUCT((E180:G180+E181:G181)/2,$B$17:$D$17)*$B$6</f>
        <v/>
      </c>
      <c r="N180" s="4">
        <f>M180*J180</f>
        <v/>
      </c>
      <c r="O180" s="4">
        <f>SUMPRODUCT((E180:G180+E181:G181)/2,$B$18:$D$18)*$B$6</f>
        <v/>
      </c>
      <c r="P180" s="4">
        <f>O180*J180</f>
        <v/>
      </c>
      <c r="Q180" s="4">
        <f>SUMPRODUCT((E180:G180+E181:G181)/2,$B$19:$D$19)*$B$6</f>
        <v/>
      </c>
      <c r="R180" s="4">
        <f>Q180*J180</f>
        <v/>
      </c>
      <c r="S180" s="4">
        <f>IF(A180=0,SUMPRODUCT((E180:G180+E181:G181)/2,$B$20:$D$20)*$B$6,0)</f>
        <v/>
      </c>
      <c r="T180" s="4">
        <f>S180*J180</f>
        <v/>
      </c>
      <c r="U180" s="4">
        <f>N180+P180+R180+T180</f>
        <v/>
      </c>
      <c r="V180">
        <f>SUMPRODUCT((E180:G180+E181:G181)/2,$B$24:$D$24)*$B$6</f>
        <v/>
      </c>
      <c r="W180" s="5">
        <f>V180*K180</f>
        <v/>
      </c>
      <c r="X180">
        <f>SUMPRODUCT((E180:G180+E181:G181)/2,$B$25:$D$25)*$B$6</f>
        <v/>
      </c>
      <c r="Y180">
        <f>X180*K180</f>
        <v/>
      </c>
    </row>
    <row r="181">
      <c r="A181" t="n">
        <v>152</v>
      </c>
      <c r="B181">
        <f>A181*$B$6</f>
        <v/>
      </c>
      <c r="C181" s="5">
        <f>EXP(-$B$12*B181)</f>
        <v/>
      </c>
      <c r="D181" s="5">
        <f>EXP(-$B$13*B181)</f>
        <v/>
      </c>
      <c r="E181">
        <f>C181</f>
        <v/>
      </c>
      <c r="F181">
        <f>D181-C181</f>
        <v/>
      </c>
      <c r="G181">
        <f>1-D181</f>
        <v/>
      </c>
      <c r="H181">
        <f>SUM(E181:G181)</f>
        <v/>
      </c>
      <c r="I181">
        <f>IF(AND(MIN(C181:D181)&gt;=0,MAX(C181:D181)&lt;=1,MIN(E181:G181)&gt;=-1E-10,ABS(H181-1)&lt;1E-8,C181&lt;=C180+1E-10,D181&lt;=D180+1E-10),"OK","ERROR")</f>
        <v/>
      </c>
      <c r="J181">
        <f>1/(1+$B$4)^(B181+$B$6/2)</f>
        <v/>
      </c>
      <c r="K181">
        <f>1/(1+$B$5)^(B181+$B$6/2)</f>
        <v/>
      </c>
      <c r="L181" t="inlineStr">
        <is>
          <t>Average endpoints</t>
        </is>
      </c>
      <c r="M181" s="4">
        <f>SUMPRODUCT((E181:G181+E182:G182)/2,$B$17:$D$17)*$B$6</f>
        <v/>
      </c>
      <c r="N181" s="4">
        <f>M181*J181</f>
        <v/>
      </c>
      <c r="O181" s="4">
        <f>SUMPRODUCT((E181:G181+E182:G182)/2,$B$18:$D$18)*$B$6</f>
        <v/>
      </c>
      <c r="P181" s="4">
        <f>O181*J181</f>
        <v/>
      </c>
      <c r="Q181" s="4">
        <f>SUMPRODUCT((E181:G181+E182:G182)/2,$B$19:$D$19)*$B$6</f>
        <v/>
      </c>
      <c r="R181" s="4">
        <f>Q181*J181</f>
        <v/>
      </c>
      <c r="S181" s="4">
        <f>IF(A181=0,SUMPRODUCT((E181:G181+E182:G182)/2,$B$20:$D$20)*$B$6,0)</f>
        <v/>
      </c>
      <c r="T181" s="4">
        <f>S181*J181</f>
        <v/>
      </c>
      <c r="U181" s="4">
        <f>N181+P181+R181+T181</f>
        <v/>
      </c>
      <c r="V181">
        <f>SUMPRODUCT((E181:G181+E182:G182)/2,$B$24:$D$24)*$B$6</f>
        <v/>
      </c>
      <c r="W181" s="5">
        <f>V181*K181</f>
        <v/>
      </c>
      <c r="X181">
        <f>SUMPRODUCT((E181:G181+E182:G182)/2,$B$25:$D$25)*$B$6</f>
        <v/>
      </c>
      <c r="Y181">
        <f>X181*K181</f>
        <v/>
      </c>
    </row>
    <row r="182">
      <c r="A182" t="n">
        <v>153</v>
      </c>
      <c r="B182">
        <f>A182*$B$6</f>
        <v/>
      </c>
      <c r="C182" s="5">
        <f>EXP(-$B$12*B182)</f>
        <v/>
      </c>
      <c r="D182" s="5">
        <f>EXP(-$B$13*B182)</f>
        <v/>
      </c>
      <c r="E182">
        <f>C182</f>
        <v/>
      </c>
      <c r="F182">
        <f>D182-C182</f>
        <v/>
      </c>
      <c r="G182">
        <f>1-D182</f>
        <v/>
      </c>
      <c r="H182">
        <f>SUM(E182:G182)</f>
        <v/>
      </c>
      <c r="I182">
        <f>IF(AND(MIN(C182:D182)&gt;=0,MAX(C182:D182)&lt;=1,MIN(E182:G182)&gt;=-1E-10,ABS(H182-1)&lt;1E-8,C182&lt;=C181+1E-10,D182&lt;=D181+1E-10),"OK","ERROR")</f>
        <v/>
      </c>
      <c r="J182">
        <f>1/(1+$B$4)^(B182+$B$6/2)</f>
        <v/>
      </c>
      <c r="K182">
        <f>1/(1+$B$5)^(B182+$B$6/2)</f>
        <v/>
      </c>
      <c r="L182" t="inlineStr">
        <is>
          <t>Average endpoints</t>
        </is>
      </c>
      <c r="M182" s="4">
        <f>SUMPRODUCT((E182:G182+E183:G183)/2,$B$17:$D$17)*$B$6</f>
        <v/>
      </c>
      <c r="N182" s="4">
        <f>M182*J182</f>
        <v/>
      </c>
      <c r="O182" s="4">
        <f>SUMPRODUCT((E182:G182+E183:G183)/2,$B$18:$D$18)*$B$6</f>
        <v/>
      </c>
      <c r="P182" s="4">
        <f>O182*J182</f>
        <v/>
      </c>
      <c r="Q182" s="4">
        <f>SUMPRODUCT((E182:G182+E183:G183)/2,$B$19:$D$19)*$B$6</f>
        <v/>
      </c>
      <c r="R182" s="4">
        <f>Q182*J182</f>
        <v/>
      </c>
      <c r="S182" s="4">
        <f>IF(A182=0,SUMPRODUCT((E182:G182+E183:G183)/2,$B$20:$D$20)*$B$6,0)</f>
        <v/>
      </c>
      <c r="T182" s="4">
        <f>S182*J182</f>
        <v/>
      </c>
      <c r="U182" s="4">
        <f>N182+P182+R182+T182</f>
        <v/>
      </c>
      <c r="V182">
        <f>SUMPRODUCT((E182:G182+E183:G183)/2,$B$24:$D$24)*$B$6</f>
        <v/>
      </c>
      <c r="W182" s="5">
        <f>V182*K182</f>
        <v/>
      </c>
      <c r="X182">
        <f>SUMPRODUCT((E182:G182+E183:G183)/2,$B$25:$D$25)*$B$6</f>
        <v/>
      </c>
      <c r="Y182">
        <f>X182*K182</f>
        <v/>
      </c>
    </row>
    <row r="183">
      <c r="A183" t="n">
        <v>154</v>
      </c>
      <c r="B183">
        <f>A183*$B$6</f>
        <v/>
      </c>
      <c r="C183" s="5">
        <f>EXP(-$B$12*B183)</f>
        <v/>
      </c>
      <c r="D183" s="5">
        <f>EXP(-$B$13*B183)</f>
        <v/>
      </c>
      <c r="E183">
        <f>C183</f>
        <v/>
      </c>
      <c r="F183">
        <f>D183-C183</f>
        <v/>
      </c>
      <c r="G183">
        <f>1-D183</f>
        <v/>
      </c>
      <c r="H183">
        <f>SUM(E183:G183)</f>
        <v/>
      </c>
      <c r="I183">
        <f>IF(AND(MIN(C183:D183)&gt;=0,MAX(C183:D183)&lt;=1,MIN(E183:G183)&gt;=-1E-10,ABS(H183-1)&lt;1E-8,C183&lt;=C182+1E-10,D183&lt;=D182+1E-10),"OK","ERROR")</f>
        <v/>
      </c>
      <c r="J183">
        <f>1/(1+$B$4)^(B183+$B$6/2)</f>
        <v/>
      </c>
      <c r="K183">
        <f>1/(1+$B$5)^(B183+$B$6/2)</f>
        <v/>
      </c>
      <c r="L183" t="inlineStr">
        <is>
          <t>Average endpoints</t>
        </is>
      </c>
      <c r="M183" s="4">
        <f>SUMPRODUCT((E183:G183+E184:G184)/2,$B$17:$D$17)*$B$6</f>
        <v/>
      </c>
      <c r="N183" s="4">
        <f>M183*J183</f>
        <v/>
      </c>
      <c r="O183" s="4">
        <f>SUMPRODUCT((E183:G183+E184:G184)/2,$B$18:$D$18)*$B$6</f>
        <v/>
      </c>
      <c r="P183" s="4">
        <f>O183*J183</f>
        <v/>
      </c>
      <c r="Q183" s="4">
        <f>SUMPRODUCT((E183:G183+E184:G184)/2,$B$19:$D$19)*$B$6</f>
        <v/>
      </c>
      <c r="R183" s="4">
        <f>Q183*J183</f>
        <v/>
      </c>
      <c r="S183" s="4">
        <f>IF(A183=0,SUMPRODUCT((E183:G183+E184:G184)/2,$B$20:$D$20)*$B$6,0)</f>
        <v/>
      </c>
      <c r="T183" s="4">
        <f>S183*J183</f>
        <v/>
      </c>
      <c r="U183" s="4">
        <f>N183+P183+R183+T183</f>
        <v/>
      </c>
      <c r="V183">
        <f>SUMPRODUCT((E183:G183+E184:G184)/2,$B$24:$D$24)*$B$6</f>
        <v/>
      </c>
      <c r="W183" s="5">
        <f>V183*K183</f>
        <v/>
      </c>
      <c r="X183">
        <f>SUMPRODUCT((E183:G183+E184:G184)/2,$B$25:$D$25)*$B$6</f>
        <v/>
      </c>
      <c r="Y183">
        <f>X183*K183</f>
        <v/>
      </c>
    </row>
    <row r="184">
      <c r="A184" t="n">
        <v>155</v>
      </c>
      <c r="B184">
        <f>A184*$B$6</f>
        <v/>
      </c>
      <c r="C184" s="5">
        <f>EXP(-$B$12*B184)</f>
        <v/>
      </c>
      <c r="D184" s="5">
        <f>EXP(-$B$13*B184)</f>
        <v/>
      </c>
      <c r="E184">
        <f>C184</f>
        <v/>
      </c>
      <c r="F184">
        <f>D184-C184</f>
        <v/>
      </c>
      <c r="G184">
        <f>1-D184</f>
        <v/>
      </c>
      <c r="H184">
        <f>SUM(E184:G184)</f>
        <v/>
      </c>
      <c r="I184">
        <f>IF(AND(MIN(C184:D184)&gt;=0,MAX(C184:D184)&lt;=1,MIN(E184:G184)&gt;=-1E-10,ABS(H184-1)&lt;1E-8,C184&lt;=C183+1E-10,D184&lt;=D183+1E-10),"OK","ERROR")</f>
        <v/>
      </c>
      <c r="J184">
        <f>1/(1+$B$4)^(B184+$B$6/2)</f>
        <v/>
      </c>
      <c r="K184">
        <f>1/(1+$B$5)^(B184+$B$6/2)</f>
        <v/>
      </c>
      <c r="L184" t="inlineStr">
        <is>
          <t>Average endpoints</t>
        </is>
      </c>
      <c r="M184" s="4">
        <f>SUMPRODUCT((E184:G184+E185:G185)/2,$B$17:$D$17)*$B$6</f>
        <v/>
      </c>
      <c r="N184" s="4">
        <f>M184*J184</f>
        <v/>
      </c>
      <c r="O184" s="4">
        <f>SUMPRODUCT((E184:G184+E185:G185)/2,$B$18:$D$18)*$B$6</f>
        <v/>
      </c>
      <c r="P184" s="4">
        <f>O184*J184</f>
        <v/>
      </c>
      <c r="Q184" s="4">
        <f>SUMPRODUCT((E184:G184+E185:G185)/2,$B$19:$D$19)*$B$6</f>
        <v/>
      </c>
      <c r="R184" s="4">
        <f>Q184*J184</f>
        <v/>
      </c>
      <c r="S184" s="4">
        <f>IF(A184=0,SUMPRODUCT((E184:G184+E185:G185)/2,$B$20:$D$20)*$B$6,0)</f>
        <v/>
      </c>
      <c r="T184" s="4">
        <f>S184*J184</f>
        <v/>
      </c>
      <c r="U184" s="4">
        <f>N184+P184+R184+T184</f>
        <v/>
      </c>
      <c r="V184">
        <f>SUMPRODUCT((E184:G184+E185:G185)/2,$B$24:$D$24)*$B$6</f>
        <v/>
      </c>
      <c r="W184" s="5">
        <f>V184*K184</f>
        <v/>
      </c>
      <c r="X184">
        <f>SUMPRODUCT((E184:G184+E185:G185)/2,$B$25:$D$25)*$B$6</f>
        <v/>
      </c>
      <c r="Y184">
        <f>X184*K184</f>
        <v/>
      </c>
    </row>
    <row r="185">
      <c r="A185" t="n">
        <v>156</v>
      </c>
      <c r="B185">
        <f>A185*$B$6</f>
        <v/>
      </c>
      <c r="C185" s="5">
        <f>EXP(-$B$12*B185)</f>
        <v/>
      </c>
      <c r="D185" s="5">
        <f>EXP(-$B$13*B185)</f>
        <v/>
      </c>
      <c r="E185">
        <f>C185</f>
        <v/>
      </c>
      <c r="F185">
        <f>D185-C185</f>
        <v/>
      </c>
      <c r="G185">
        <f>1-D185</f>
        <v/>
      </c>
      <c r="H185">
        <f>SUM(E185:G185)</f>
        <v/>
      </c>
      <c r="I185">
        <f>IF(AND(MIN(C185:D185)&gt;=0,MAX(C185:D185)&lt;=1,MIN(E185:G185)&gt;=-1E-10,ABS(H185-1)&lt;1E-8,C185&lt;=C184+1E-10,D185&lt;=D184+1E-10),"OK","ERROR")</f>
        <v/>
      </c>
      <c r="J185">
        <f>1/(1+$B$4)^(B185+$B$6/2)</f>
        <v/>
      </c>
      <c r="K185">
        <f>1/(1+$B$5)^(B185+$B$6/2)</f>
        <v/>
      </c>
      <c r="L185" t="inlineStr">
        <is>
          <t>Average endpoints</t>
        </is>
      </c>
      <c r="M185" s="4">
        <f>SUMPRODUCT((E185:G185+E186:G186)/2,$B$17:$D$17)*$B$6</f>
        <v/>
      </c>
      <c r="N185" s="4">
        <f>M185*J185</f>
        <v/>
      </c>
      <c r="O185" s="4">
        <f>SUMPRODUCT((E185:G185+E186:G186)/2,$B$18:$D$18)*$B$6</f>
        <v/>
      </c>
      <c r="P185" s="4">
        <f>O185*J185</f>
        <v/>
      </c>
      <c r="Q185" s="4">
        <f>SUMPRODUCT((E185:G185+E186:G186)/2,$B$19:$D$19)*$B$6</f>
        <v/>
      </c>
      <c r="R185" s="4">
        <f>Q185*J185</f>
        <v/>
      </c>
      <c r="S185" s="4">
        <f>IF(A185=0,SUMPRODUCT((E185:G185+E186:G186)/2,$B$20:$D$20)*$B$6,0)</f>
        <v/>
      </c>
      <c r="T185" s="4">
        <f>S185*J185</f>
        <v/>
      </c>
      <c r="U185" s="4">
        <f>N185+P185+R185+T185</f>
        <v/>
      </c>
      <c r="V185">
        <f>SUMPRODUCT((E185:G185+E186:G186)/2,$B$24:$D$24)*$B$6</f>
        <v/>
      </c>
      <c r="W185" s="5">
        <f>V185*K185</f>
        <v/>
      </c>
      <c r="X185">
        <f>SUMPRODUCT((E185:G185+E186:G186)/2,$B$25:$D$25)*$B$6</f>
        <v/>
      </c>
      <c r="Y185">
        <f>X185*K185</f>
        <v/>
      </c>
    </row>
    <row r="186">
      <c r="A186" t="n">
        <v>157</v>
      </c>
      <c r="B186">
        <f>A186*$B$6</f>
        <v/>
      </c>
      <c r="C186" s="5">
        <f>EXP(-$B$12*B186)</f>
        <v/>
      </c>
      <c r="D186" s="5">
        <f>EXP(-$B$13*B186)</f>
        <v/>
      </c>
      <c r="E186">
        <f>C186</f>
        <v/>
      </c>
      <c r="F186">
        <f>D186-C186</f>
        <v/>
      </c>
      <c r="G186">
        <f>1-D186</f>
        <v/>
      </c>
      <c r="H186">
        <f>SUM(E186:G186)</f>
        <v/>
      </c>
      <c r="I186">
        <f>IF(AND(MIN(C186:D186)&gt;=0,MAX(C186:D186)&lt;=1,MIN(E186:G186)&gt;=-1E-10,ABS(H186-1)&lt;1E-8,C186&lt;=C185+1E-10,D186&lt;=D185+1E-10),"OK","ERROR")</f>
        <v/>
      </c>
      <c r="J186">
        <f>1/(1+$B$4)^(B186+$B$6/2)</f>
        <v/>
      </c>
      <c r="K186">
        <f>1/(1+$B$5)^(B186+$B$6/2)</f>
        <v/>
      </c>
      <c r="L186" t="inlineStr">
        <is>
          <t>Average endpoints</t>
        </is>
      </c>
      <c r="M186" s="4">
        <f>SUMPRODUCT((E186:G186+E187:G187)/2,$B$17:$D$17)*$B$6</f>
        <v/>
      </c>
      <c r="N186" s="4">
        <f>M186*J186</f>
        <v/>
      </c>
      <c r="O186" s="4">
        <f>SUMPRODUCT((E186:G186+E187:G187)/2,$B$18:$D$18)*$B$6</f>
        <v/>
      </c>
      <c r="P186" s="4">
        <f>O186*J186</f>
        <v/>
      </c>
      <c r="Q186" s="4">
        <f>SUMPRODUCT((E186:G186+E187:G187)/2,$B$19:$D$19)*$B$6</f>
        <v/>
      </c>
      <c r="R186" s="4">
        <f>Q186*J186</f>
        <v/>
      </c>
      <c r="S186" s="4">
        <f>IF(A186=0,SUMPRODUCT((E186:G186+E187:G187)/2,$B$20:$D$20)*$B$6,0)</f>
        <v/>
      </c>
      <c r="T186" s="4">
        <f>S186*J186</f>
        <v/>
      </c>
      <c r="U186" s="4">
        <f>N186+P186+R186+T186</f>
        <v/>
      </c>
      <c r="V186">
        <f>SUMPRODUCT((E186:G186+E187:G187)/2,$B$24:$D$24)*$B$6</f>
        <v/>
      </c>
      <c r="W186" s="5">
        <f>V186*K186</f>
        <v/>
      </c>
      <c r="X186">
        <f>SUMPRODUCT((E186:G186+E187:G187)/2,$B$25:$D$25)*$B$6</f>
        <v/>
      </c>
      <c r="Y186">
        <f>X186*K186</f>
        <v/>
      </c>
    </row>
    <row r="187">
      <c r="A187" t="n">
        <v>158</v>
      </c>
      <c r="B187">
        <f>A187*$B$6</f>
        <v/>
      </c>
      <c r="C187" s="5">
        <f>EXP(-$B$12*B187)</f>
        <v/>
      </c>
      <c r="D187" s="5">
        <f>EXP(-$B$13*B187)</f>
        <v/>
      </c>
      <c r="E187">
        <f>C187</f>
        <v/>
      </c>
      <c r="F187">
        <f>D187-C187</f>
        <v/>
      </c>
      <c r="G187">
        <f>1-D187</f>
        <v/>
      </c>
      <c r="H187">
        <f>SUM(E187:G187)</f>
        <v/>
      </c>
      <c r="I187">
        <f>IF(AND(MIN(C187:D187)&gt;=0,MAX(C187:D187)&lt;=1,MIN(E187:G187)&gt;=-1E-10,ABS(H187-1)&lt;1E-8,C187&lt;=C186+1E-10,D187&lt;=D186+1E-10),"OK","ERROR")</f>
        <v/>
      </c>
      <c r="J187">
        <f>1/(1+$B$4)^(B187+$B$6/2)</f>
        <v/>
      </c>
      <c r="K187">
        <f>1/(1+$B$5)^(B187+$B$6/2)</f>
        <v/>
      </c>
      <c r="L187" t="inlineStr">
        <is>
          <t>Average endpoints</t>
        </is>
      </c>
      <c r="M187" s="4">
        <f>SUMPRODUCT((E187:G187+E188:G188)/2,$B$17:$D$17)*$B$6</f>
        <v/>
      </c>
      <c r="N187" s="4">
        <f>M187*J187</f>
        <v/>
      </c>
      <c r="O187" s="4">
        <f>SUMPRODUCT((E187:G187+E188:G188)/2,$B$18:$D$18)*$B$6</f>
        <v/>
      </c>
      <c r="P187" s="4">
        <f>O187*J187</f>
        <v/>
      </c>
      <c r="Q187" s="4">
        <f>SUMPRODUCT((E187:G187+E188:G188)/2,$B$19:$D$19)*$B$6</f>
        <v/>
      </c>
      <c r="R187" s="4">
        <f>Q187*J187</f>
        <v/>
      </c>
      <c r="S187" s="4">
        <f>IF(A187=0,SUMPRODUCT((E187:G187+E188:G188)/2,$B$20:$D$20)*$B$6,0)</f>
        <v/>
      </c>
      <c r="T187" s="4">
        <f>S187*J187</f>
        <v/>
      </c>
      <c r="U187" s="4">
        <f>N187+P187+R187+T187</f>
        <v/>
      </c>
      <c r="V187">
        <f>SUMPRODUCT((E187:G187+E188:G188)/2,$B$24:$D$24)*$B$6</f>
        <v/>
      </c>
      <c r="W187" s="5">
        <f>V187*K187</f>
        <v/>
      </c>
      <c r="X187">
        <f>SUMPRODUCT((E187:G187+E188:G188)/2,$B$25:$D$25)*$B$6</f>
        <v/>
      </c>
      <c r="Y187">
        <f>X187*K187</f>
        <v/>
      </c>
    </row>
    <row r="188">
      <c r="A188" t="n">
        <v>159</v>
      </c>
      <c r="B188">
        <f>A188*$B$6</f>
        <v/>
      </c>
      <c r="C188" s="5">
        <f>EXP(-$B$12*B188)</f>
        <v/>
      </c>
      <c r="D188" s="5">
        <f>EXP(-$B$13*B188)</f>
        <v/>
      </c>
      <c r="E188">
        <f>C188</f>
        <v/>
      </c>
      <c r="F188">
        <f>D188-C188</f>
        <v/>
      </c>
      <c r="G188">
        <f>1-D188</f>
        <v/>
      </c>
      <c r="H188">
        <f>SUM(E188:G188)</f>
        <v/>
      </c>
      <c r="I188">
        <f>IF(AND(MIN(C188:D188)&gt;=0,MAX(C188:D188)&lt;=1,MIN(E188:G188)&gt;=-1E-10,ABS(H188-1)&lt;1E-8,C188&lt;=C187+1E-10,D188&lt;=D187+1E-10),"OK","ERROR")</f>
        <v/>
      </c>
      <c r="J188">
        <f>1/(1+$B$4)^(B188+$B$6/2)</f>
        <v/>
      </c>
      <c r="K188">
        <f>1/(1+$B$5)^(B188+$B$6/2)</f>
        <v/>
      </c>
      <c r="L188" t="inlineStr">
        <is>
          <t>Average endpoints</t>
        </is>
      </c>
      <c r="M188" s="4">
        <f>SUMPRODUCT((E188:G188+E189:G189)/2,$B$17:$D$17)*$B$6</f>
        <v/>
      </c>
      <c r="N188" s="4">
        <f>M188*J188</f>
        <v/>
      </c>
      <c r="O188" s="4">
        <f>SUMPRODUCT((E188:G188+E189:G189)/2,$B$18:$D$18)*$B$6</f>
        <v/>
      </c>
      <c r="P188" s="4">
        <f>O188*J188</f>
        <v/>
      </c>
      <c r="Q188" s="4">
        <f>SUMPRODUCT((E188:G188+E189:G189)/2,$B$19:$D$19)*$B$6</f>
        <v/>
      </c>
      <c r="R188" s="4">
        <f>Q188*J188</f>
        <v/>
      </c>
      <c r="S188" s="4">
        <f>IF(A188=0,SUMPRODUCT((E188:G188+E189:G189)/2,$B$20:$D$20)*$B$6,0)</f>
        <v/>
      </c>
      <c r="T188" s="4">
        <f>S188*J188</f>
        <v/>
      </c>
      <c r="U188" s="4">
        <f>N188+P188+R188+T188</f>
        <v/>
      </c>
      <c r="V188">
        <f>SUMPRODUCT((E188:G188+E189:G189)/2,$B$24:$D$24)*$B$6</f>
        <v/>
      </c>
      <c r="W188" s="5">
        <f>V188*K188</f>
        <v/>
      </c>
      <c r="X188">
        <f>SUMPRODUCT((E188:G188+E189:G189)/2,$B$25:$D$25)*$B$6</f>
        <v/>
      </c>
      <c r="Y188">
        <f>X188*K188</f>
        <v/>
      </c>
    </row>
    <row r="189">
      <c r="A189" t="n">
        <v>160</v>
      </c>
      <c r="B189">
        <f>A189*$B$6</f>
        <v/>
      </c>
      <c r="C189" s="5">
        <f>EXP(-$B$12*B189)</f>
        <v/>
      </c>
      <c r="D189" s="5">
        <f>EXP(-$B$13*B189)</f>
        <v/>
      </c>
      <c r="E189">
        <f>C189</f>
        <v/>
      </c>
      <c r="F189">
        <f>D189-C189</f>
        <v/>
      </c>
      <c r="G189">
        <f>1-D189</f>
        <v/>
      </c>
      <c r="H189">
        <f>SUM(E189:G189)</f>
        <v/>
      </c>
      <c r="I189">
        <f>IF(AND(MIN(C189:D189)&gt;=0,MAX(C189:D189)&lt;=1,MIN(E189:G189)&gt;=-1E-10,ABS(H189-1)&lt;1E-8,C189&lt;=C188+1E-10,D189&lt;=D188+1E-10),"OK","ERROR")</f>
        <v/>
      </c>
      <c r="J189">
        <f>1/(1+$B$4)^(B189+$B$6/2)</f>
        <v/>
      </c>
      <c r="K189">
        <f>1/(1+$B$5)^(B189+$B$6/2)</f>
        <v/>
      </c>
      <c r="L189" t="inlineStr">
        <is>
          <t>Average endpoints</t>
        </is>
      </c>
      <c r="M189" s="4">
        <f>SUMPRODUCT((E189:G189+E190:G190)/2,$B$17:$D$17)*$B$6</f>
        <v/>
      </c>
      <c r="N189" s="4">
        <f>M189*J189</f>
        <v/>
      </c>
      <c r="O189" s="4">
        <f>SUMPRODUCT((E189:G189+E190:G190)/2,$B$18:$D$18)*$B$6</f>
        <v/>
      </c>
      <c r="P189" s="4">
        <f>O189*J189</f>
        <v/>
      </c>
      <c r="Q189" s="4">
        <f>SUMPRODUCT((E189:G189+E190:G190)/2,$B$19:$D$19)*$B$6</f>
        <v/>
      </c>
      <c r="R189" s="4">
        <f>Q189*J189</f>
        <v/>
      </c>
      <c r="S189" s="4">
        <f>IF(A189=0,SUMPRODUCT((E189:G189+E190:G190)/2,$B$20:$D$20)*$B$6,0)</f>
        <v/>
      </c>
      <c r="T189" s="4">
        <f>S189*J189</f>
        <v/>
      </c>
      <c r="U189" s="4">
        <f>N189+P189+R189+T189</f>
        <v/>
      </c>
      <c r="V189">
        <f>SUMPRODUCT((E189:G189+E190:G190)/2,$B$24:$D$24)*$B$6</f>
        <v/>
      </c>
      <c r="W189" s="5">
        <f>V189*K189</f>
        <v/>
      </c>
      <c r="X189">
        <f>SUMPRODUCT((E189:G189+E190:G190)/2,$B$25:$D$25)*$B$6</f>
        <v/>
      </c>
      <c r="Y189">
        <f>X189*K189</f>
        <v/>
      </c>
    </row>
    <row r="190">
      <c r="A190" t="n">
        <v>161</v>
      </c>
      <c r="B190">
        <f>A190*$B$6</f>
        <v/>
      </c>
      <c r="C190" s="5">
        <f>EXP(-$B$12*B190)</f>
        <v/>
      </c>
      <c r="D190" s="5">
        <f>EXP(-$B$13*B190)</f>
        <v/>
      </c>
      <c r="E190">
        <f>C190</f>
        <v/>
      </c>
      <c r="F190">
        <f>D190-C190</f>
        <v/>
      </c>
      <c r="G190">
        <f>1-D190</f>
        <v/>
      </c>
      <c r="H190">
        <f>SUM(E190:G190)</f>
        <v/>
      </c>
      <c r="I190">
        <f>IF(AND(MIN(C190:D190)&gt;=0,MAX(C190:D190)&lt;=1,MIN(E190:G190)&gt;=-1E-10,ABS(H190-1)&lt;1E-8,C190&lt;=C189+1E-10,D190&lt;=D189+1E-10),"OK","ERROR")</f>
        <v/>
      </c>
      <c r="J190">
        <f>1/(1+$B$4)^(B190+$B$6/2)</f>
        <v/>
      </c>
      <c r="K190">
        <f>1/(1+$B$5)^(B190+$B$6/2)</f>
        <v/>
      </c>
      <c r="L190" t="inlineStr">
        <is>
          <t>Average endpoints</t>
        </is>
      </c>
      <c r="M190" s="4">
        <f>SUMPRODUCT((E190:G190+E191:G191)/2,$B$17:$D$17)*$B$6</f>
        <v/>
      </c>
      <c r="N190" s="4">
        <f>M190*J190</f>
        <v/>
      </c>
      <c r="O190" s="4">
        <f>SUMPRODUCT((E190:G190+E191:G191)/2,$B$18:$D$18)*$B$6</f>
        <v/>
      </c>
      <c r="P190" s="4">
        <f>O190*J190</f>
        <v/>
      </c>
      <c r="Q190" s="4">
        <f>SUMPRODUCT((E190:G190+E191:G191)/2,$B$19:$D$19)*$B$6</f>
        <v/>
      </c>
      <c r="R190" s="4">
        <f>Q190*J190</f>
        <v/>
      </c>
      <c r="S190" s="4">
        <f>IF(A190=0,SUMPRODUCT((E190:G190+E191:G191)/2,$B$20:$D$20)*$B$6,0)</f>
        <v/>
      </c>
      <c r="T190" s="4">
        <f>S190*J190</f>
        <v/>
      </c>
      <c r="U190" s="4">
        <f>N190+P190+R190+T190</f>
        <v/>
      </c>
      <c r="V190">
        <f>SUMPRODUCT((E190:G190+E191:G191)/2,$B$24:$D$24)*$B$6</f>
        <v/>
      </c>
      <c r="W190" s="5">
        <f>V190*K190</f>
        <v/>
      </c>
      <c r="X190">
        <f>SUMPRODUCT((E190:G190+E191:G191)/2,$B$25:$D$25)*$B$6</f>
        <v/>
      </c>
      <c r="Y190">
        <f>X190*K190</f>
        <v/>
      </c>
    </row>
    <row r="191">
      <c r="A191" t="n">
        <v>162</v>
      </c>
      <c r="B191">
        <f>A191*$B$6</f>
        <v/>
      </c>
      <c r="C191" s="5">
        <f>EXP(-$B$12*B191)</f>
        <v/>
      </c>
      <c r="D191" s="5">
        <f>EXP(-$B$13*B191)</f>
        <v/>
      </c>
      <c r="E191">
        <f>C191</f>
        <v/>
      </c>
      <c r="F191">
        <f>D191-C191</f>
        <v/>
      </c>
      <c r="G191">
        <f>1-D191</f>
        <v/>
      </c>
      <c r="H191">
        <f>SUM(E191:G191)</f>
        <v/>
      </c>
      <c r="I191">
        <f>IF(AND(MIN(C191:D191)&gt;=0,MAX(C191:D191)&lt;=1,MIN(E191:G191)&gt;=-1E-10,ABS(H191-1)&lt;1E-8,C191&lt;=C190+1E-10,D191&lt;=D190+1E-10),"OK","ERROR")</f>
        <v/>
      </c>
      <c r="J191">
        <f>1/(1+$B$4)^(B191+$B$6/2)</f>
        <v/>
      </c>
      <c r="K191">
        <f>1/(1+$B$5)^(B191+$B$6/2)</f>
        <v/>
      </c>
      <c r="L191" t="inlineStr">
        <is>
          <t>Average endpoints</t>
        </is>
      </c>
      <c r="M191" s="4">
        <f>SUMPRODUCT((E191:G191+E192:G192)/2,$B$17:$D$17)*$B$6</f>
        <v/>
      </c>
      <c r="N191" s="4">
        <f>M191*J191</f>
        <v/>
      </c>
      <c r="O191" s="4">
        <f>SUMPRODUCT((E191:G191+E192:G192)/2,$B$18:$D$18)*$B$6</f>
        <v/>
      </c>
      <c r="P191" s="4">
        <f>O191*J191</f>
        <v/>
      </c>
      <c r="Q191" s="4">
        <f>SUMPRODUCT((E191:G191+E192:G192)/2,$B$19:$D$19)*$B$6</f>
        <v/>
      </c>
      <c r="R191" s="4">
        <f>Q191*J191</f>
        <v/>
      </c>
      <c r="S191" s="4">
        <f>IF(A191=0,SUMPRODUCT((E191:G191+E192:G192)/2,$B$20:$D$20)*$B$6,0)</f>
        <v/>
      </c>
      <c r="T191" s="4">
        <f>S191*J191</f>
        <v/>
      </c>
      <c r="U191" s="4">
        <f>N191+P191+R191+T191</f>
        <v/>
      </c>
      <c r="V191">
        <f>SUMPRODUCT((E191:G191+E192:G192)/2,$B$24:$D$24)*$B$6</f>
        <v/>
      </c>
      <c r="W191" s="5">
        <f>V191*K191</f>
        <v/>
      </c>
      <c r="X191">
        <f>SUMPRODUCT((E191:G191+E192:G192)/2,$B$25:$D$25)*$B$6</f>
        <v/>
      </c>
      <c r="Y191">
        <f>X191*K191</f>
        <v/>
      </c>
    </row>
    <row r="192">
      <c r="A192" t="n">
        <v>163</v>
      </c>
      <c r="B192">
        <f>A192*$B$6</f>
        <v/>
      </c>
      <c r="C192" s="5">
        <f>EXP(-$B$12*B192)</f>
        <v/>
      </c>
      <c r="D192" s="5">
        <f>EXP(-$B$13*B192)</f>
        <v/>
      </c>
      <c r="E192">
        <f>C192</f>
        <v/>
      </c>
      <c r="F192">
        <f>D192-C192</f>
        <v/>
      </c>
      <c r="G192">
        <f>1-D192</f>
        <v/>
      </c>
      <c r="H192">
        <f>SUM(E192:G192)</f>
        <v/>
      </c>
      <c r="I192">
        <f>IF(AND(MIN(C192:D192)&gt;=0,MAX(C192:D192)&lt;=1,MIN(E192:G192)&gt;=-1E-10,ABS(H192-1)&lt;1E-8,C192&lt;=C191+1E-10,D192&lt;=D191+1E-10),"OK","ERROR")</f>
        <v/>
      </c>
      <c r="J192">
        <f>1/(1+$B$4)^(B192+$B$6/2)</f>
        <v/>
      </c>
      <c r="K192">
        <f>1/(1+$B$5)^(B192+$B$6/2)</f>
        <v/>
      </c>
      <c r="L192" t="inlineStr">
        <is>
          <t>Average endpoints</t>
        </is>
      </c>
      <c r="M192" s="4">
        <f>SUMPRODUCT((E192:G192+E193:G193)/2,$B$17:$D$17)*$B$6</f>
        <v/>
      </c>
      <c r="N192" s="4">
        <f>M192*J192</f>
        <v/>
      </c>
      <c r="O192" s="4">
        <f>SUMPRODUCT((E192:G192+E193:G193)/2,$B$18:$D$18)*$B$6</f>
        <v/>
      </c>
      <c r="P192" s="4">
        <f>O192*J192</f>
        <v/>
      </c>
      <c r="Q192" s="4">
        <f>SUMPRODUCT((E192:G192+E193:G193)/2,$B$19:$D$19)*$B$6</f>
        <v/>
      </c>
      <c r="R192" s="4">
        <f>Q192*J192</f>
        <v/>
      </c>
      <c r="S192" s="4">
        <f>IF(A192=0,SUMPRODUCT((E192:G192+E193:G193)/2,$B$20:$D$20)*$B$6,0)</f>
        <v/>
      </c>
      <c r="T192" s="4">
        <f>S192*J192</f>
        <v/>
      </c>
      <c r="U192" s="4">
        <f>N192+P192+R192+T192</f>
        <v/>
      </c>
      <c r="V192">
        <f>SUMPRODUCT((E192:G192+E193:G193)/2,$B$24:$D$24)*$B$6</f>
        <v/>
      </c>
      <c r="W192" s="5">
        <f>V192*K192</f>
        <v/>
      </c>
      <c r="X192">
        <f>SUMPRODUCT((E192:G192+E193:G193)/2,$B$25:$D$25)*$B$6</f>
        <v/>
      </c>
      <c r="Y192">
        <f>X192*K192</f>
        <v/>
      </c>
    </row>
    <row r="193">
      <c r="A193" t="n">
        <v>164</v>
      </c>
      <c r="B193">
        <f>A193*$B$6</f>
        <v/>
      </c>
      <c r="C193" s="5">
        <f>EXP(-$B$12*B193)</f>
        <v/>
      </c>
      <c r="D193" s="5">
        <f>EXP(-$B$13*B193)</f>
        <v/>
      </c>
      <c r="E193">
        <f>C193</f>
        <v/>
      </c>
      <c r="F193">
        <f>D193-C193</f>
        <v/>
      </c>
      <c r="G193">
        <f>1-D193</f>
        <v/>
      </c>
      <c r="H193">
        <f>SUM(E193:G193)</f>
        <v/>
      </c>
      <c r="I193">
        <f>IF(AND(MIN(C193:D193)&gt;=0,MAX(C193:D193)&lt;=1,MIN(E193:G193)&gt;=-1E-10,ABS(H193-1)&lt;1E-8,C193&lt;=C192+1E-10,D193&lt;=D192+1E-10),"OK","ERROR")</f>
        <v/>
      </c>
      <c r="J193">
        <f>1/(1+$B$4)^(B193+$B$6/2)</f>
        <v/>
      </c>
      <c r="K193">
        <f>1/(1+$B$5)^(B193+$B$6/2)</f>
        <v/>
      </c>
      <c r="L193" t="inlineStr">
        <is>
          <t>Average endpoints</t>
        </is>
      </c>
      <c r="M193" s="4">
        <f>SUMPRODUCT((E193:G193+E194:G194)/2,$B$17:$D$17)*$B$6</f>
        <v/>
      </c>
      <c r="N193" s="4">
        <f>M193*J193</f>
        <v/>
      </c>
      <c r="O193" s="4">
        <f>SUMPRODUCT((E193:G193+E194:G194)/2,$B$18:$D$18)*$B$6</f>
        <v/>
      </c>
      <c r="P193" s="4">
        <f>O193*J193</f>
        <v/>
      </c>
      <c r="Q193" s="4">
        <f>SUMPRODUCT((E193:G193+E194:G194)/2,$B$19:$D$19)*$B$6</f>
        <v/>
      </c>
      <c r="R193" s="4">
        <f>Q193*J193</f>
        <v/>
      </c>
      <c r="S193" s="4">
        <f>IF(A193=0,SUMPRODUCT((E193:G193+E194:G194)/2,$B$20:$D$20)*$B$6,0)</f>
        <v/>
      </c>
      <c r="T193" s="4">
        <f>S193*J193</f>
        <v/>
      </c>
      <c r="U193" s="4">
        <f>N193+P193+R193+T193</f>
        <v/>
      </c>
      <c r="V193">
        <f>SUMPRODUCT((E193:G193+E194:G194)/2,$B$24:$D$24)*$B$6</f>
        <v/>
      </c>
      <c r="W193" s="5">
        <f>V193*K193</f>
        <v/>
      </c>
      <c r="X193">
        <f>SUMPRODUCT((E193:G193+E194:G194)/2,$B$25:$D$25)*$B$6</f>
        <v/>
      </c>
      <c r="Y193">
        <f>X193*K193</f>
        <v/>
      </c>
    </row>
    <row r="194">
      <c r="A194" t="n">
        <v>165</v>
      </c>
      <c r="B194">
        <f>A194*$B$6</f>
        <v/>
      </c>
      <c r="C194" s="5">
        <f>EXP(-$B$12*B194)</f>
        <v/>
      </c>
      <c r="D194" s="5">
        <f>EXP(-$B$13*B194)</f>
        <v/>
      </c>
      <c r="E194">
        <f>C194</f>
        <v/>
      </c>
      <c r="F194">
        <f>D194-C194</f>
        <v/>
      </c>
      <c r="G194">
        <f>1-D194</f>
        <v/>
      </c>
      <c r="H194">
        <f>SUM(E194:G194)</f>
        <v/>
      </c>
      <c r="I194">
        <f>IF(AND(MIN(C194:D194)&gt;=0,MAX(C194:D194)&lt;=1,MIN(E194:G194)&gt;=-1E-10,ABS(H194-1)&lt;1E-8,C194&lt;=C193+1E-10,D194&lt;=D193+1E-10),"OK","ERROR")</f>
        <v/>
      </c>
      <c r="J194">
        <f>1/(1+$B$4)^(B194+$B$6/2)</f>
        <v/>
      </c>
      <c r="K194">
        <f>1/(1+$B$5)^(B194+$B$6/2)</f>
        <v/>
      </c>
      <c r="L194" t="inlineStr">
        <is>
          <t>Average endpoints</t>
        </is>
      </c>
      <c r="M194" s="4">
        <f>SUMPRODUCT((E194:G194+E195:G195)/2,$B$17:$D$17)*$B$6</f>
        <v/>
      </c>
      <c r="N194" s="4">
        <f>M194*J194</f>
        <v/>
      </c>
      <c r="O194" s="4">
        <f>SUMPRODUCT((E194:G194+E195:G195)/2,$B$18:$D$18)*$B$6</f>
        <v/>
      </c>
      <c r="P194" s="4">
        <f>O194*J194</f>
        <v/>
      </c>
      <c r="Q194" s="4">
        <f>SUMPRODUCT((E194:G194+E195:G195)/2,$B$19:$D$19)*$B$6</f>
        <v/>
      </c>
      <c r="R194" s="4">
        <f>Q194*J194</f>
        <v/>
      </c>
      <c r="S194" s="4">
        <f>IF(A194=0,SUMPRODUCT((E194:G194+E195:G195)/2,$B$20:$D$20)*$B$6,0)</f>
        <v/>
      </c>
      <c r="T194" s="4">
        <f>S194*J194</f>
        <v/>
      </c>
      <c r="U194" s="4">
        <f>N194+P194+R194+T194</f>
        <v/>
      </c>
      <c r="V194">
        <f>SUMPRODUCT((E194:G194+E195:G195)/2,$B$24:$D$24)*$B$6</f>
        <v/>
      </c>
      <c r="W194" s="5">
        <f>V194*K194</f>
        <v/>
      </c>
      <c r="X194">
        <f>SUMPRODUCT((E194:G194+E195:G195)/2,$B$25:$D$25)*$B$6</f>
        <v/>
      </c>
      <c r="Y194">
        <f>X194*K194</f>
        <v/>
      </c>
    </row>
    <row r="195">
      <c r="A195" t="n">
        <v>166</v>
      </c>
      <c r="B195">
        <f>A195*$B$6</f>
        <v/>
      </c>
      <c r="C195" s="5">
        <f>EXP(-$B$12*B195)</f>
        <v/>
      </c>
      <c r="D195" s="5">
        <f>EXP(-$B$13*B195)</f>
        <v/>
      </c>
      <c r="E195">
        <f>C195</f>
        <v/>
      </c>
      <c r="F195">
        <f>D195-C195</f>
        <v/>
      </c>
      <c r="G195">
        <f>1-D195</f>
        <v/>
      </c>
      <c r="H195">
        <f>SUM(E195:G195)</f>
        <v/>
      </c>
      <c r="I195">
        <f>IF(AND(MIN(C195:D195)&gt;=0,MAX(C195:D195)&lt;=1,MIN(E195:G195)&gt;=-1E-10,ABS(H195-1)&lt;1E-8,C195&lt;=C194+1E-10,D195&lt;=D194+1E-10),"OK","ERROR")</f>
        <v/>
      </c>
      <c r="J195">
        <f>1/(1+$B$4)^(B195+$B$6/2)</f>
        <v/>
      </c>
      <c r="K195">
        <f>1/(1+$B$5)^(B195+$B$6/2)</f>
        <v/>
      </c>
      <c r="L195" t="inlineStr">
        <is>
          <t>Average endpoints</t>
        </is>
      </c>
      <c r="M195" s="4">
        <f>SUMPRODUCT((E195:G195+E196:G196)/2,$B$17:$D$17)*$B$6</f>
        <v/>
      </c>
      <c r="N195" s="4">
        <f>M195*J195</f>
        <v/>
      </c>
      <c r="O195" s="4">
        <f>SUMPRODUCT((E195:G195+E196:G196)/2,$B$18:$D$18)*$B$6</f>
        <v/>
      </c>
      <c r="P195" s="4">
        <f>O195*J195</f>
        <v/>
      </c>
      <c r="Q195" s="4">
        <f>SUMPRODUCT((E195:G195+E196:G196)/2,$B$19:$D$19)*$B$6</f>
        <v/>
      </c>
      <c r="R195" s="4">
        <f>Q195*J195</f>
        <v/>
      </c>
      <c r="S195" s="4">
        <f>IF(A195=0,SUMPRODUCT((E195:G195+E196:G196)/2,$B$20:$D$20)*$B$6,0)</f>
        <v/>
      </c>
      <c r="T195" s="4">
        <f>S195*J195</f>
        <v/>
      </c>
      <c r="U195" s="4">
        <f>N195+P195+R195+T195</f>
        <v/>
      </c>
      <c r="V195">
        <f>SUMPRODUCT((E195:G195+E196:G196)/2,$B$24:$D$24)*$B$6</f>
        <v/>
      </c>
      <c r="W195" s="5">
        <f>V195*K195</f>
        <v/>
      </c>
      <c r="X195">
        <f>SUMPRODUCT((E195:G195+E196:G196)/2,$B$25:$D$25)*$B$6</f>
        <v/>
      </c>
      <c r="Y195">
        <f>X195*K195</f>
        <v/>
      </c>
    </row>
    <row r="196">
      <c r="A196" t="n">
        <v>167</v>
      </c>
      <c r="B196">
        <f>A196*$B$6</f>
        <v/>
      </c>
      <c r="C196" s="5">
        <f>EXP(-$B$12*B196)</f>
        <v/>
      </c>
      <c r="D196" s="5">
        <f>EXP(-$B$13*B196)</f>
        <v/>
      </c>
      <c r="E196">
        <f>C196</f>
        <v/>
      </c>
      <c r="F196">
        <f>D196-C196</f>
        <v/>
      </c>
      <c r="G196">
        <f>1-D196</f>
        <v/>
      </c>
      <c r="H196">
        <f>SUM(E196:G196)</f>
        <v/>
      </c>
      <c r="I196">
        <f>IF(AND(MIN(C196:D196)&gt;=0,MAX(C196:D196)&lt;=1,MIN(E196:G196)&gt;=-1E-10,ABS(H196-1)&lt;1E-8,C196&lt;=C195+1E-10,D196&lt;=D195+1E-10),"OK","ERROR")</f>
        <v/>
      </c>
      <c r="J196">
        <f>1/(1+$B$4)^(B196+$B$6/2)</f>
        <v/>
      </c>
      <c r="K196">
        <f>1/(1+$B$5)^(B196+$B$6/2)</f>
        <v/>
      </c>
      <c r="L196" t="inlineStr">
        <is>
          <t>Average endpoints</t>
        </is>
      </c>
      <c r="M196" s="4">
        <f>SUMPRODUCT((E196:G196+E197:G197)/2,$B$17:$D$17)*$B$6</f>
        <v/>
      </c>
      <c r="N196" s="4">
        <f>M196*J196</f>
        <v/>
      </c>
      <c r="O196" s="4">
        <f>SUMPRODUCT((E196:G196+E197:G197)/2,$B$18:$D$18)*$B$6</f>
        <v/>
      </c>
      <c r="P196" s="4">
        <f>O196*J196</f>
        <v/>
      </c>
      <c r="Q196" s="4">
        <f>SUMPRODUCT((E196:G196+E197:G197)/2,$B$19:$D$19)*$B$6</f>
        <v/>
      </c>
      <c r="R196" s="4">
        <f>Q196*J196</f>
        <v/>
      </c>
      <c r="S196" s="4">
        <f>IF(A196=0,SUMPRODUCT((E196:G196+E197:G197)/2,$B$20:$D$20)*$B$6,0)</f>
        <v/>
      </c>
      <c r="T196" s="4">
        <f>S196*J196</f>
        <v/>
      </c>
      <c r="U196" s="4">
        <f>N196+P196+R196+T196</f>
        <v/>
      </c>
      <c r="V196">
        <f>SUMPRODUCT((E196:G196+E197:G197)/2,$B$24:$D$24)*$B$6</f>
        <v/>
      </c>
      <c r="W196" s="5">
        <f>V196*K196</f>
        <v/>
      </c>
      <c r="X196">
        <f>SUMPRODUCT((E196:G196+E197:G197)/2,$B$25:$D$25)*$B$6</f>
        <v/>
      </c>
      <c r="Y196">
        <f>X196*K196</f>
        <v/>
      </c>
    </row>
    <row r="197">
      <c r="A197" t="n">
        <v>168</v>
      </c>
      <c r="B197">
        <f>A197*$B$6</f>
        <v/>
      </c>
      <c r="C197" s="5">
        <f>EXP(-$B$12*B197)</f>
        <v/>
      </c>
      <c r="D197" s="5">
        <f>EXP(-$B$13*B197)</f>
        <v/>
      </c>
      <c r="E197">
        <f>C197</f>
        <v/>
      </c>
      <c r="F197">
        <f>D197-C197</f>
        <v/>
      </c>
      <c r="G197">
        <f>1-D197</f>
        <v/>
      </c>
      <c r="H197">
        <f>SUM(E197:G197)</f>
        <v/>
      </c>
      <c r="I197">
        <f>IF(AND(MIN(C197:D197)&gt;=0,MAX(C197:D197)&lt;=1,MIN(E197:G197)&gt;=-1E-10,ABS(H197-1)&lt;1E-8,C197&lt;=C196+1E-10,D197&lt;=D196+1E-10),"OK","ERROR")</f>
        <v/>
      </c>
      <c r="J197">
        <f>1/(1+$B$4)^(B197+$B$6/2)</f>
        <v/>
      </c>
      <c r="K197">
        <f>1/(1+$B$5)^(B197+$B$6/2)</f>
        <v/>
      </c>
      <c r="L197" t="inlineStr">
        <is>
          <t>Average endpoints</t>
        </is>
      </c>
      <c r="M197" s="4">
        <f>SUMPRODUCT((E197:G197+E198:G198)/2,$B$17:$D$17)*$B$6</f>
        <v/>
      </c>
      <c r="N197" s="4">
        <f>M197*J197</f>
        <v/>
      </c>
      <c r="O197" s="4">
        <f>SUMPRODUCT((E197:G197+E198:G198)/2,$B$18:$D$18)*$B$6</f>
        <v/>
      </c>
      <c r="P197" s="4">
        <f>O197*J197</f>
        <v/>
      </c>
      <c r="Q197" s="4">
        <f>SUMPRODUCT((E197:G197+E198:G198)/2,$B$19:$D$19)*$B$6</f>
        <v/>
      </c>
      <c r="R197" s="4">
        <f>Q197*J197</f>
        <v/>
      </c>
      <c r="S197" s="4">
        <f>IF(A197=0,SUMPRODUCT((E197:G197+E198:G198)/2,$B$20:$D$20)*$B$6,0)</f>
        <v/>
      </c>
      <c r="T197" s="4">
        <f>S197*J197</f>
        <v/>
      </c>
      <c r="U197" s="4">
        <f>N197+P197+R197+T197</f>
        <v/>
      </c>
      <c r="V197">
        <f>SUMPRODUCT((E197:G197+E198:G198)/2,$B$24:$D$24)*$B$6</f>
        <v/>
      </c>
      <c r="W197" s="5">
        <f>V197*K197</f>
        <v/>
      </c>
      <c r="X197">
        <f>SUMPRODUCT((E197:G197+E198:G198)/2,$B$25:$D$25)*$B$6</f>
        <v/>
      </c>
      <c r="Y197">
        <f>X197*K197</f>
        <v/>
      </c>
    </row>
    <row r="198">
      <c r="A198" t="n">
        <v>169</v>
      </c>
      <c r="B198">
        <f>A198*$B$6</f>
        <v/>
      </c>
      <c r="C198" s="5">
        <f>EXP(-$B$12*B198)</f>
        <v/>
      </c>
      <c r="D198" s="5">
        <f>EXP(-$B$13*B198)</f>
        <v/>
      </c>
      <c r="E198">
        <f>C198</f>
        <v/>
      </c>
      <c r="F198">
        <f>D198-C198</f>
        <v/>
      </c>
      <c r="G198">
        <f>1-D198</f>
        <v/>
      </c>
      <c r="H198">
        <f>SUM(E198:G198)</f>
        <v/>
      </c>
      <c r="I198">
        <f>IF(AND(MIN(C198:D198)&gt;=0,MAX(C198:D198)&lt;=1,MIN(E198:G198)&gt;=-1E-10,ABS(H198-1)&lt;1E-8,C198&lt;=C197+1E-10,D198&lt;=D197+1E-10),"OK","ERROR")</f>
        <v/>
      </c>
      <c r="J198">
        <f>1/(1+$B$4)^(B198+$B$6/2)</f>
        <v/>
      </c>
      <c r="K198">
        <f>1/(1+$B$5)^(B198+$B$6/2)</f>
        <v/>
      </c>
      <c r="L198" t="inlineStr">
        <is>
          <t>Average endpoints</t>
        </is>
      </c>
      <c r="M198" s="4">
        <f>SUMPRODUCT((E198:G198+E199:G199)/2,$B$17:$D$17)*$B$6</f>
        <v/>
      </c>
      <c r="N198" s="4">
        <f>M198*J198</f>
        <v/>
      </c>
      <c r="O198" s="4">
        <f>SUMPRODUCT((E198:G198+E199:G199)/2,$B$18:$D$18)*$B$6</f>
        <v/>
      </c>
      <c r="P198" s="4">
        <f>O198*J198</f>
        <v/>
      </c>
      <c r="Q198" s="4">
        <f>SUMPRODUCT((E198:G198+E199:G199)/2,$B$19:$D$19)*$B$6</f>
        <v/>
      </c>
      <c r="R198" s="4">
        <f>Q198*J198</f>
        <v/>
      </c>
      <c r="S198" s="4">
        <f>IF(A198=0,SUMPRODUCT((E198:G198+E199:G199)/2,$B$20:$D$20)*$B$6,0)</f>
        <v/>
      </c>
      <c r="T198" s="4">
        <f>S198*J198</f>
        <v/>
      </c>
      <c r="U198" s="4">
        <f>N198+P198+R198+T198</f>
        <v/>
      </c>
      <c r="V198">
        <f>SUMPRODUCT((E198:G198+E199:G199)/2,$B$24:$D$24)*$B$6</f>
        <v/>
      </c>
      <c r="W198" s="5">
        <f>V198*K198</f>
        <v/>
      </c>
      <c r="X198">
        <f>SUMPRODUCT((E198:G198+E199:G199)/2,$B$25:$D$25)*$B$6</f>
        <v/>
      </c>
      <c r="Y198">
        <f>X198*K198</f>
        <v/>
      </c>
    </row>
    <row r="199">
      <c r="A199" t="n">
        <v>170</v>
      </c>
      <c r="B199">
        <f>A199*$B$6</f>
        <v/>
      </c>
      <c r="C199" s="5">
        <f>EXP(-$B$12*B199)</f>
        <v/>
      </c>
      <c r="D199" s="5">
        <f>EXP(-$B$13*B199)</f>
        <v/>
      </c>
      <c r="E199">
        <f>C199</f>
        <v/>
      </c>
      <c r="F199">
        <f>D199-C199</f>
        <v/>
      </c>
      <c r="G199">
        <f>1-D199</f>
        <v/>
      </c>
      <c r="H199">
        <f>SUM(E199:G199)</f>
        <v/>
      </c>
      <c r="I199">
        <f>IF(AND(MIN(C199:D199)&gt;=0,MAX(C199:D199)&lt;=1,MIN(E199:G199)&gt;=-1E-10,ABS(H199-1)&lt;1E-8,C199&lt;=C198+1E-10,D199&lt;=D198+1E-10),"OK","ERROR")</f>
        <v/>
      </c>
      <c r="J199">
        <f>1/(1+$B$4)^(B199+$B$6/2)</f>
        <v/>
      </c>
      <c r="K199">
        <f>1/(1+$B$5)^(B199+$B$6/2)</f>
        <v/>
      </c>
      <c r="L199" t="inlineStr">
        <is>
          <t>Average endpoints</t>
        </is>
      </c>
      <c r="M199" s="4">
        <f>SUMPRODUCT((E199:G199+E200:G200)/2,$B$17:$D$17)*$B$6</f>
        <v/>
      </c>
      <c r="N199" s="4">
        <f>M199*J199</f>
        <v/>
      </c>
      <c r="O199" s="4">
        <f>SUMPRODUCT((E199:G199+E200:G200)/2,$B$18:$D$18)*$B$6</f>
        <v/>
      </c>
      <c r="P199" s="4">
        <f>O199*J199</f>
        <v/>
      </c>
      <c r="Q199" s="4">
        <f>SUMPRODUCT((E199:G199+E200:G200)/2,$B$19:$D$19)*$B$6</f>
        <v/>
      </c>
      <c r="R199" s="4">
        <f>Q199*J199</f>
        <v/>
      </c>
      <c r="S199" s="4">
        <f>IF(A199=0,SUMPRODUCT((E199:G199+E200:G200)/2,$B$20:$D$20)*$B$6,0)</f>
        <v/>
      </c>
      <c r="T199" s="4">
        <f>S199*J199</f>
        <v/>
      </c>
      <c r="U199" s="4">
        <f>N199+P199+R199+T199</f>
        <v/>
      </c>
      <c r="V199">
        <f>SUMPRODUCT((E199:G199+E200:G200)/2,$B$24:$D$24)*$B$6</f>
        <v/>
      </c>
      <c r="W199" s="5">
        <f>V199*K199</f>
        <v/>
      </c>
      <c r="X199">
        <f>SUMPRODUCT((E199:G199+E200:G200)/2,$B$25:$D$25)*$B$6</f>
        <v/>
      </c>
      <c r="Y199">
        <f>X199*K199</f>
        <v/>
      </c>
    </row>
    <row r="200">
      <c r="A200" t="n">
        <v>171</v>
      </c>
      <c r="B200">
        <f>A200*$B$6</f>
        <v/>
      </c>
      <c r="C200" s="5">
        <f>EXP(-$B$12*B200)</f>
        <v/>
      </c>
      <c r="D200" s="5">
        <f>EXP(-$B$13*B200)</f>
        <v/>
      </c>
      <c r="E200">
        <f>C200</f>
        <v/>
      </c>
      <c r="F200">
        <f>D200-C200</f>
        <v/>
      </c>
      <c r="G200">
        <f>1-D200</f>
        <v/>
      </c>
      <c r="H200">
        <f>SUM(E200:G200)</f>
        <v/>
      </c>
      <c r="I200">
        <f>IF(AND(MIN(C200:D200)&gt;=0,MAX(C200:D200)&lt;=1,MIN(E200:G200)&gt;=-1E-10,ABS(H200-1)&lt;1E-8,C200&lt;=C199+1E-10,D200&lt;=D199+1E-10),"OK","ERROR")</f>
        <v/>
      </c>
      <c r="J200">
        <f>1/(1+$B$4)^(B200+$B$6/2)</f>
        <v/>
      </c>
      <c r="K200">
        <f>1/(1+$B$5)^(B200+$B$6/2)</f>
        <v/>
      </c>
      <c r="L200" t="inlineStr">
        <is>
          <t>Average endpoints</t>
        </is>
      </c>
      <c r="M200" s="4">
        <f>SUMPRODUCT((E200:G200+E201:G201)/2,$B$17:$D$17)*$B$6</f>
        <v/>
      </c>
      <c r="N200" s="4">
        <f>M200*J200</f>
        <v/>
      </c>
      <c r="O200" s="4">
        <f>SUMPRODUCT((E200:G200+E201:G201)/2,$B$18:$D$18)*$B$6</f>
        <v/>
      </c>
      <c r="P200" s="4">
        <f>O200*J200</f>
        <v/>
      </c>
      <c r="Q200" s="4">
        <f>SUMPRODUCT((E200:G200+E201:G201)/2,$B$19:$D$19)*$B$6</f>
        <v/>
      </c>
      <c r="R200" s="4">
        <f>Q200*J200</f>
        <v/>
      </c>
      <c r="S200" s="4">
        <f>IF(A200=0,SUMPRODUCT((E200:G200+E201:G201)/2,$B$20:$D$20)*$B$6,0)</f>
        <v/>
      </c>
      <c r="T200" s="4">
        <f>S200*J200</f>
        <v/>
      </c>
      <c r="U200" s="4">
        <f>N200+P200+R200+T200</f>
        <v/>
      </c>
      <c r="V200">
        <f>SUMPRODUCT((E200:G200+E201:G201)/2,$B$24:$D$24)*$B$6</f>
        <v/>
      </c>
      <c r="W200" s="5">
        <f>V200*K200</f>
        <v/>
      </c>
      <c r="X200">
        <f>SUMPRODUCT((E200:G200+E201:G201)/2,$B$25:$D$25)*$B$6</f>
        <v/>
      </c>
      <c r="Y200">
        <f>X200*K200</f>
        <v/>
      </c>
    </row>
    <row r="201">
      <c r="A201" t="n">
        <v>172</v>
      </c>
      <c r="B201">
        <f>A201*$B$6</f>
        <v/>
      </c>
      <c r="C201" s="5">
        <f>EXP(-$B$12*B201)</f>
        <v/>
      </c>
      <c r="D201" s="5">
        <f>EXP(-$B$13*B201)</f>
        <v/>
      </c>
      <c r="E201">
        <f>C201</f>
        <v/>
      </c>
      <c r="F201">
        <f>D201-C201</f>
        <v/>
      </c>
      <c r="G201">
        <f>1-D201</f>
        <v/>
      </c>
      <c r="H201">
        <f>SUM(E201:G201)</f>
        <v/>
      </c>
      <c r="I201">
        <f>IF(AND(MIN(C201:D201)&gt;=0,MAX(C201:D201)&lt;=1,MIN(E201:G201)&gt;=-1E-10,ABS(H201-1)&lt;1E-8,C201&lt;=C200+1E-10,D201&lt;=D200+1E-10),"OK","ERROR")</f>
        <v/>
      </c>
      <c r="J201">
        <f>1/(1+$B$4)^(B201+$B$6/2)</f>
        <v/>
      </c>
      <c r="K201">
        <f>1/(1+$B$5)^(B201+$B$6/2)</f>
        <v/>
      </c>
      <c r="L201" t="inlineStr">
        <is>
          <t>Average endpoints</t>
        </is>
      </c>
      <c r="M201" s="4">
        <f>SUMPRODUCT((E201:G201+E202:G202)/2,$B$17:$D$17)*$B$6</f>
        <v/>
      </c>
      <c r="N201" s="4">
        <f>M201*J201</f>
        <v/>
      </c>
      <c r="O201" s="4">
        <f>SUMPRODUCT((E201:G201+E202:G202)/2,$B$18:$D$18)*$B$6</f>
        <v/>
      </c>
      <c r="P201" s="4">
        <f>O201*J201</f>
        <v/>
      </c>
      <c r="Q201" s="4">
        <f>SUMPRODUCT((E201:G201+E202:G202)/2,$B$19:$D$19)*$B$6</f>
        <v/>
      </c>
      <c r="R201" s="4">
        <f>Q201*J201</f>
        <v/>
      </c>
      <c r="S201" s="4">
        <f>IF(A201=0,SUMPRODUCT((E201:G201+E202:G202)/2,$B$20:$D$20)*$B$6,0)</f>
        <v/>
      </c>
      <c r="T201" s="4">
        <f>S201*J201</f>
        <v/>
      </c>
      <c r="U201" s="4">
        <f>N201+P201+R201+T201</f>
        <v/>
      </c>
      <c r="V201">
        <f>SUMPRODUCT((E201:G201+E202:G202)/2,$B$24:$D$24)*$B$6</f>
        <v/>
      </c>
      <c r="W201" s="5">
        <f>V201*K201</f>
        <v/>
      </c>
      <c r="X201">
        <f>SUMPRODUCT((E201:G201+E202:G202)/2,$B$25:$D$25)*$B$6</f>
        <v/>
      </c>
      <c r="Y201">
        <f>X201*K201</f>
        <v/>
      </c>
    </row>
    <row r="202">
      <c r="A202" t="n">
        <v>173</v>
      </c>
      <c r="B202">
        <f>A202*$B$6</f>
        <v/>
      </c>
      <c r="C202" s="5">
        <f>EXP(-$B$12*B202)</f>
        <v/>
      </c>
      <c r="D202" s="5">
        <f>EXP(-$B$13*B202)</f>
        <v/>
      </c>
      <c r="E202">
        <f>C202</f>
        <v/>
      </c>
      <c r="F202">
        <f>D202-C202</f>
        <v/>
      </c>
      <c r="G202">
        <f>1-D202</f>
        <v/>
      </c>
      <c r="H202">
        <f>SUM(E202:G202)</f>
        <v/>
      </c>
      <c r="I202">
        <f>IF(AND(MIN(C202:D202)&gt;=0,MAX(C202:D202)&lt;=1,MIN(E202:G202)&gt;=-1E-10,ABS(H202-1)&lt;1E-8,C202&lt;=C201+1E-10,D202&lt;=D201+1E-10),"OK","ERROR")</f>
        <v/>
      </c>
      <c r="J202">
        <f>1/(1+$B$4)^(B202+$B$6/2)</f>
        <v/>
      </c>
      <c r="K202">
        <f>1/(1+$B$5)^(B202+$B$6/2)</f>
        <v/>
      </c>
      <c r="L202" t="inlineStr">
        <is>
          <t>Average endpoints</t>
        </is>
      </c>
      <c r="M202" s="4">
        <f>SUMPRODUCT((E202:G202+E203:G203)/2,$B$17:$D$17)*$B$6</f>
        <v/>
      </c>
      <c r="N202" s="4">
        <f>M202*J202</f>
        <v/>
      </c>
      <c r="O202" s="4">
        <f>SUMPRODUCT((E202:G202+E203:G203)/2,$B$18:$D$18)*$B$6</f>
        <v/>
      </c>
      <c r="P202" s="4">
        <f>O202*J202</f>
        <v/>
      </c>
      <c r="Q202" s="4">
        <f>SUMPRODUCT((E202:G202+E203:G203)/2,$B$19:$D$19)*$B$6</f>
        <v/>
      </c>
      <c r="R202" s="4">
        <f>Q202*J202</f>
        <v/>
      </c>
      <c r="S202" s="4">
        <f>IF(A202=0,SUMPRODUCT((E202:G202+E203:G203)/2,$B$20:$D$20)*$B$6,0)</f>
        <v/>
      </c>
      <c r="T202" s="4">
        <f>S202*J202</f>
        <v/>
      </c>
      <c r="U202" s="4">
        <f>N202+P202+R202+T202</f>
        <v/>
      </c>
      <c r="V202">
        <f>SUMPRODUCT((E202:G202+E203:G203)/2,$B$24:$D$24)*$B$6</f>
        <v/>
      </c>
      <c r="W202" s="5">
        <f>V202*K202</f>
        <v/>
      </c>
      <c r="X202">
        <f>SUMPRODUCT((E202:G202+E203:G203)/2,$B$25:$D$25)*$B$6</f>
        <v/>
      </c>
      <c r="Y202">
        <f>X202*K202</f>
        <v/>
      </c>
    </row>
    <row r="203">
      <c r="A203" t="n">
        <v>174</v>
      </c>
      <c r="B203">
        <f>A203*$B$6</f>
        <v/>
      </c>
      <c r="C203" s="5">
        <f>EXP(-$B$12*B203)</f>
        <v/>
      </c>
      <c r="D203" s="5">
        <f>EXP(-$B$13*B203)</f>
        <v/>
      </c>
      <c r="E203">
        <f>C203</f>
        <v/>
      </c>
      <c r="F203">
        <f>D203-C203</f>
        <v/>
      </c>
      <c r="G203">
        <f>1-D203</f>
        <v/>
      </c>
      <c r="H203">
        <f>SUM(E203:G203)</f>
        <v/>
      </c>
      <c r="I203">
        <f>IF(AND(MIN(C203:D203)&gt;=0,MAX(C203:D203)&lt;=1,MIN(E203:G203)&gt;=-1E-10,ABS(H203-1)&lt;1E-8,C203&lt;=C202+1E-10,D203&lt;=D202+1E-10),"OK","ERROR")</f>
        <v/>
      </c>
      <c r="J203">
        <f>1/(1+$B$4)^(B203+$B$6/2)</f>
        <v/>
      </c>
      <c r="K203">
        <f>1/(1+$B$5)^(B203+$B$6/2)</f>
        <v/>
      </c>
      <c r="L203" t="inlineStr">
        <is>
          <t>Average endpoints</t>
        </is>
      </c>
      <c r="M203" s="4">
        <f>SUMPRODUCT((E203:G203+E204:G204)/2,$B$17:$D$17)*$B$6</f>
        <v/>
      </c>
      <c r="N203" s="4">
        <f>M203*J203</f>
        <v/>
      </c>
      <c r="O203" s="4">
        <f>SUMPRODUCT((E203:G203+E204:G204)/2,$B$18:$D$18)*$B$6</f>
        <v/>
      </c>
      <c r="P203" s="4">
        <f>O203*J203</f>
        <v/>
      </c>
      <c r="Q203" s="4">
        <f>SUMPRODUCT((E203:G203+E204:G204)/2,$B$19:$D$19)*$B$6</f>
        <v/>
      </c>
      <c r="R203" s="4">
        <f>Q203*J203</f>
        <v/>
      </c>
      <c r="S203" s="4">
        <f>IF(A203=0,SUMPRODUCT((E203:G203+E204:G204)/2,$B$20:$D$20)*$B$6,0)</f>
        <v/>
      </c>
      <c r="T203" s="4">
        <f>S203*J203</f>
        <v/>
      </c>
      <c r="U203" s="4">
        <f>N203+P203+R203+T203</f>
        <v/>
      </c>
      <c r="V203">
        <f>SUMPRODUCT((E203:G203+E204:G204)/2,$B$24:$D$24)*$B$6</f>
        <v/>
      </c>
      <c r="W203" s="5">
        <f>V203*K203</f>
        <v/>
      </c>
      <c r="X203">
        <f>SUMPRODUCT((E203:G203+E204:G204)/2,$B$25:$D$25)*$B$6</f>
        <v/>
      </c>
      <c r="Y203">
        <f>X203*K203</f>
        <v/>
      </c>
    </row>
    <row r="204">
      <c r="A204" t="n">
        <v>175</v>
      </c>
      <c r="B204">
        <f>A204*$B$6</f>
        <v/>
      </c>
      <c r="C204" s="5">
        <f>EXP(-$B$12*B204)</f>
        <v/>
      </c>
      <c r="D204" s="5">
        <f>EXP(-$B$13*B204)</f>
        <v/>
      </c>
      <c r="E204">
        <f>C204</f>
        <v/>
      </c>
      <c r="F204">
        <f>D204-C204</f>
        <v/>
      </c>
      <c r="G204">
        <f>1-D204</f>
        <v/>
      </c>
      <c r="H204">
        <f>SUM(E204:G204)</f>
        <v/>
      </c>
      <c r="I204">
        <f>IF(AND(MIN(C204:D204)&gt;=0,MAX(C204:D204)&lt;=1,MIN(E204:G204)&gt;=-1E-10,ABS(H204-1)&lt;1E-8,C204&lt;=C203+1E-10,D204&lt;=D203+1E-10),"OK","ERROR")</f>
        <v/>
      </c>
      <c r="J204">
        <f>1/(1+$B$4)^(B204+$B$6/2)</f>
        <v/>
      </c>
      <c r="K204">
        <f>1/(1+$B$5)^(B204+$B$6/2)</f>
        <v/>
      </c>
      <c r="L204" t="inlineStr">
        <is>
          <t>Average endpoints</t>
        </is>
      </c>
      <c r="M204" s="4">
        <f>SUMPRODUCT((E204:G204+E205:G205)/2,$B$17:$D$17)*$B$6</f>
        <v/>
      </c>
      <c r="N204" s="4">
        <f>M204*J204</f>
        <v/>
      </c>
      <c r="O204" s="4">
        <f>SUMPRODUCT((E204:G204+E205:G205)/2,$B$18:$D$18)*$B$6</f>
        <v/>
      </c>
      <c r="P204" s="4">
        <f>O204*J204</f>
        <v/>
      </c>
      <c r="Q204" s="4">
        <f>SUMPRODUCT((E204:G204+E205:G205)/2,$B$19:$D$19)*$B$6</f>
        <v/>
      </c>
      <c r="R204" s="4">
        <f>Q204*J204</f>
        <v/>
      </c>
      <c r="S204" s="4">
        <f>IF(A204=0,SUMPRODUCT((E204:G204+E205:G205)/2,$B$20:$D$20)*$B$6,0)</f>
        <v/>
      </c>
      <c r="T204" s="4">
        <f>S204*J204</f>
        <v/>
      </c>
      <c r="U204" s="4">
        <f>N204+P204+R204+T204</f>
        <v/>
      </c>
      <c r="V204">
        <f>SUMPRODUCT((E204:G204+E205:G205)/2,$B$24:$D$24)*$B$6</f>
        <v/>
      </c>
      <c r="W204" s="5">
        <f>V204*K204</f>
        <v/>
      </c>
      <c r="X204">
        <f>SUMPRODUCT((E204:G204+E205:G205)/2,$B$25:$D$25)*$B$6</f>
        <v/>
      </c>
      <c r="Y204">
        <f>X204*K204</f>
        <v/>
      </c>
    </row>
    <row r="205">
      <c r="A205" t="n">
        <v>176</v>
      </c>
      <c r="B205">
        <f>A205*$B$6</f>
        <v/>
      </c>
      <c r="C205" s="5">
        <f>EXP(-$B$12*B205)</f>
        <v/>
      </c>
      <c r="D205" s="5">
        <f>EXP(-$B$13*B205)</f>
        <v/>
      </c>
      <c r="E205">
        <f>C205</f>
        <v/>
      </c>
      <c r="F205">
        <f>D205-C205</f>
        <v/>
      </c>
      <c r="G205">
        <f>1-D205</f>
        <v/>
      </c>
      <c r="H205">
        <f>SUM(E205:G205)</f>
        <v/>
      </c>
      <c r="I205">
        <f>IF(AND(MIN(C205:D205)&gt;=0,MAX(C205:D205)&lt;=1,MIN(E205:G205)&gt;=-1E-10,ABS(H205-1)&lt;1E-8,C205&lt;=C204+1E-10,D205&lt;=D204+1E-10),"OK","ERROR")</f>
        <v/>
      </c>
      <c r="J205">
        <f>1/(1+$B$4)^(B205+$B$6/2)</f>
        <v/>
      </c>
      <c r="K205">
        <f>1/(1+$B$5)^(B205+$B$6/2)</f>
        <v/>
      </c>
      <c r="L205" t="inlineStr">
        <is>
          <t>Average endpoints</t>
        </is>
      </c>
      <c r="M205" s="4">
        <f>SUMPRODUCT((E205:G205+E206:G206)/2,$B$17:$D$17)*$B$6</f>
        <v/>
      </c>
      <c r="N205" s="4">
        <f>M205*J205</f>
        <v/>
      </c>
      <c r="O205" s="4">
        <f>SUMPRODUCT((E205:G205+E206:G206)/2,$B$18:$D$18)*$B$6</f>
        <v/>
      </c>
      <c r="P205" s="4">
        <f>O205*J205</f>
        <v/>
      </c>
      <c r="Q205" s="4">
        <f>SUMPRODUCT((E205:G205+E206:G206)/2,$B$19:$D$19)*$B$6</f>
        <v/>
      </c>
      <c r="R205" s="4">
        <f>Q205*J205</f>
        <v/>
      </c>
      <c r="S205" s="4">
        <f>IF(A205=0,SUMPRODUCT((E205:G205+E206:G206)/2,$B$20:$D$20)*$B$6,0)</f>
        <v/>
      </c>
      <c r="T205" s="4">
        <f>S205*J205</f>
        <v/>
      </c>
      <c r="U205" s="4">
        <f>N205+P205+R205+T205</f>
        <v/>
      </c>
      <c r="V205">
        <f>SUMPRODUCT((E205:G205+E206:G206)/2,$B$24:$D$24)*$B$6</f>
        <v/>
      </c>
      <c r="W205" s="5">
        <f>V205*K205</f>
        <v/>
      </c>
      <c r="X205">
        <f>SUMPRODUCT((E205:G205+E206:G206)/2,$B$25:$D$25)*$B$6</f>
        <v/>
      </c>
      <c r="Y205">
        <f>X205*K205</f>
        <v/>
      </c>
    </row>
    <row r="206">
      <c r="A206" t="n">
        <v>177</v>
      </c>
      <c r="B206">
        <f>A206*$B$6</f>
        <v/>
      </c>
      <c r="C206" s="5">
        <f>EXP(-$B$12*B206)</f>
        <v/>
      </c>
      <c r="D206" s="5">
        <f>EXP(-$B$13*B206)</f>
        <v/>
      </c>
      <c r="E206">
        <f>C206</f>
        <v/>
      </c>
      <c r="F206">
        <f>D206-C206</f>
        <v/>
      </c>
      <c r="G206">
        <f>1-D206</f>
        <v/>
      </c>
      <c r="H206">
        <f>SUM(E206:G206)</f>
        <v/>
      </c>
      <c r="I206">
        <f>IF(AND(MIN(C206:D206)&gt;=0,MAX(C206:D206)&lt;=1,MIN(E206:G206)&gt;=-1E-10,ABS(H206-1)&lt;1E-8,C206&lt;=C205+1E-10,D206&lt;=D205+1E-10),"OK","ERROR")</f>
        <v/>
      </c>
      <c r="J206">
        <f>1/(1+$B$4)^(B206+$B$6/2)</f>
        <v/>
      </c>
      <c r="K206">
        <f>1/(1+$B$5)^(B206+$B$6/2)</f>
        <v/>
      </c>
      <c r="L206" t="inlineStr">
        <is>
          <t>Average endpoints</t>
        </is>
      </c>
      <c r="M206" s="4">
        <f>SUMPRODUCT((E206:G206+E207:G207)/2,$B$17:$D$17)*$B$6</f>
        <v/>
      </c>
      <c r="N206" s="4">
        <f>M206*J206</f>
        <v/>
      </c>
      <c r="O206" s="4">
        <f>SUMPRODUCT((E206:G206+E207:G207)/2,$B$18:$D$18)*$B$6</f>
        <v/>
      </c>
      <c r="P206" s="4">
        <f>O206*J206</f>
        <v/>
      </c>
      <c r="Q206" s="4">
        <f>SUMPRODUCT((E206:G206+E207:G207)/2,$B$19:$D$19)*$B$6</f>
        <v/>
      </c>
      <c r="R206" s="4">
        <f>Q206*J206</f>
        <v/>
      </c>
      <c r="S206" s="4">
        <f>IF(A206=0,SUMPRODUCT((E206:G206+E207:G207)/2,$B$20:$D$20)*$B$6,0)</f>
        <v/>
      </c>
      <c r="T206" s="4">
        <f>S206*J206</f>
        <v/>
      </c>
      <c r="U206" s="4">
        <f>N206+P206+R206+T206</f>
        <v/>
      </c>
      <c r="V206">
        <f>SUMPRODUCT((E206:G206+E207:G207)/2,$B$24:$D$24)*$B$6</f>
        <v/>
      </c>
      <c r="W206" s="5">
        <f>V206*K206</f>
        <v/>
      </c>
      <c r="X206">
        <f>SUMPRODUCT((E206:G206+E207:G207)/2,$B$25:$D$25)*$B$6</f>
        <v/>
      </c>
      <c r="Y206">
        <f>X206*K206</f>
        <v/>
      </c>
    </row>
    <row r="207">
      <c r="A207" t="n">
        <v>178</v>
      </c>
      <c r="B207">
        <f>A207*$B$6</f>
        <v/>
      </c>
      <c r="C207" s="5">
        <f>EXP(-$B$12*B207)</f>
        <v/>
      </c>
      <c r="D207" s="5">
        <f>EXP(-$B$13*B207)</f>
        <v/>
      </c>
      <c r="E207">
        <f>C207</f>
        <v/>
      </c>
      <c r="F207">
        <f>D207-C207</f>
        <v/>
      </c>
      <c r="G207">
        <f>1-D207</f>
        <v/>
      </c>
      <c r="H207">
        <f>SUM(E207:G207)</f>
        <v/>
      </c>
      <c r="I207">
        <f>IF(AND(MIN(C207:D207)&gt;=0,MAX(C207:D207)&lt;=1,MIN(E207:G207)&gt;=-1E-10,ABS(H207-1)&lt;1E-8,C207&lt;=C206+1E-10,D207&lt;=D206+1E-10),"OK","ERROR")</f>
        <v/>
      </c>
      <c r="J207">
        <f>1/(1+$B$4)^(B207+$B$6/2)</f>
        <v/>
      </c>
      <c r="K207">
        <f>1/(1+$B$5)^(B207+$B$6/2)</f>
        <v/>
      </c>
      <c r="L207" t="inlineStr">
        <is>
          <t>Average endpoints</t>
        </is>
      </c>
      <c r="M207" s="4">
        <f>SUMPRODUCT((E207:G207+E208:G208)/2,$B$17:$D$17)*$B$6</f>
        <v/>
      </c>
      <c r="N207" s="4">
        <f>M207*J207</f>
        <v/>
      </c>
      <c r="O207" s="4">
        <f>SUMPRODUCT((E207:G207+E208:G208)/2,$B$18:$D$18)*$B$6</f>
        <v/>
      </c>
      <c r="P207" s="4">
        <f>O207*J207</f>
        <v/>
      </c>
      <c r="Q207" s="4">
        <f>SUMPRODUCT((E207:G207+E208:G208)/2,$B$19:$D$19)*$B$6</f>
        <v/>
      </c>
      <c r="R207" s="4">
        <f>Q207*J207</f>
        <v/>
      </c>
      <c r="S207" s="4">
        <f>IF(A207=0,SUMPRODUCT((E207:G207+E208:G208)/2,$B$20:$D$20)*$B$6,0)</f>
        <v/>
      </c>
      <c r="T207" s="4">
        <f>S207*J207</f>
        <v/>
      </c>
      <c r="U207" s="4">
        <f>N207+P207+R207+T207</f>
        <v/>
      </c>
      <c r="V207">
        <f>SUMPRODUCT((E207:G207+E208:G208)/2,$B$24:$D$24)*$B$6</f>
        <v/>
      </c>
      <c r="W207" s="5">
        <f>V207*K207</f>
        <v/>
      </c>
      <c r="X207">
        <f>SUMPRODUCT((E207:G207+E208:G208)/2,$B$25:$D$25)*$B$6</f>
        <v/>
      </c>
      <c r="Y207">
        <f>X207*K207</f>
        <v/>
      </c>
    </row>
    <row r="208">
      <c r="A208" t="n">
        <v>179</v>
      </c>
      <c r="B208">
        <f>A208*$B$6</f>
        <v/>
      </c>
      <c r="C208" s="5">
        <f>EXP(-$B$12*B208)</f>
        <v/>
      </c>
      <c r="D208" s="5">
        <f>EXP(-$B$13*B208)</f>
        <v/>
      </c>
      <c r="E208">
        <f>C208</f>
        <v/>
      </c>
      <c r="F208">
        <f>D208-C208</f>
        <v/>
      </c>
      <c r="G208">
        <f>1-D208</f>
        <v/>
      </c>
      <c r="H208">
        <f>SUM(E208:G208)</f>
        <v/>
      </c>
      <c r="I208">
        <f>IF(AND(MIN(C208:D208)&gt;=0,MAX(C208:D208)&lt;=1,MIN(E208:G208)&gt;=-1E-10,ABS(H208-1)&lt;1E-8,C208&lt;=C207+1E-10,D208&lt;=D207+1E-10),"OK","ERROR")</f>
        <v/>
      </c>
      <c r="J208">
        <f>1/(1+$B$4)^(B208+$B$6/2)</f>
        <v/>
      </c>
      <c r="K208">
        <f>1/(1+$B$5)^(B208+$B$6/2)</f>
        <v/>
      </c>
      <c r="L208" t="inlineStr">
        <is>
          <t>Average endpoints</t>
        </is>
      </c>
      <c r="M208" s="4">
        <f>SUMPRODUCT((E208:G208+E209:G209)/2,$B$17:$D$17)*$B$6</f>
        <v/>
      </c>
      <c r="N208" s="4">
        <f>M208*J208</f>
        <v/>
      </c>
      <c r="O208" s="4">
        <f>SUMPRODUCT((E208:G208+E209:G209)/2,$B$18:$D$18)*$B$6</f>
        <v/>
      </c>
      <c r="P208" s="4">
        <f>O208*J208</f>
        <v/>
      </c>
      <c r="Q208" s="4">
        <f>SUMPRODUCT((E208:G208+E209:G209)/2,$B$19:$D$19)*$B$6</f>
        <v/>
      </c>
      <c r="R208" s="4">
        <f>Q208*J208</f>
        <v/>
      </c>
      <c r="S208" s="4">
        <f>IF(A208=0,SUMPRODUCT((E208:G208+E209:G209)/2,$B$20:$D$20)*$B$6,0)</f>
        <v/>
      </c>
      <c r="T208" s="4">
        <f>S208*J208</f>
        <v/>
      </c>
      <c r="U208" s="4">
        <f>N208+P208+R208+T208</f>
        <v/>
      </c>
      <c r="V208">
        <f>SUMPRODUCT((E208:G208+E209:G209)/2,$B$24:$D$24)*$B$6</f>
        <v/>
      </c>
      <c r="W208" s="5">
        <f>V208*K208</f>
        <v/>
      </c>
      <c r="X208">
        <f>SUMPRODUCT((E208:G208+E209:G209)/2,$B$25:$D$25)*$B$6</f>
        <v/>
      </c>
      <c r="Y208">
        <f>X208*K208</f>
        <v/>
      </c>
    </row>
    <row r="209">
      <c r="A209" t="n">
        <v>180</v>
      </c>
      <c r="B209">
        <f>A209*$B$6</f>
        <v/>
      </c>
      <c r="C209" s="5">
        <f>EXP(-$B$12*B209)</f>
        <v/>
      </c>
      <c r="D209" s="5">
        <f>EXP(-$B$13*B209)</f>
        <v/>
      </c>
      <c r="E209">
        <f>C209</f>
        <v/>
      </c>
      <c r="F209">
        <f>D209-C209</f>
        <v/>
      </c>
      <c r="G209">
        <f>1-D209</f>
        <v/>
      </c>
      <c r="H209">
        <f>SUM(E209:G209)</f>
        <v/>
      </c>
      <c r="I209">
        <f>IF(AND(MIN(C209:D209)&gt;=0,MAX(C209:D209)&lt;=1,MIN(E209:G209)&gt;=-1E-10,ABS(H209-1)&lt;1E-8,C209&lt;=C208+1E-10,D209&lt;=D208+1E-10),"OK","ERROR")</f>
        <v/>
      </c>
      <c r="J209">
        <f>1/(1+$B$4)^(B209+$B$6/2)</f>
        <v/>
      </c>
      <c r="K209">
        <f>1/(1+$B$5)^(B209+$B$6/2)</f>
        <v/>
      </c>
      <c r="L209" t="inlineStr">
        <is>
          <t>Average endpoints</t>
        </is>
      </c>
      <c r="M209" s="4">
        <f>SUMPRODUCT((E209:G209+E210:G210)/2,$B$17:$D$17)*$B$6</f>
        <v/>
      </c>
      <c r="N209" s="4">
        <f>M209*J209</f>
        <v/>
      </c>
      <c r="O209" s="4">
        <f>SUMPRODUCT((E209:G209+E210:G210)/2,$B$18:$D$18)*$B$6</f>
        <v/>
      </c>
      <c r="P209" s="4">
        <f>O209*J209</f>
        <v/>
      </c>
      <c r="Q209" s="4">
        <f>SUMPRODUCT((E209:G209+E210:G210)/2,$B$19:$D$19)*$B$6</f>
        <v/>
      </c>
      <c r="R209" s="4">
        <f>Q209*J209</f>
        <v/>
      </c>
      <c r="S209" s="4">
        <f>IF(A209=0,SUMPRODUCT((E209:G209+E210:G210)/2,$B$20:$D$20)*$B$6,0)</f>
        <v/>
      </c>
      <c r="T209" s="4">
        <f>S209*J209</f>
        <v/>
      </c>
      <c r="U209" s="4">
        <f>N209+P209+R209+T209</f>
        <v/>
      </c>
      <c r="V209">
        <f>SUMPRODUCT((E209:G209+E210:G210)/2,$B$24:$D$24)*$B$6</f>
        <v/>
      </c>
      <c r="W209" s="5">
        <f>V209*K209</f>
        <v/>
      </c>
      <c r="X209">
        <f>SUMPRODUCT((E209:G209+E210:G210)/2,$B$25:$D$25)*$B$6</f>
        <v/>
      </c>
      <c r="Y209">
        <f>X209*K209</f>
        <v/>
      </c>
    </row>
    <row r="210">
      <c r="A210" t="n">
        <v>181</v>
      </c>
      <c r="B210">
        <f>A210*$B$6</f>
        <v/>
      </c>
      <c r="C210" s="5">
        <f>EXP(-$B$12*B210)</f>
        <v/>
      </c>
      <c r="D210" s="5">
        <f>EXP(-$B$13*B210)</f>
        <v/>
      </c>
      <c r="E210">
        <f>C210</f>
        <v/>
      </c>
      <c r="F210">
        <f>D210-C210</f>
        <v/>
      </c>
      <c r="G210">
        <f>1-D210</f>
        <v/>
      </c>
      <c r="H210">
        <f>SUM(E210:G210)</f>
        <v/>
      </c>
      <c r="I210">
        <f>IF(AND(MIN(C210:D210)&gt;=0,MAX(C210:D210)&lt;=1,MIN(E210:G210)&gt;=-1E-10,ABS(H210-1)&lt;1E-8,C210&lt;=C209+1E-10,D210&lt;=D209+1E-10),"OK","ERROR")</f>
        <v/>
      </c>
      <c r="J210">
        <f>1/(1+$B$4)^(B210+$B$6/2)</f>
        <v/>
      </c>
      <c r="K210">
        <f>1/(1+$B$5)^(B210+$B$6/2)</f>
        <v/>
      </c>
      <c r="L210" t="inlineStr">
        <is>
          <t>Average endpoints</t>
        </is>
      </c>
      <c r="M210" s="4">
        <f>SUMPRODUCT((E210:G210+E211:G211)/2,$B$17:$D$17)*$B$6</f>
        <v/>
      </c>
      <c r="N210" s="4">
        <f>M210*J210</f>
        <v/>
      </c>
      <c r="O210" s="4">
        <f>SUMPRODUCT((E210:G210+E211:G211)/2,$B$18:$D$18)*$B$6</f>
        <v/>
      </c>
      <c r="P210" s="4">
        <f>O210*J210</f>
        <v/>
      </c>
      <c r="Q210" s="4">
        <f>SUMPRODUCT((E210:G210+E211:G211)/2,$B$19:$D$19)*$B$6</f>
        <v/>
      </c>
      <c r="R210" s="4">
        <f>Q210*J210</f>
        <v/>
      </c>
      <c r="S210" s="4">
        <f>IF(A210=0,SUMPRODUCT((E210:G210+E211:G211)/2,$B$20:$D$20)*$B$6,0)</f>
        <v/>
      </c>
      <c r="T210" s="4">
        <f>S210*J210</f>
        <v/>
      </c>
      <c r="U210" s="4">
        <f>N210+P210+R210+T210</f>
        <v/>
      </c>
      <c r="V210">
        <f>SUMPRODUCT((E210:G210+E211:G211)/2,$B$24:$D$24)*$B$6</f>
        <v/>
      </c>
      <c r="W210" s="5">
        <f>V210*K210</f>
        <v/>
      </c>
      <c r="X210">
        <f>SUMPRODUCT((E210:G210+E211:G211)/2,$B$25:$D$25)*$B$6</f>
        <v/>
      </c>
      <c r="Y210">
        <f>X210*K210</f>
        <v/>
      </c>
    </row>
    <row r="211">
      <c r="A211" t="n">
        <v>182</v>
      </c>
      <c r="B211">
        <f>A211*$B$6</f>
        <v/>
      </c>
      <c r="C211" s="5">
        <f>EXP(-$B$12*B211)</f>
        <v/>
      </c>
      <c r="D211" s="5">
        <f>EXP(-$B$13*B211)</f>
        <v/>
      </c>
      <c r="E211">
        <f>C211</f>
        <v/>
      </c>
      <c r="F211">
        <f>D211-C211</f>
        <v/>
      </c>
      <c r="G211">
        <f>1-D211</f>
        <v/>
      </c>
      <c r="H211">
        <f>SUM(E211:G211)</f>
        <v/>
      </c>
      <c r="I211">
        <f>IF(AND(MIN(C211:D211)&gt;=0,MAX(C211:D211)&lt;=1,MIN(E211:G211)&gt;=-1E-10,ABS(H211-1)&lt;1E-8,C211&lt;=C210+1E-10,D211&lt;=D210+1E-10),"OK","ERROR")</f>
        <v/>
      </c>
      <c r="J211">
        <f>1/(1+$B$4)^(B211+$B$6/2)</f>
        <v/>
      </c>
      <c r="K211">
        <f>1/(1+$B$5)^(B211+$B$6/2)</f>
        <v/>
      </c>
      <c r="L211" t="inlineStr">
        <is>
          <t>Average endpoints</t>
        </is>
      </c>
      <c r="M211" s="4">
        <f>SUMPRODUCT((E211:G211+E212:G212)/2,$B$17:$D$17)*$B$6</f>
        <v/>
      </c>
      <c r="N211" s="4">
        <f>M211*J211</f>
        <v/>
      </c>
      <c r="O211" s="4">
        <f>SUMPRODUCT((E211:G211+E212:G212)/2,$B$18:$D$18)*$B$6</f>
        <v/>
      </c>
      <c r="P211" s="4">
        <f>O211*J211</f>
        <v/>
      </c>
      <c r="Q211" s="4">
        <f>SUMPRODUCT((E211:G211+E212:G212)/2,$B$19:$D$19)*$B$6</f>
        <v/>
      </c>
      <c r="R211" s="4">
        <f>Q211*J211</f>
        <v/>
      </c>
      <c r="S211" s="4">
        <f>IF(A211=0,SUMPRODUCT((E211:G211+E212:G212)/2,$B$20:$D$20)*$B$6,0)</f>
        <v/>
      </c>
      <c r="T211" s="4">
        <f>S211*J211</f>
        <v/>
      </c>
      <c r="U211" s="4">
        <f>N211+P211+R211+T211</f>
        <v/>
      </c>
      <c r="V211">
        <f>SUMPRODUCT((E211:G211+E212:G212)/2,$B$24:$D$24)*$B$6</f>
        <v/>
      </c>
      <c r="W211" s="5">
        <f>V211*K211</f>
        <v/>
      </c>
      <c r="X211">
        <f>SUMPRODUCT((E211:G211+E212:G212)/2,$B$25:$D$25)*$B$6</f>
        <v/>
      </c>
      <c r="Y211">
        <f>X211*K211</f>
        <v/>
      </c>
    </row>
    <row r="212">
      <c r="A212" t="n">
        <v>183</v>
      </c>
      <c r="B212">
        <f>A212*$B$6</f>
        <v/>
      </c>
      <c r="C212" s="5">
        <f>EXP(-$B$12*B212)</f>
        <v/>
      </c>
      <c r="D212" s="5">
        <f>EXP(-$B$13*B212)</f>
        <v/>
      </c>
      <c r="E212">
        <f>C212</f>
        <v/>
      </c>
      <c r="F212">
        <f>D212-C212</f>
        <v/>
      </c>
      <c r="G212">
        <f>1-D212</f>
        <v/>
      </c>
      <c r="H212">
        <f>SUM(E212:G212)</f>
        <v/>
      </c>
      <c r="I212">
        <f>IF(AND(MIN(C212:D212)&gt;=0,MAX(C212:D212)&lt;=1,MIN(E212:G212)&gt;=-1E-10,ABS(H212-1)&lt;1E-8,C212&lt;=C211+1E-10,D212&lt;=D211+1E-10),"OK","ERROR")</f>
        <v/>
      </c>
      <c r="J212">
        <f>1/(1+$B$4)^(B212+$B$6/2)</f>
        <v/>
      </c>
      <c r="K212">
        <f>1/(1+$B$5)^(B212+$B$6/2)</f>
        <v/>
      </c>
      <c r="L212" t="inlineStr">
        <is>
          <t>Average endpoints</t>
        </is>
      </c>
      <c r="M212" s="4">
        <f>SUMPRODUCT((E212:G212+E213:G213)/2,$B$17:$D$17)*$B$6</f>
        <v/>
      </c>
      <c r="N212" s="4">
        <f>M212*J212</f>
        <v/>
      </c>
      <c r="O212" s="4">
        <f>SUMPRODUCT((E212:G212+E213:G213)/2,$B$18:$D$18)*$B$6</f>
        <v/>
      </c>
      <c r="P212" s="4">
        <f>O212*J212</f>
        <v/>
      </c>
      <c r="Q212" s="4">
        <f>SUMPRODUCT((E212:G212+E213:G213)/2,$B$19:$D$19)*$B$6</f>
        <v/>
      </c>
      <c r="R212" s="4">
        <f>Q212*J212</f>
        <v/>
      </c>
      <c r="S212" s="4">
        <f>IF(A212=0,SUMPRODUCT((E212:G212+E213:G213)/2,$B$20:$D$20)*$B$6,0)</f>
        <v/>
      </c>
      <c r="T212" s="4">
        <f>S212*J212</f>
        <v/>
      </c>
      <c r="U212" s="4">
        <f>N212+P212+R212+T212</f>
        <v/>
      </c>
      <c r="V212">
        <f>SUMPRODUCT((E212:G212+E213:G213)/2,$B$24:$D$24)*$B$6</f>
        <v/>
      </c>
      <c r="W212" s="5">
        <f>V212*K212</f>
        <v/>
      </c>
      <c r="X212">
        <f>SUMPRODUCT((E212:G212+E213:G213)/2,$B$25:$D$25)*$B$6</f>
        <v/>
      </c>
      <c r="Y212">
        <f>X212*K212</f>
        <v/>
      </c>
    </row>
    <row r="213">
      <c r="A213" t="n">
        <v>184</v>
      </c>
      <c r="B213">
        <f>A213*$B$6</f>
        <v/>
      </c>
      <c r="C213" s="5">
        <f>EXP(-$B$12*B213)</f>
        <v/>
      </c>
      <c r="D213" s="5">
        <f>EXP(-$B$13*B213)</f>
        <v/>
      </c>
      <c r="E213">
        <f>C213</f>
        <v/>
      </c>
      <c r="F213">
        <f>D213-C213</f>
        <v/>
      </c>
      <c r="G213">
        <f>1-D213</f>
        <v/>
      </c>
      <c r="H213">
        <f>SUM(E213:G213)</f>
        <v/>
      </c>
      <c r="I213">
        <f>IF(AND(MIN(C213:D213)&gt;=0,MAX(C213:D213)&lt;=1,MIN(E213:G213)&gt;=-1E-10,ABS(H213-1)&lt;1E-8,C213&lt;=C212+1E-10,D213&lt;=D212+1E-10),"OK","ERROR")</f>
        <v/>
      </c>
      <c r="J213">
        <f>1/(1+$B$4)^(B213+$B$6/2)</f>
        <v/>
      </c>
      <c r="K213">
        <f>1/(1+$B$5)^(B213+$B$6/2)</f>
        <v/>
      </c>
      <c r="L213" t="inlineStr">
        <is>
          <t>Average endpoints</t>
        </is>
      </c>
      <c r="M213" s="4">
        <f>SUMPRODUCT((E213:G213+E214:G214)/2,$B$17:$D$17)*$B$6</f>
        <v/>
      </c>
      <c r="N213" s="4">
        <f>M213*J213</f>
        <v/>
      </c>
      <c r="O213" s="4">
        <f>SUMPRODUCT((E213:G213+E214:G214)/2,$B$18:$D$18)*$B$6</f>
        <v/>
      </c>
      <c r="P213" s="4">
        <f>O213*J213</f>
        <v/>
      </c>
      <c r="Q213" s="4">
        <f>SUMPRODUCT((E213:G213+E214:G214)/2,$B$19:$D$19)*$B$6</f>
        <v/>
      </c>
      <c r="R213" s="4">
        <f>Q213*J213</f>
        <v/>
      </c>
      <c r="S213" s="4">
        <f>IF(A213=0,SUMPRODUCT((E213:G213+E214:G214)/2,$B$20:$D$20)*$B$6,0)</f>
        <v/>
      </c>
      <c r="T213" s="4">
        <f>S213*J213</f>
        <v/>
      </c>
      <c r="U213" s="4">
        <f>N213+P213+R213+T213</f>
        <v/>
      </c>
      <c r="V213">
        <f>SUMPRODUCT((E213:G213+E214:G214)/2,$B$24:$D$24)*$B$6</f>
        <v/>
      </c>
      <c r="W213" s="5">
        <f>V213*K213</f>
        <v/>
      </c>
      <c r="X213">
        <f>SUMPRODUCT((E213:G213+E214:G214)/2,$B$25:$D$25)*$B$6</f>
        <v/>
      </c>
      <c r="Y213">
        <f>X213*K213</f>
        <v/>
      </c>
    </row>
    <row r="214">
      <c r="A214" t="n">
        <v>185</v>
      </c>
      <c r="B214">
        <f>A214*$B$6</f>
        <v/>
      </c>
      <c r="C214" s="5">
        <f>EXP(-$B$12*B214)</f>
        <v/>
      </c>
      <c r="D214" s="5">
        <f>EXP(-$B$13*B214)</f>
        <v/>
      </c>
      <c r="E214">
        <f>C214</f>
        <v/>
      </c>
      <c r="F214">
        <f>D214-C214</f>
        <v/>
      </c>
      <c r="G214">
        <f>1-D214</f>
        <v/>
      </c>
      <c r="H214">
        <f>SUM(E214:G214)</f>
        <v/>
      </c>
      <c r="I214">
        <f>IF(AND(MIN(C214:D214)&gt;=0,MAX(C214:D214)&lt;=1,MIN(E214:G214)&gt;=-1E-10,ABS(H214-1)&lt;1E-8,C214&lt;=C213+1E-10,D214&lt;=D213+1E-10),"OK","ERROR")</f>
        <v/>
      </c>
      <c r="J214">
        <f>1/(1+$B$4)^(B214+$B$6/2)</f>
        <v/>
      </c>
      <c r="K214">
        <f>1/(1+$B$5)^(B214+$B$6/2)</f>
        <v/>
      </c>
      <c r="L214" t="inlineStr">
        <is>
          <t>Average endpoints</t>
        </is>
      </c>
      <c r="M214" s="4">
        <f>SUMPRODUCT((E214:G214+E215:G215)/2,$B$17:$D$17)*$B$6</f>
        <v/>
      </c>
      <c r="N214" s="4">
        <f>M214*J214</f>
        <v/>
      </c>
      <c r="O214" s="4">
        <f>SUMPRODUCT((E214:G214+E215:G215)/2,$B$18:$D$18)*$B$6</f>
        <v/>
      </c>
      <c r="P214" s="4">
        <f>O214*J214</f>
        <v/>
      </c>
      <c r="Q214" s="4">
        <f>SUMPRODUCT((E214:G214+E215:G215)/2,$B$19:$D$19)*$B$6</f>
        <v/>
      </c>
      <c r="R214" s="4">
        <f>Q214*J214</f>
        <v/>
      </c>
      <c r="S214" s="4">
        <f>IF(A214=0,SUMPRODUCT((E214:G214+E215:G215)/2,$B$20:$D$20)*$B$6,0)</f>
        <v/>
      </c>
      <c r="T214" s="4">
        <f>S214*J214</f>
        <v/>
      </c>
      <c r="U214" s="4">
        <f>N214+P214+R214+T214</f>
        <v/>
      </c>
      <c r="V214">
        <f>SUMPRODUCT((E214:G214+E215:G215)/2,$B$24:$D$24)*$B$6</f>
        <v/>
      </c>
      <c r="W214" s="5">
        <f>V214*K214</f>
        <v/>
      </c>
      <c r="X214">
        <f>SUMPRODUCT((E214:G214+E215:G215)/2,$B$25:$D$25)*$B$6</f>
        <v/>
      </c>
      <c r="Y214">
        <f>X214*K214</f>
        <v/>
      </c>
    </row>
    <row r="215">
      <c r="A215" t="n">
        <v>186</v>
      </c>
      <c r="B215">
        <f>A215*$B$6</f>
        <v/>
      </c>
      <c r="C215" s="5">
        <f>EXP(-$B$12*B215)</f>
        <v/>
      </c>
      <c r="D215" s="5">
        <f>EXP(-$B$13*B215)</f>
        <v/>
      </c>
      <c r="E215">
        <f>C215</f>
        <v/>
      </c>
      <c r="F215">
        <f>D215-C215</f>
        <v/>
      </c>
      <c r="G215">
        <f>1-D215</f>
        <v/>
      </c>
      <c r="H215">
        <f>SUM(E215:G215)</f>
        <v/>
      </c>
      <c r="I215">
        <f>IF(AND(MIN(C215:D215)&gt;=0,MAX(C215:D215)&lt;=1,MIN(E215:G215)&gt;=-1E-10,ABS(H215-1)&lt;1E-8,C215&lt;=C214+1E-10,D215&lt;=D214+1E-10),"OK","ERROR")</f>
        <v/>
      </c>
      <c r="J215">
        <f>1/(1+$B$4)^(B215+$B$6/2)</f>
        <v/>
      </c>
      <c r="K215">
        <f>1/(1+$B$5)^(B215+$B$6/2)</f>
        <v/>
      </c>
      <c r="L215" t="inlineStr">
        <is>
          <t>Average endpoints</t>
        </is>
      </c>
      <c r="M215" s="4">
        <f>SUMPRODUCT((E215:G215+E216:G216)/2,$B$17:$D$17)*$B$6</f>
        <v/>
      </c>
      <c r="N215" s="4">
        <f>M215*J215</f>
        <v/>
      </c>
      <c r="O215" s="4">
        <f>SUMPRODUCT((E215:G215+E216:G216)/2,$B$18:$D$18)*$B$6</f>
        <v/>
      </c>
      <c r="P215" s="4">
        <f>O215*J215</f>
        <v/>
      </c>
      <c r="Q215" s="4">
        <f>SUMPRODUCT((E215:G215+E216:G216)/2,$B$19:$D$19)*$B$6</f>
        <v/>
      </c>
      <c r="R215" s="4">
        <f>Q215*J215</f>
        <v/>
      </c>
      <c r="S215" s="4">
        <f>IF(A215=0,SUMPRODUCT((E215:G215+E216:G216)/2,$B$20:$D$20)*$B$6,0)</f>
        <v/>
      </c>
      <c r="T215" s="4">
        <f>S215*J215</f>
        <v/>
      </c>
      <c r="U215" s="4">
        <f>N215+P215+R215+T215</f>
        <v/>
      </c>
      <c r="V215">
        <f>SUMPRODUCT((E215:G215+E216:G216)/2,$B$24:$D$24)*$B$6</f>
        <v/>
      </c>
      <c r="W215" s="5">
        <f>V215*K215</f>
        <v/>
      </c>
      <c r="X215">
        <f>SUMPRODUCT((E215:G215+E216:G216)/2,$B$25:$D$25)*$B$6</f>
        <v/>
      </c>
      <c r="Y215">
        <f>X215*K215</f>
        <v/>
      </c>
    </row>
    <row r="216">
      <c r="A216" t="n">
        <v>187</v>
      </c>
      <c r="B216">
        <f>A216*$B$6</f>
        <v/>
      </c>
      <c r="C216" s="5">
        <f>EXP(-$B$12*B216)</f>
        <v/>
      </c>
      <c r="D216" s="5">
        <f>EXP(-$B$13*B216)</f>
        <v/>
      </c>
      <c r="E216">
        <f>C216</f>
        <v/>
      </c>
      <c r="F216">
        <f>D216-C216</f>
        <v/>
      </c>
      <c r="G216">
        <f>1-D216</f>
        <v/>
      </c>
      <c r="H216">
        <f>SUM(E216:G216)</f>
        <v/>
      </c>
      <c r="I216">
        <f>IF(AND(MIN(C216:D216)&gt;=0,MAX(C216:D216)&lt;=1,MIN(E216:G216)&gt;=-1E-10,ABS(H216-1)&lt;1E-8,C216&lt;=C215+1E-10,D216&lt;=D215+1E-10),"OK","ERROR")</f>
        <v/>
      </c>
      <c r="J216">
        <f>1/(1+$B$4)^(B216+$B$6/2)</f>
        <v/>
      </c>
      <c r="K216">
        <f>1/(1+$B$5)^(B216+$B$6/2)</f>
        <v/>
      </c>
      <c r="L216" t="inlineStr">
        <is>
          <t>Average endpoints</t>
        </is>
      </c>
      <c r="M216" s="4">
        <f>SUMPRODUCT((E216:G216+E217:G217)/2,$B$17:$D$17)*$B$6</f>
        <v/>
      </c>
      <c r="N216" s="4">
        <f>M216*J216</f>
        <v/>
      </c>
      <c r="O216" s="4">
        <f>SUMPRODUCT((E216:G216+E217:G217)/2,$B$18:$D$18)*$B$6</f>
        <v/>
      </c>
      <c r="P216" s="4">
        <f>O216*J216</f>
        <v/>
      </c>
      <c r="Q216" s="4">
        <f>SUMPRODUCT((E216:G216+E217:G217)/2,$B$19:$D$19)*$B$6</f>
        <v/>
      </c>
      <c r="R216" s="4">
        <f>Q216*J216</f>
        <v/>
      </c>
      <c r="S216" s="4">
        <f>IF(A216=0,SUMPRODUCT((E216:G216+E217:G217)/2,$B$20:$D$20)*$B$6,0)</f>
        <v/>
      </c>
      <c r="T216" s="4">
        <f>S216*J216</f>
        <v/>
      </c>
      <c r="U216" s="4">
        <f>N216+P216+R216+T216</f>
        <v/>
      </c>
      <c r="V216">
        <f>SUMPRODUCT((E216:G216+E217:G217)/2,$B$24:$D$24)*$B$6</f>
        <v/>
      </c>
      <c r="W216" s="5">
        <f>V216*K216</f>
        <v/>
      </c>
      <c r="X216">
        <f>SUMPRODUCT((E216:G216+E217:G217)/2,$B$25:$D$25)*$B$6</f>
        <v/>
      </c>
      <c r="Y216">
        <f>X216*K216</f>
        <v/>
      </c>
    </row>
    <row r="217">
      <c r="A217" t="n">
        <v>188</v>
      </c>
      <c r="B217">
        <f>A217*$B$6</f>
        <v/>
      </c>
      <c r="C217" s="5">
        <f>EXP(-$B$12*B217)</f>
        <v/>
      </c>
      <c r="D217" s="5">
        <f>EXP(-$B$13*B217)</f>
        <v/>
      </c>
      <c r="E217">
        <f>C217</f>
        <v/>
      </c>
      <c r="F217">
        <f>D217-C217</f>
        <v/>
      </c>
      <c r="G217">
        <f>1-D217</f>
        <v/>
      </c>
      <c r="H217">
        <f>SUM(E217:G217)</f>
        <v/>
      </c>
      <c r="I217">
        <f>IF(AND(MIN(C217:D217)&gt;=0,MAX(C217:D217)&lt;=1,MIN(E217:G217)&gt;=-1E-10,ABS(H217-1)&lt;1E-8,C217&lt;=C216+1E-10,D217&lt;=D216+1E-10),"OK","ERROR")</f>
        <v/>
      </c>
      <c r="J217">
        <f>1/(1+$B$4)^(B217+$B$6/2)</f>
        <v/>
      </c>
      <c r="K217">
        <f>1/(1+$B$5)^(B217+$B$6/2)</f>
        <v/>
      </c>
      <c r="L217" t="inlineStr">
        <is>
          <t>Average endpoints</t>
        </is>
      </c>
      <c r="M217" s="4">
        <f>SUMPRODUCT((E217:G217+E218:G218)/2,$B$17:$D$17)*$B$6</f>
        <v/>
      </c>
      <c r="N217" s="4">
        <f>M217*J217</f>
        <v/>
      </c>
      <c r="O217" s="4">
        <f>SUMPRODUCT((E217:G217+E218:G218)/2,$B$18:$D$18)*$B$6</f>
        <v/>
      </c>
      <c r="P217" s="4">
        <f>O217*J217</f>
        <v/>
      </c>
      <c r="Q217" s="4">
        <f>SUMPRODUCT((E217:G217+E218:G218)/2,$B$19:$D$19)*$B$6</f>
        <v/>
      </c>
      <c r="R217" s="4">
        <f>Q217*J217</f>
        <v/>
      </c>
      <c r="S217" s="4">
        <f>IF(A217=0,SUMPRODUCT((E217:G217+E218:G218)/2,$B$20:$D$20)*$B$6,0)</f>
        <v/>
      </c>
      <c r="T217" s="4">
        <f>S217*J217</f>
        <v/>
      </c>
      <c r="U217" s="4">
        <f>N217+P217+R217+T217</f>
        <v/>
      </c>
      <c r="V217">
        <f>SUMPRODUCT((E217:G217+E218:G218)/2,$B$24:$D$24)*$B$6</f>
        <v/>
      </c>
      <c r="W217" s="5">
        <f>V217*K217</f>
        <v/>
      </c>
      <c r="X217">
        <f>SUMPRODUCT((E217:G217+E218:G218)/2,$B$25:$D$25)*$B$6</f>
        <v/>
      </c>
      <c r="Y217">
        <f>X217*K217</f>
        <v/>
      </c>
    </row>
    <row r="218">
      <c r="A218" t="n">
        <v>189</v>
      </c>
      <c r="B218">
        <f>A218*$B$6</f>
        <v/>
      </c>
      <c r="C218" s="5">
        <f>EXP(-$B$12*B218)</f>
        <v/>
      </c>
      <c r="D218" s="5">
        <f>EXP(-$B$13*B218)</f>
        <v/>
      </c>
      <c r="E218">
        <f>C218</f>
        <v/>
      </c>
      <c r="F218">
        <f>D218-C218</f>
        <v/>
      </c>
      <c r="G218">
        <f>1-D218</f>
        <v/>
      </c>
      <c r="H218">
        <f>SUM(E218:G218)</f>
        <v/>
      </c>
      <c r="I218">
        <f>IF(AND(MIN(C218:D218)&gt;=0,MAX(C218:D218)&lt;=1,MIN(E218:G218)&gt;=-1E-10,ABS(H218-1)&lt;1E-8,C218&lt;=C217+1E-10,D218&lt;=D217+1E-10),"OK","ERROR")</f>
        <v/>
      </c>
      <c r="J218">
        <f>1/(1+$B$4)^(B218+$B$6/2)</f>
        <v/>
      </c>
      <c r="K218">
        <f>1/(1+$B$5)^(B218+$B$6/2)</f>
        <v/>
      </c>
      <c r="L218" t="inlineStr">
        <is>
          <t>Average endpoints</t>
        </is>
      </c>
      <c r="M218" s="4">
        <f>SUMPRODUCT((E218:G218+E219:G219)/2,$B$17:$D$17)*$B$6</f>
        <v/>
      </c>
      <c r="N218" s="4">
        <f>M218*J218</f>
        <v/>
      </c>
      <c r="O218" s="4">
        <f>SUMPRODUCT((E218:G218+E219:G219)/2,$B$18:$D$18)*$B$6</f>
        <v/>
      </c>
      <c r="P218" s="4">
        <f>O218*J218</f>
        <v/>
      </c>
      <c r="Q218" s="4">
        <f>SUMPRODUCT((E218:G218+E219:G219)/2,$B$19:$D$19)*$B$6</f>
        <v/>
      </c>
      <c r="R218" s="4">
        <f>Q218*J218</f>
        <v/>
      </c>
      <c r="S218" s="4">
        <f>IF(A218=0,SUMPRODUCT((E218:G218+E219:G219)/2,$B$20:$D$20)*$B$6,0)</f>
        <v/>
      </c>
      <c r="T218" s="4">
        <f>S218*J218</f>
        <v/>
      </c>
      <c r="U218" s="4">
        <f>N218+P218+R218+T218</f>
        <v/>
      </c>
      <c r="V218">
        <f>SUMPRODUCT((E218:G218+E219:G219)/2,$B$24:$D$24)*$B$6</f>
        <v/>
      </c>
      <c r="W218" s="5">
        <f>V218*K218</f>
        <v/>
      </c>
      <c r="X218">
        <f>SUMPRODUCT((E218:G218+E219:G219)/2,$B$25:$D$25)*$B$6</f>
        <v/>
      </c>
      <c r="Y218">
        <f>X218*K218</f>
        <v/>
      </c>
    </row>
    <row r="219">
      <c r="A219" t="n">
        <v>190</v>
      </c>
      <c r="B219">
        <f>A219*$B$6</f>
        <v/>
      </c>
      <c r="C219" s="5">
        <f>EXP(-$B$12*B219)</f>
        <v/>
      </c>
      <c r="D219" s="5">
        <f>EXP(-$B$13*B219)</f>
        <v/>
      </c>
      <c r="E219">
        <f>C219</f>
        <v/>
      </c>
      <c r="F219">
        <f>D219-C219</f>
        <v/>
      </c>
      <c r="G219">
        <f>1-D219</f>
        <v/>
      </c>
      <c r="H219">
        <f>SUM(E219:G219)</f>
        <v/>
      </c>
      <c r="I219">
        <f>IF(AND(MIN(C219:D219)&gt;=0,MAX(C219:D219)&lt;=1,MIN(E219:G219)&gt;=-1E-10,ABS(H219-1)&lt;1E-8,C219&lt;=C218+1E-10,D219&lt;=D218+1E-10),"OK","ERROR")</f>
        <v/>
      </c>
      <c r="J219">
        <f>1/(1+$B$4)^(B219+$B$6/2)</f>
        <v/>
      </c>
      <c r="K219">
        <f>1/(1+$B$5)^(B219+$B$6/2)</f>
        <v/>
      </c>
      <c r="L219" t="inlineStr">
        <is>
          <t>Average endpoints</t>
        </is>
      </c>
      <c r="M219" s="4">
        <f>SUMPRODUCT((E219:G219+E220:G220)/2,$B$17:$D$17)*$B$6</f>
        <v/>
      </c>
      <c r="N219" s="4">
        <f>M219*J219</f>
        <v/>
      </c>
      <c r="O219" s="4">
        <f>SUMPRODUCT((E219:G219+E220:G220)/2,$B$18:$D$18)*$B$6</f>
        <v/>
      </c>
      <c r="P219" s="4">
        <f>O219*J219</f>
        <v/>
      </c>
      <c r="Q219" s="4">
        <f>SUMPRODUCT((E219:G219+E220:G220)/2,$B$19:$D$19)*$B$6</f>
        <v/>
      </c>
      <c r="R219" s="4">
        <f>Q219*J219</f>
        <v/>
      </c>
      <c r="S219" s="4">
        <f>IF(A219=0,SUMPRODUCT((E219:G219+E220:G220)/2,$B$20:$D$20)*$B$6,0)</f>
        <v/>
      </c>
      <c r="T219" s="4">
        <f>S219*J219</f>
        <v/>
      </c>
      <c r="U219" s="4">
        <f>N219+P219+R219+T219</f>
        <v/>
      </c>
      <c r="V219">
        <f>SUMPRODUCT((E219:G219+E220:G220)/2,$B$24:$D$24)*$B$6</f>
        <v/>
      </c>
      <c r="W219" s="5">
        <f>V219*K219</f>
        <v/>
      </c>
      <c r="X219">
        <f>SUMPRODUCT((E219:G219+E220:G220)/2,$B$25:$D$25)*$B$6</f>
        <v/>
      </c>
      <c r="Y219">
        <f>X219*K219</f>
        <v/>
      </c>
    </row>
    <row r="220">
      <c r="A220" t="n">
        <v>191</v>
      </c>
      <c r="B220">
        <f>A220*$B$6</f>
        <v/>
      </c>
      <c r="C220" s="5">
        <f>EXP(-$B$12*B220)</f>
        <v/>
      </c>
      <c r="D220" s="5">
        <f>EXP(-$B$13*B220)</f>
        <v/>
      </c>
      <c r="E220">
        <f>C220</f>
        <v/>
      </c>
      <c r="F220">
        <f>D220-C220</f>
        <v/>
      </c>
      <c r="G220">
        <f>1-D220</f>
        <v/>
      </c>
      <c r="H220">
        <f>SUM(E220:G220)</f>
        <v/>
      </c>
      <c r="I220">
        <f>IF(AND(MIN(C220:D220)&gt;=0,MAX(C220:D220)&lt;=1,MIN(E220:G220)&gt;=-1E-10,ABS(H220-1)&lt;1E-8,C220&lt;=C219+1E-10,D220&lt;=D219+1E-10),"OK","ERROR")</f>
        <v/>
      </c>
      <c r="J220">
        <f>1/(1+$B$4)^(B220+$B$6/2)</f>
        <v/>
      </c>
      <c r="K220">
        <f>1/(1+$B$5)^(B220+$B$6/2)</f>
        <v/>
      </c>
      <c r="L220" t="inlineStr">
        <is>
          <t>Average endpoints</t>
        </is>
      </c>
      <c r="M220" s="4">
        <f>SUMPRODUCT((E220:G220+E221:G221)/2,$B$17:$D$17)*$B$6</f>
        <v/>
      </c>
      <c r="N220" s="4">
        <f>M220*J220</f>
        <v/>
      </c>
      <c r="O220" s="4">
        <f>SUMPRODUCT((E220:G220+E221:G221)/2,$B$18:$D$18)*$B$6</f>
        <v/>
      </c>
      <c r="P220" s="4">
        <f>O220*J220</f>
        <v/>
      </c>
      <c r="Q220" s="4">
        <f>SUMPRODUCT((E220:G220+E221:G221)/2,$B$19:$D$19)*$B$6</f>
        <v/>
      </c>
      <c r="R220" s="4">
        <f>Q220*J220</f>
        <v/>
      </c>
      <c r="S220" s="4">
        <f>IF(A220=0,SUMPRODUCT((E220:G220+E221:G221)/2,$B$20:$D$20)*$B$6,0)</f>
        <v/>
      </c>
      <c r="T220" s="4">
        <f>S220*J220</f>
        <v/>
      </c>
      <c r="U220" s="4">
        <f>N220+P220+R220+T220</f>
        <v/>
      </c>
      <c r="V220">
        <f>SUMPRODUCT((E220:G220+E221:G221)/2,$B$24:$D$24)*$B$6</f>
        <v/>
      </c>
      <c r="W220" s="5">
        <f>V220*K220</f>
        <v/>
      </c>
      <c r="X220">
        <f>SUMPRODUCT((E220:G220+E221:G221)/2,$B$25:$D$25)*$B$6</f>
        <v/>
      </c>
      <c r="Y220">
        <f>X220*K220</f>
        <v/>
      </c>
    </row>
    <row r="221">
      <c r="A221" t="n">
        <v>192</v>
      </c>
      <c r="B221">
        <f>A221*$B$6</f>
        <v/>
      </c>
      <c r="C221" s="5">
        <f>EXP(-$B$12*B221)</f>
        <v/>
      </c>
      <c r="D221" s="5">
        <f>EXP(-$B$13*B221)</f>
        <v/>
      </c>
      <c r="E221">
        <f>C221</f>
        <v/>
      </c>
      <c r="F221">
        <f>D221-C221</f>
        <v/>
      </c>
      <c r="G221">
        <f>1-D221</f>
        <v/>
      </c>
      <c r="H221">
        <f>SUM(E221:G221)</f>
        <v/>
      </c>
      <c r="I221">
        <f>IF(AND(MIN(C221:D221)&gt;=0,MAX(C221:D221)&lt;=1,MIN(E221:G221)&gt;=-1E-10,ABS(H221-1)&lt;1E-8,C221&lt;=C220+1E-10,D221&lt;=D220+1E-10),"OK","ERROR")</f>
        <v/>
      </c>
      <c r="J221">
        <f>1/(1+$B$4)^(B221+$B$6/2)</f>
        <v/>
      </c>
      <c r="K221">
        <f>1/(1+$B$5)^(B221+$B$6/2)</f>
        <v/>
      </c>
      <c r="L221" t="inlineStr">
        <is>
          <t>Average endpoints</t>
        </is>
      </c>
      <c r="M221" s="4">
        <f>SUMPRODUCT((E221:G221+E222:G222)/2,$B$17:$D$17)*$B$6</f>
        <v/>
      </c>
      <c r="N221" s="4">
        <f>M221*J221</f>
        <v/>
      </c>
      <c r="O221" s="4">
        <f>SUMPRODUCT((E221:G221+E222:G222)/2,$B$18:$D$18)*$B$6</f>
        <v/>
      </c>
      <c r="P221" s="4">
        <f>O221*J221</f>
        <v/>
      </c>
      <c r="Q221" s="4">
        <f>SUMPRODUCT((E221:G221+E222:G222)/2,$B$19:$D$19)*$B$6</f>
        <v/>
      </c>
      <c r="R221" s="4">
        <f>Q221*J221</f>
        <v/>
      </c>
      <c r="S221" s="4">
        <f>IF(A221=0,SUMPRODUCT((E221:G221+E222:G222)/2,$B$20:$D$20)*$B$6,0)</f>
        <v/>
      </c>
      <c r="T221" s="4">
        <f>S221*J221</f>
        <v/>
      </c>
      <c r="U221" s="4">
        <f>N221+P221+R221+T221</f>
        <v/>
      </c>
      <c r="V221">
        <f>SUMPRODUCT((E221:G221+E222:G222)/2,$B$24:$D$24)*$B$6</f>
        <v/>
      </c>
      <c r="W221" s="5">
        <f>V221*K221</f>
        <v/>
      </c>
      <c r="X221">
        <f>SUMPRODUCT((E221:G221+E222:G222)/2,$B$25:$D$25)*$B$6</f>
        <v/>
      </c>
      <c r="Y221">
        <f>X221*K221</f>
        <v/>
      </c>
    </row>
    <row r="222">
      <c r="A222" t="n">
        <v>193</v>
      </c>
      <c r="B222">
        <f>A222*$B$6</f>
        <v/>
      </c>
      <c r="C222" s="5">
        <f>EXP(-$B$12*B222)</f>
        <v/>
      </c>
      <c r="D222" s="5">
        <f>EXP(-$B$13*B222)</f>
        <v/>
      </c>
      <c r="E222">
        <f>C222</f>
        <v/>
      </c>
      <c r="F222">
        <f>D222-C222</f>
        <v/>
      </c>
      <c r="G222">
        <f>1-D222</f>
        <v/>
      </c>
      <c r="H222">
        <f>SUM(E222:G222)</f>
        <v/>
      </c>
      <c r="I222">
        <f>IF(AND(MIN(C222:D222)&gt;=0,MAX(C222:D222)&lt;=1,MIN(E222:G222)&gt;=-1E-10,ABS(H222-1)&lt;1E-8,C222&lt;=C221+1E-10,D222&lt;=D221+1E-10),"OK","ERROR")</f>
        <v/>
      </c>
      <c r="J222">
        <f>1/(1+$B$4)^(B222+$B$6/2)</f>
        <v/>
      </c>
      <c r="K222">
        <f>1/(1+$B$5)^(B222+$B$6/2)</f>
        <v/>
      </c>
      <c r="L222" t="inlineStr">
        <is>
          <t>Average endpoints</t>
        </is>
      </c>
      <c r="M222" s="4">
        <f>SUMPRODUCT((E222:G222+E223:G223)/2,$B$17:$D$17)*$B$6</f>
        <v/>
      </c>
      <c r="N222" s="4">
        <f>M222*J222</f>
        <v/>
      </c>
      <c r="O222" s="4">
        <f>SUMPRODUCT((E222:G222+E223:G223)/2,$B$18:$D$18)*$B$6</f>
        <v/>
      </c>
      <c r="P222" s="4">
        <f>O222*J222</f>
        <v/>
      </c>
      <c r="Q222" s="4">
        <f>SUMPRODUCT((E222:G222+E223:G223)/2,$B$19:$D$19)*$B$6</f>
        <v/>
      </c>
      <c r="R222" s="4">
        <f>Q222*J222</f>
        <v/>
      </c>
      <c r="S222" s="4">
        <f>IF(A222=0,SUMPRODUCT((E222:G222+E223:G223)/2,$B$20:$D$20)*$B$6,0)</f>
        <v/>
      </c>
      <c r="T222" s="4">
        <f>S222*J222</f>
        <v/>
      </c>
      <c r="U222" s="4">
        <f>N222+P222+R222+T222</f>
        <v/>
      </c>
      <c r="V222">
        <f>SUMPRODUCT((E222:G222+E223:G223)/2,$B$24:$D$24)*$B$6</f>
        <v/>
      </c>
      <c r="W222" s="5">
        <f>V222*K222</f>
        <v/>
      </c>
      <c r="X222">
        <f>SUMPRODUCT((E222:G222+E223:G223)/2,$B$25:$D$25)*$B$6</f>
        <v/>
      </c>
      <c r="Y222">
        <f>X222*K222</f>
        <v/>
      </c>
    </row>
    <row r="223">
      <c r="A223" t="n">
        <v>194</v>
      </c>
      <c r="B223">
        <f>A223*$B$6</f>
        <v/>
      </c>
      <c r="C223" s="5">
        <f>EXP(-$B$12*B223)</f>
        <v/>
      </c>
      <c r="D223" s="5">
        <f>EXP(-$B$13*B223)</f>
        <v/>
      </c>
      <c r="E223">
        <f>C223</f>
        <v/>
      </c>
      <c r="F223">
        <f>D223-C223</f>
        <v/>
      </c>
      <c r="G223">
        <f>1-D223</f>
        <v/>
      </c>
      <c r="H223">
        <f>SUM(E223:G223)</f>
        <v/>
      </c>
      <c r="I223">
        <f>IF(AND(MIN(C223:D223)&gt;=0,MAX(C223:D223)&lt;=1,MIN(E223:G223)&gt;=-1E-10,ABS(H223-1)&lt;1E-8,C223&lt;=C222+1E-10,D223&lt;=D222+1E-10),"OK","ERROR")</f>
        <v/>
      </c>
      <c r="J223">
        <f>1/(1+$B$4)^(B223+$B$6/2)</f>
        <v/>
      </c>
      <c r="K223">
        <f>1/(1+$B$5)^(B223+$B$6/2)</f>
        <v/>
      </c>
      <c r="L223" t="inlineStr">
        <is>
          <t>Average endpoints</t>
        </is>
      </c>
      <c r="M223" s="4">
        <f>SUMPRODUCT((E223:G223+E224:G224)/2,$B$17:$D$17)*$B$6</f>
        <v/>
      </c>
      <c r="N223" s="4">
        <f>M223*J223</f>
        <v/>
      </c>
      <c r="O223" s="4">
        <f>SUMPRODUCT((E223:G223+E224:G224)/2,$B$18:$D$18)*$B$6</f>
        <v/>
      </c>
      <c r="P223" s="4">
        <f>O223*J223</f>
        <v/>
      </c>
      <c r="Q223" s="4">
        <f>SUMPRODUCT((E223:G223+E224:G224)/2,$B$19:$D$19)*$B$6</f>
        <v/>
      </c>
      <c r="R223" s="4">
        <f>Q223*J223</f>
        <v/>
      </c>
      <c r="S223" s="4">
        <f>IF(A223=0,SUMPRODUCT((E223:G223+E224:G224)/2,$B$20:$D$20)*$B$6,0)</f>
        <v/>
      </c>
      <c r="T223" s="4">
        <f>S223*J223</f>
        <v/>
      </c>
      <c r="U223" s="4">
        <f>N223+P223+R223+T223</f>
        <v/>
      </c>
      <c r="V223">
        <f>SUMPRODUCT((E223:G223+E224:G224)/2,$B$24:$D$24)*$B$6</f>
        <v/>
      </c>
      <c r="W223" s="5">
        <f>V223*K223</f>
        <v/>
      </c>
      <c r="X223">
        <f>SUMPRODUCT((E223:G223+E224:G224)/2,$B$25:$D$25)*$B$6</f>
        <v/>
      </c>
      <c r="Y223">
        <f>X223*K223</f>
        <v/>
      </c>
    </row>
    <row r="224">
      <c r="A224" t="n">
        <v>195</v>
      </c>
      <c r="B224">
        <f>A224*$B$6</f>
        <v/>
      </c>
      <c r="C224" s="5">
        <f>EXP(-$B$12*B224)</f>
        <v/>
      </c>
      <c r="D224" s="5">
        <f>EXP(-$B$13*B224)</f>
        <v/>
      </c>
      <c r="E224">
        <f>C224</f>
        <v/>
      </c>
      <c r="F224">
        <f>D224-C224</f>
        <v/>
      </c>
      <c r="G224">
        <f>1-D224</f>
        <v/>
      </c>
      <c r="H224">
        <f>SUM(E224:G224)</f>
        <v/>
      </c>
      <c r="I224">
        <f>IF(AND(MIN(C224:D224)&gt;=0,MAX(C224:D224)&lt;=1,MIN(E224:G224)&gt;=-1E-10,ABS(H224-1)&lt;1E-8,C224&lt;=C223+1E-10,D224&lt;=D223+1E-10),"OK","ERROR")</f>
        <v/>
      </c>
      <c r="J224">
        <f>1/(1+$B$4)^(B224+$B$6/2)</f>
        <v/>
      </c>
      <c r="K224">
        <f>1/(1+$B$5)^(B224+$B$6/2)</f>
        <v/>
      </c>
      <c r="L224" t="inlineStr">
        <is>
          <t>Average endpoints</t>
        </is>
      </c>
      <c r="M224" s="4">
        <f>SUMPRODUCT((E224:G224+E225:G225)/2,$B$17:$D$17)*$B$6</f>
        <v/>
      </c>
      <c r="N224" s="4">
        <f>M224*J224</f>
        <v/>
      </c>
      <c r="O224" s="4">
        <f>SUMPRODUCT((E224:G224+E225:G225)/2,$B$18:$D$18)*$B$6</f>
        <v/>
      </c>
      <c r="P224" s="4">
        <f>O224*J224</f>
        <v/>
      </c>
      <c r="Q224" s="4">
        <f>SUMPRODUCT((E224:G224+E225:G225)/2,$B$19:$D$19)*$B$6</f>
        <v/>
      </c>
      <c r="R224" s="4">
        <f>Q224*J224</f>
        <v/>
      </c>
      <c r="S224" s="4">
        <f>IF(A224=0,SUMPRODUCT((E224:G224+E225:G225)/2,$B$20:$D$20)*$B$6,0)</f>
        <v/>
      </c>
      <c r="T224" s="4">
        <f>S224*J224</f>
        <v/>
      </c>
      <c r="U224" s="4">
        <f>N224+P224+R224+T224</f>
        <v/>
      </c>
      <c r="V224">
        <f>SUMPRODUCT((E224:G224+E225:G225)/2,$B$24:$D$24)*$B$6</f>
        <v/>
      </c>
      <c r="W224" s="5">
        <f>V224*K224</f>
        <v/>
      </c>
      <c r="X224">
        <f>SUMPRODUCT((E224:G224+E225:G225)/2,$B$25:$D$25)*$B$6</f>
        <v/>
      </c>
      <c r="Y224">
        <f>X224*K224</f>
        <v/>
      </c>
    </row>
    <row r="225">
      <c r="A225" t="n">
        <v>196</v>
      </c>
      <c r="B225">
        <f>A225*$B$6</f>
        <v/>
      </c>
      <c r="C225" s="5">
        <f>EXP(-$B$12*B225)</f>
        <v/>
      </c>
      <c r="D225" s="5">
        <f>EXP(-$B$13*B225)</f>
        <v/>
      </c>
      <c r="E225">
        <f>C225</f>
        <v/>
      </c>
      <c r="F225">
        <f>D225-C225</f>
        <v/>
      </c>
      <c r="G225">
        <f>1-D225</f>
        <v/>
      </c>
      <c r="H225">
        <f>SUM(E225:G225)</f>
        <v/>
      </c>
      <c r="I225">
        <f>IF(AND(MIN(C225:D225)&gt;=0,MAX(C225:D225)&lt;=1,MIN(E225:G225)&gt;=-1E-10,ABS(H225-1)&lt;1E-8,C225&lt;=C224+1E-10,D225&lt;=D224+1E-10),"OK","ERROR")</f>
        <v/>
      </c>
      <c r="J225">
        <f>1/(1+$B$4)^(B225+$B$6/2)</f>
        <v/>
      </c>
      <c r="K225">
        <f>1/(1+$B$5)^(B225+$B$6/2)</f>
        <v/>
      </c>
      <c r="L225" t="inlineStr">
        <is>
          <t>Average endpoints</t>
        </is>
      </c>
      <c r="M225" s="4">
        <f>SUMPRODUCT((E225:G225+E226:G226)/2,$B$17:$D$17)*$B$6</f>
        <v/>
      </c>
      <c r="N225" s="4">
        <f>M225*J225</f>
        <v/>
      </c>
      <c r="O225" s="4">
        <f>SUMPRODUCT((E225:G225+E226:G226)/2,$B$18:$D$18)*$B$6</f>
        <v/>
      </c>
      <c r="P225" s="4">
        <f>O225*J225</f>
        <v/>
      </c>
      <c r="Q225" s="4">
        <f>SUMPRODUCT((E225:G225+E226:G226)/2,$B$19:$D$19)*$B$6</f>
        <v/>
      </c>
      <c r="R225" s="4">
        <f>Q225*J225</f>
        <v/>
      </c>
      <c r="S225" s="4">
        <f>IF(A225=0,SUMPRODUCT((E225:G225+E226:G226)/2,$B$20:$D$20)*$B$6,0)</f>
        <v/>
      </c>
      <c r="T225" s="4">
        <f>S225*J225</f>
        <v/>
      </c>
      <c r="U225" s="4">
        <f>N225+P225+R225+T225</f>
        <v/>
      </c>
      <c r="V225">
        <f>SUMPRODUCT((E225:G225+E226:G226)/2,$B$24:$D$24)*$B$6</f>
        <v/>
      </c>
      <c r="W225" s="5">
        <f>V225*K225</f>
        <v/>
      </c>
      <c r="X225">
        <f>SUMPRODUCT((E225:G225+E226:G226)/2,$B$25:$D$25)*$B$6</f>
        <v/>
      </c>
      <c r="Y225">
        <f>X225*K225</f>
        <v/>
      </c>
    </row>
    <row r="226">
      <c r="A226" t="n">
        <v>197</v>
      </c>
      <c r="B226">
        <f>A226*$B$6</f>
        <v/>
      </c>
      <c r="C226" s="5">
        <f>EXP(-$B$12*B226)</f>
        <v/>
      </c>
      <c r="D226" s="5">
        <f>EXP(-$B$13*B226)</f>
        <v/>
      </c>
      <c r="E226">
        <f>C226</f>
        <v/>
      </c>
      <c r="F226">
        <f>D226-C226</f>
        <v/>
      </c>
      <c r="G226">
        <f>1-D226</f>
        <v/>
      </c>
      <c r="H226">
        <f>SUM(E226:G226)</f>
        <v/>
      </c>
      <c r="I226">
        <f>IF(AND(MIN(C226:D226)&gt;=0,MAX(C226:D226)&lt;=1,MIN(E226:G226)&gt;=-1E-10,ABS(H226-1)&lt;1E-8,C226&lt;=C225+1E-10,D226&lt;=D225+1E-10),"OK","ERROR")</f>
        <v/>
      </c>
      <c r="J226">
        <f>1/(1+$B$4)^(B226+$B$6/2)</f>
        <v/>
      </c>
      <c r="K226">
        <f>1/(1+$B$5)^(B226+$B$6/2)</f>
        <v/>
      </c>
      <c r="L226" t="inlineStr">
        <is>
          <t>Average endpoints</t>
        </is>
      </c>
      <c r="M226" s="4">
        <f>SUMPRODUCT((E226:G226+E227:G227)/2,$B$17:$D$17)*$B$6</f>
        <v/>
      </c>
      <c r="N226" s="4">
        <f>M226*J226</f>
        <v/>
      </c>
      <c r="O226" s="4">
        <f>SUMPRODUCT((E226:G226+E227:G227)/2,$B$18:$D$18)*$B$6</f>
        <v/>
      </c>
      <c r="P226" s="4">
        <f>O226*J226</f>
        <v/>
      </c>
      <c r="Q226" s="4">
        <f>SUMPRODUCT((E226:G226+E227:G227)/2,$B$19:$D$19)*$B$6</f>
        <v/>
      </c>
      <c r="R226" s="4">
        <f>Q226*J226</f>
        <v/>
      </c>
      <c r="S226" s="4">
        <f>IF(A226=0,SUMPRODUCT((E226:G226+E227:G227)/2,$B$20:$D$20)*$B$6,0)</f>
        <v/>
      </c>
      <c r="T226" s="4">
        <f>S226*J226</f>
        <v/>
      </c>
      <c r="U226" s="4">
        <f>N226+P226+R226+T226</f>
        <v/>
      </c>
      <c r="V226">
        <f>SUMPRODUCT((E226:G226+E227:G227)/2,$B$24:$D$24)*$B$6</f>
        <v/>
      </c>
      <c r="W226" s="5">
        <f>V226*K226</f>
        <v/>
      </c>
      <c r="X226">
        <f>SUMPRODUCT((E226:G226+E227:G227)/2,$B$25:$D$25)*$B$6</f>
        <v/>
      </c>
      <c r="Y226">
        <f>X226*K226</f>
        <v/>
      </c>
    </row>
    <row r="227">
      <c r="A227" t="n">
        <v>198</v>
      </c>
      <c r="B227">
        <f>A227*$B$6</f>
        <v/>
      </c>
      <c r="C227" s="5">
        <f>EXP(-$B$12*B227)</f>
        <v/>
      </c>
      <c r="D227" s="5">
        <f>EXP(-$B$13*B227)</f>
        <v/>
      </c>
      <c r="E227">
        <f>C227</f>
        <v/>
      </c>
      <c r="F227">
        <f>D227-C227</f>
        <v/>
      </c>
      <c r="G227">
        <f>1-D227</f>
        <v/>
      </c>
      <c r="H227">
        <f>SUM(E227:G227)</f>
        <v/>
      </c>
      <c r="I227">
        <f>IF(AND(MIN(C227:D227)&gt;=0,MAX(C227:D227)&lt;=1,MIN(E227:G227)&gt;=-1E-10,ABS(H227-1)&lt;1E-8,C227&lt;=C226+1E-10,D227&lt;=D226+1E-10),"OK","ERROR")</f>
        <v/>
      </c>
      <c r="J227">
        <f>1/(1+$B$4)^(B227+$B$6/2)</f>
        <v/>
      </c>
      <c r="K227">
        <f>1/(1+$B$5)^(B227+$B$6/2)</f>
        <v/>
      </c>
      <c r="L227" t="inlineStr">
        <is>
          <t>Average endpoints</t>
        </is>
      </c>
      <c r="M227" s="4">
        <f>SUMPRODUCT((E227:G227+E228:G228)/2,$B$17:$D$17)*$B$6</f>
        <v/>
      </c>
      <c r="N227" s="4">
        <f>M227*J227</f>
        <v/>
      </c>
      <c r="O227" s="4">
        <f>SUMPRODUCT((E227:G227+E228:G228)/2,$B$18:$D$18)*$B$6</f>
        <v/>
      </c>
      <c r="P227" s="4">
        <f>O227*J227</f>
        <v/>
      </c>
      <c r="Q227" s="4">
        <f>SUMPRODUCT((E227:G227+E228:G228)/2,$B$19:$D$19)*$B$6</f>
        <v/>
      </c>
      <c r="R227" s="4">
        <f>Q227*J227</f>
        <v/>
      </c>
      <c r="S227" s="4">
        <f>IF(A227=0,SUMPRODUCT((E227:G227+E228:G228)/2,$B$20:$D$20)*$B$6,0)</f>
        <v/>
      </c>
      <c r="T227" s="4">
        <f>S227*J227</f>
        <v/>
      </c>
      <c r="U227" s="4">
        <f>N227+P227+R227+T227</f>
        <v/>
      </c>
      <c r="V227">
        <f>SUMPRODUCT((E227:G227+E228:G228)/2,$B$24:$D$24)*$B$6</f>
        <v/>
      </c>
      <c r="W227" s="5">
        <f>V227*K227</f>
        <v/>
      </c>
      <c r="X227">
        <f>SUMPRODUCT((E227:G227+E228:G228)/2,$B$25:$D$25)*$B$6</f>
        <v/>
      </c>
      <c r="Y227">
        <f>X227*K227</f>
        <v/>
      </c>
    </row>
    <row r="228">
      <c r="A228" t="n">
        <v>199</v>
      </c>
      <c r="B228">
        <f>A228*$B$6</f>
        <v/>
      </c>
      <c r="C228" s="5">
        <f>EXP(-$B$12*B228)</f>
        <v/>
      </c>
      <c r="D228" s="5">
        <f>EXP(-$B$13*B228)</f>
        <v/>
      </c>
      <c r="E228">
        <f>C228</f>
        <v/>
      </c>
      <c r="F228">
        <f>D228-C228</f>
        <v/>
      </c>
      <c r="G228">
        <f>1-D228</f>
        <v/>
      </c>
      <c r="H228">
        <f>SUM(E228:G228)</f>
        <v/>
      </c>
      <c r="I228">
        <f>IF(AND(MIN(C228:D228)&gt;=0,MAX(C228:D228)&lt;=1,MIN(E228:G228)&gt;=-1E-10,ABS(H228-1)&lt;1E-8,C228&lt;=C227+1E-10,D228&lt;=D227+1E-10),"OK","ERROR")</f>
        <v/>
      </c>
      <c r="J228">
        <f>1/(1+$B$4)^(B228+$B$6/2)</f>
        <v/>
      </c>
      <c r="K228">
        <f>1/(1+$B$5)^(B228+$B$6/2)</f>
        <v/>
      </c>
      <c r="L228" t="inlineStr">
        <is>
          <t>Average endpoints</t>
        </is>
      </c>
      <c r="M228" s="4">
        <f>SUMPRODUCT((E228:G228+E229:G229)/2,$B$17:$D$17)*$B$6</f>
        <v/>
      </c>
      <c r="N228" s="4">
        <f>M228*J228</f>
        <v/>
      </c>
      <c r="O228" s="4">
        <f>SUMPRODUCT((E228:G228+E229:G229)/2,$B$18:$D$18)*$B$6</f>
        <v/>
      </c>
      <c r="P228" s="4">
        <f>O228*J228</f>
        <v/>
      </c>
      <c r="Q228" s="4">
        <f>SUMPRODUCT((E228:G228+E229:G229)/2,$B$19:$D$19)*$B$6</f>
        <v/>
      </c>
      <c r="R228" s="4">
        <f>Q228*J228</f>
        <v/>
      </c>
      <c r="S228" s="4">
        <f>IF(A228=0,SUMPRODUCT((E228:G228+E229:G229)/2,$B$20:$D$20)*$B$6,0)</f>
        <v/>
      </c>
      <c r="T228" s="4">
        <f>S228*J228</f>
        <v/>
      </c>
      <c r="U228" s="4">
        <f>N228+P228+R228+T228</f>
        <v/>
      </c>
      <c r="V228">
        <f>SUMPRODUCT((E228:G228+E229:G229)/2,$B$24:$D$24)*$B$6</f>
        <v/>
      </c>
      <c r="W228" s="5">
        <f>V228*K228</f>
        <v/>
      </c>
      <c r="X228">
        <f>SUMPRODUCT((E228:G228+E229:G229)/2,$B$25:$D$25)*$B$6</f>
        <v/>
      </c>
      <c r="Y228">
        <f>X228*K228</f>
        <v/>
      </c>
    </row>
    <row r="229">
      <c r="A229" t="n">
        <v>200</v>
      </c>
      <c r="B229">
        <f>A229*$B$6</f>
        <v/>
      </c>
      <c r="C229" s="5">
        <f>EXP(-$B$12*B229)</f>
        <v/>
      </c>
      <c r="D229" s="5">
        <f>EXP(-$B$13*B229)</f>
        <v/>
      </c>
      <c r="E229">
        <f>C229</f>
        <v/>
      </c>
      <c r="F229">
        <f>D229-C229</f>
        <v/>
      </c>
      <c r="G229">
        <f>1-D229</f>
        <v/>
      </c>
      <c r="H229">
        <f>SUM(E229:G229)</f>
        <v/>
      </c>
      <c r="I229">
        <f>IF(AND(MIN(C229:D229)&gt;=0,MAX(C229:D229)&lt;=1,MIN(E229:G229)&gt;=-1E-10,ABS(H229-1)&lt;1E-8,C229&lt;=C228+1E-10,D229&lt;=D228+1E-10),"OK","ERROR")</f>
        <v/>
      </c>
      <c r="J229">
        <f>1/(1+$B$4)^(B229+$B$6/2)</f>
        <v/>
      </c>
      <c r="K229">
        <f>1/(1+$B$5)^(B229+$B$6/2)</f>
        <v/>
      </c>
      <c r="L229" t="inlineStr">
        <is>
          <t>Average endpoints</t>
        </is>
      </c>
      <c r="M229" s="4">
        <f>SUMPRODUCT((E229:G229+E230:G230)/2,$B$17:$D$17)*$B$6</f>
        <v/>
      </c>
      <c r="N229" s="4">
        <f>M229*J229</f>
        <v/>
      </c>
      <c r="O229" s="4">
        <f>SUMPRODUCT((E229:G229+E230:G230)/2,$B$18:$D$18)*$B$6</f>
        <v/>
      </c>
      <c r="P229" s="4">
        <f>O229*J229</f>
        <v/>
      </c>
      <c r="Q229" s="4">
        <f>SUMPRODUCT((E229:G229+E230:G230)/2,$B$19:$D$19)*$B$6</f>
        <v/>
      </c>
      <c r="R229" s="4">
        <f>Q229*J229</f>
        <v/>
      </c>
      <c r="S229" s="4">
        <f>IF(A229=0,SUMPRODUCT((E229:G229+E230:G230)/2,$B$20:$D$20)*$B$6,0)</f>
        <v/>
      </c>
      <c r="T229" s="4">
        <f>S229*J229</f>
        <v/>
      </c>
      <c r="U229" s="4">
        <f>N229+P229+R229+T229</f>
        <v/>
      </c>
      <c r="V229">
        <f>SUMPRODUCT((E229:G229+E230:G230)/2,$B$24:$D$24)*$B$6</f>
        <v/>
      </c>
      <c r="W229" s="5">
        <f>V229*K229</f>
        <v/>
      </c>
      <c r="X229">
        <f>SUMPRODUCT((E229:G229+E230:G230)/2,$B$25:$D$25)*$B$6</f>
        <v/>
      </c>
      <c r="Y229">
        <f>X229*K229</f>
        <v/>
      </c>
    </row>
    <row r="230">
      <c r="A230" t="n">
        <v>201</v>
      </c>
      <c r="B230">
        <f>A230*$B$6</f>
        <v/>
      </c>
      <c r="C230" s="5">
        <f>EXP(-$B$12*B230)</f>
        <v/>
      </c>
      <c r="D230" s="5">
        <f>EXP(-$B$13*B230)</f>
        <v/>
      </c>
      <c r="E230">
        <f>C230</f>
        <v/>
      </c>
      <c r="F230">
        <f>D230-C230</f>
        <v/>
      </c>
      <c r="G230">
        <f>1-D230</f>
        <v/>
      </c>
      <c r="H230">
        <f>SUM(E230:G230)</f>
        <v/>
      </c>
      <c r="I230">
        <f>IF(AND(MIN(C230:D230)&gt;=0,MAX(C230:D230)&lt;=1,MIN(E230:G230)&gt;=-1E-10,ABS(H230-1)&lt;1E-8,C230&lt;=C229+1E-10,D230&lt;=D229+1E-10),"OK","ERROR")</f>
        <v/>
      </c>
      <c r="J230">
        <f>1/(1+$B$4)^(B230+$B$6/2)</f>
        <v/>
      </c>
      <c r="K230">
        <f>1/(1+$B$5)^(B230+$B$6/2)</f>
        <v/>
      </c>
      <c r="L230" t="inlineStr">
        <is>
          <t>Average endpoints</t>
        </is>
      </c>
      <c r="M230" s="4">
        <f>SUMPRODUCT((E230:G230+E231:G231)/2,$B$17:$D$17)*$B$6</f>
        <v/>
      </c>
      <c r="N230" s="4">
        <f>M230*J230</f>
        <v/>
      </c>
      <c r="O230" s="4">
        <f>SUMPRODUCT((E230:G230+E231:G231)/2,$B$18:$D$18)*$B$6</f>
        <v/>
      </c>
      <c r="P230" s="4">
        <f>O230*J230</f>
        <v/>
      </c>
      <c r="Q230" s="4">
        <f>SUMPRODUCT((E230:G230+E231:G231)/2,$B$19:$D$19)*$B$6</f>
        <v/>
      </c>
      <c r="R230" s="4">
        <f>Q230*J230</f>
        <v/>
      </c>
      <c r="S230" s="4">
        <f>IF(A230=0,SUMPRODUCT((E230:G230+E231:G231)/2,$B$20:$D$20)*$B$6,0)</f>
        <v/>
      </c>
      <c r="T230" s="4">
        <f>S230*J230</f>
        <v/>
      </c>
      <c r="U230" s="4">
        <f>N230+P230+R230+T230</f>
        <v/>
      </c>
      <c r="V230">
        <f>SUMPRODUCT((E230:G230+E231:G231)/2,$B$24:$D$24)*$B$6</f>
        <v/>
      </c>
      <c r="W230" s="5">
        <f>V230*K230</f>
        <v/>
      </c>
      <c r="X230">
        <f>SUMPRODUCT((E230:G230+E231:G231)/2,$B$25:$D$25)*$B$6</f>
        <v/>
      </c>
      <c r="Y230">
        <f>X230*K230</f>
        <v/>
      </c>
    </row>
    <row r="231">
      <c r="A231" t="n">
        <v>202</v>
      </c>
      <c r="B231">
        <f>A231*$B$6</f>
        <v/>
      </c>
      <c r="C231" s="5">
        <f>EXP(-$B$12*B231)</f>
        <v/>
      </c>
      <c r="D231" s="5">
        <f>EXP(-$B$13*B231)</f>
        <v/>
      </c>
      <c r="E231">
        <f>C231</f>
        <v/>
      </c>
      <c r="F231">
        <f>D231-C231</f>
        <v/>
      </c>
      <c r="G231">
        <f>1-D231</f>
        <v/>
      </c>
      <c r="H231">
        <f>SUM(E231:G231)</f>
        <v/>
      </c>
      <c r="I231">
        <f>IF(AND(MIN(C231:D231)&gt;=0,MAX(C231:D231)&lt;=1,MIN(E231:G231)&gt;=-1E-10,ABS(H231-1)&lt;1E-8,C231&lt;=C230+1E-10,D231&lt;=D230+1E-10),"OK","ERROR")</f>
        <v/>
      </c>
      <c r="J231">
        <f>1/(1+$B$4)^(B231+$B$6/2)</f>
        <v/>
      </c>
      <c r="K231">
        <f>1/(1+$B$5)^(B231+$B$6/2)</f>
        <v/>
      </c>
      <c r="L231" t="inlineStr">
        <is>
          <t>Average endpoints</t>
        </is>
      </c>
      <c r="M231" s="4">
        <f>SUMPRODUCT((E231:G231+E232:G232)/2,$B$17:$D$17)*$B$6</f>
        <v/>
      </c>
      <c r="N231" s="4">
        <f>M231*J231</f>
        <v/>
      </c>
      <c r="O231" s="4">
        <f>SUMPRODUCT((E231:G231+E232:G232)/2,$B$18:$D$18)*$B$6</f>
        <v/>
      </c>
      <c r="P231" s="4">
        <f>O231*J231</f>
        <v/>
      </c>
      <c r="Q231" s="4">
        <f>SUMPRODUCT((E231:G231+E232:G232)/2,$B$19:$D$19)*$B$6</f>
        <v/>
      </c>
      <c r="R231" s="4">
        <f>Q231*J231</f>
        <v/>
      </c>
      <c r="S231" s="4">
        <f>IF(A231=0,SUMPRODUCT((E231:G231+E232:G232)/2,$B$20:$D$20)*$B$6,0)</f>
        <v/>
      </c>
      <c r="T231" s="4">
        <f>S231*J231</f>
        <v/>
      </c>
      <c r="U231" s="4">
        <f>N231+P231+R231+T231</f>
        <v/>
      </c>
      <c r="V231">
        <f>SUMPRODUCT((E231:G231+E232:G232)/2,$B$24:$D$24)*$B$6</f>
        <v/>
      </c>
      <c r="W231" s="5">
        <f>V231*K231</f>
        <v/>
      </c>
      <c r="X231">
        <f>SUMPRODUCT((E231:G231+E232:G232)/2,$B$25:$D$25)*$B$6</f>
        <v/>
      </c>
      <c r="Y231">
        <f>X231*K231</f>
        <v/>
      </c>
    </row>
    <row r="232">
      <c r="A232" t="n">
        <v>203</v>
      </c>
      <c r="B232">
        <f>A232*$B$6</f>
        <v/>
      </c>
      <c r="C232" s="5">
        <f>EXP(-$B$12*B232)</f>
        <v/>
      </c>
      <c r="D232" s="5">
        <f>EXP(-$B$13*B232)</f>
        <v/>
      </c>
      <c r="E232">
        <f>C232</f>
        <v/>
      </c>
      <c r="F232">
        <f>D232-C232</f>
        <v/>
      </c>
      <c r="G232">
        <f>1-D232</f>
        <v/>
      </c>
      <c r="H232">
        <f>SUM(E232:G232)</f>
        <v/>
      </c>
      <c r="I232">
        <f>IF(AND(MIN(C232:D232)&gt;=0,MAX(C232:D232)&lt;=1,MIN(E232:G232)&gt;=-1E-10,ABS(H232-1)&lt;1E-8,C232&lt;=C231+1E-10,D232&lt;=D231+1E-10),"OK","ERROR")</f>
        <v/>
      </c>
      <c r="J232">
        <f>1/(1+$B$4)^(B232+$B$6/2)</f>
        <v/>
      </c>
      <c r="K232">
        <f>1/(1+$B$5)^(B232+$B$6/2)</f>
        <v/>
      </c>
      <c r="L232" t="inlineStr">
        <is>
          <t>Average endpoints</t>
        </is>
      </c>
      <c r="M232" s="4">
        <f>SUMPRODUCT((E232:G232+E233:G233)/2,$B$17:$D$17)*$B$6</f>
        <v/>
      </c>
      <c r="N232" s="4">
        <f>M232*J232</f>
        <v/>
      </c>
      <c r="O232" s="4">
        <f>SUMPRODUCT((E232:G232+E233:G233)/2,$B$18:$D$18)*$B$6</f>
        <v/>
      </c>
      <c r="P232" s="4">
        <f>O232*J232</f>
        <v/>
      </c>
      <c r="Q232" s="4">
        <f>SUMPRODUCT((E232:G232+E233:G233)/2,$B$19:$D$19)*$B$6</f>
        <v/>
      </c>
      <c r="R232" s="4">
        <f>Q232*J232</f>
        <v/>
      </c>
      <c r="S232" s="4">
        <f>IF(A232=0,SUMPRODUCT((E232:G232+E233:G233)/2,$B$20:$D$20)*$B$6,0)</f>
        <v/>
      </c>
      <c r="T232" s="4">
        <f>S232*J232</f>
        <v/>
      </c>
      <c r="U232" s="4">
        <f>N232+P232+R232+T232</f>
        <v/>
      </c>
      <c r="V232">
        <f>SUMPRODUCT((E232:G232+E233:G233)/2,$B$24:$D$24)*$B$6</f>
        <v/>
      </c>
      <c r="W232" s="5">
        <f>V232*K232</f>
        <v/>
      </c>
      <c r="X232">
        <f>SUMPRODUCT((E232:G232+E233:G233)/2,$B$25:$D$25)*$B$6</f>
        <v/>
      </c>
      <c r="Y232">
        <f>X232*K232</f>
        <v/>
      </c>
    </row>
    <row r="233">
      <c r="A233" t="n">
        <v>204</v>
      </c>
      <c r="B233">
        <f>A233*$B$6</f>
        <v/>
      </c>
      <c r="C233" s="5">
        <f>EXP(-$B$12*B233)</f>
        <v/>
      </c>
      <c r="D233" s="5">
        <f>EXP(-$B$13*B233)</f>
        <v/>
      </c>
      <c r="E233">
        <f>C233</f>
        <v/>
      </c>
      <c r="F233">
        <f>D233-C233</f>
        <v/>
      </c>
      <c r="G233">
        <f>1-D233</f>
        <v/>
      </c>
      <c r="H233">
        <f>SUM(E233:G233)</f>
        <v/>
      </c>
      <c r="I233">
        <f>IF(AND(MIN(C233:D233)&gt;=0,MAX(C233:D233)&lt;=1,MIN(E233:G233)&gt;=-1E-10,ABS(H233-1)&lt;1E-8,C233&lt;=C232+1E-10,D233&lt;=D232+1E-10),"OK","ERROR")</f>
        <v/>
      </c>
      <c r="J233">
        <f>1/(1+$B$4)^(B233+$B$6/2)</f>
        <v/>
      </c>
      <c r="K233">
        <f>1/(1+$B$5)^(B233+$B$6/2)</f>
        <v/>
      </c>
      <c r="L233" t="inlineStr">
        <is>
          <t>Average endpoints</t>
        </is>
      </c>
      <c r="M233" s="4">
        <f>SUMPRODUCT((E233:G233+E234:G234)/2,$B$17:$D$17)*$B$6</f>
        <v/>
      </c>
      <c r="N233" s="4">
        <f>M233*J233</f>
        <v/>
      </c>
      <c r="O233" s="4">
        <f>SUMPRODUCT((E233:G233+E234:G234)/2,$B$18:$D$18)*$B$6</f>
        <v/>
      </c>
      <c r="P233" s="4">
        <f>O233*J233</f>
        <v/>
      </c>
      <c r="Q233" s="4">
        <f>SUMPRODUCT((E233:G233+E234:G234)/2,$B$19:$D$19)*$B$6</f>
        <v/>
      </c>
      <c r="R233" s="4">
        <f>Q233*J233</f>
        <v/>
      </c>
      <c r="S233" s="4">
        <f>IF(A233=0,SUMPRODUCT((E233:G233+E234:G234)/2,$B$20:$D$20)*$B$6,0)</f>
        <v/>
      </c>
      <c r="T233" s="4">
        <f>S233*J233</f>
        <v/>
      </c>
      <c r="U233" s="4">
        <f>N233+P233+R233+T233</f>
        <v/>
      </c>
      <c r="V233">
        <f>SUMPRODUCT((E233:G233+E234:G234)/2,$B$24:$D$24)*$B$6</f>
        <v/>
      </c>
      <c r="W233" s="5">
        <f>V233*K233</f>
        <v/>
      </c>
      <c r="X233">
        <f>SUMPRODUCT((E233:G233+E234:G234)/2,$B$25:$D$25)*$B$6</f>
        <v/>
      </c>
      <c r="Y233">
        <f>X233*K233</f>
        <v/>
      </c>
    </row>
    <row r="234">
      <c r="A234" t="n">
        <v>205</v>
      </c>
      <c r="B234">
        <f>A234*$B$6</f>
        <v/>
      </c>
      <c r="C234" s="5">
        <f>EXP(-$B$12*B234)</f>
        <v/>
      </c>
      <c r="D234" s="5">
        <f>EXP(-$B$13*B234)</f>
        <v/>
      </c>
      <c r="E234">
        <f>C234</f>
        <v/>
      </c>
      <c r="F234">
        <f>D234-C234</f>
        <v/>
      </c>
      <c r="G234">
        <f>1-D234</f>
        <v/>
      </c>
      <c r="H234">
        <f>SUM(E234:G234)</f>
        <v/>
      </c>
      <c r="I234">
        <f>IF(AND(MIN(C234:D234)&gt;=0,MAX(C234:D234)&lt;=1,MIN(E234:G234)&gt;=-1E-10,ABS(H234-1)&lt;1E-8,C234&lt;=C233+1E-10,D234&lt;=D233+1E-10),"OK","ERROR")</f>
        <v/>
      </c>
      <c r="J234">
        <f>1/(1+$B$4)^(B234+$B$6/2)</f>
        <v/>
      </c>
      <c r="K234">
        <f>1/(1+$B$5)^(B234+$B$6/2)</f>
        <v/>
      </c>
      <c r="L234" t="inlineStr">
        <is>
          <t>Average endpoints</t>
        </is>
      </c>
      <c r="M234" s="4">
        <f>SUMPRODUCT((E234:G234+E235:G235)/2,$B$17:$D$17)*$B$6</f>
        <v/>
      </c>
      <c r="N234" s="4">
        <f>M234*J234</f>
        <v/>
      </c>
      <c r="O234" s="4">
        <f>SUMPRODUCT((E234:G234+E235:G235)/2,$B$18:$D$18)*$B$6</f>
        <v/>
      </c>
      <c r="P234" s="4">
        <f>O234*J234</f>
        <v/>
      </c>
      <c r="Q234" s="4">
        <f>SUMPRODUCT((E234:G234+E235:G235)/2,$B$19:$D$19)*$B$6</f>
        <v/>
      </c>
      <c r="R234" s="4">
        <f>Q234*J234</f>
        <v/>
      </c>
      <c r="S234" s="4">
        <f>IF(A234=0,SUMPRODUCT((E234:G234+E235:G235)/2,$B$20:$D$20)*$B$6,0)</f>
        <v/>
      </c>
      <c r="T234" s="4">
        <f>S234*J234</f>
        <v/>
      </c>
      <c r="U234" s="4">
        <f>N234+P234+R234+T234</f>
        <v/>
      </c>
      <c r="V234">
        <f>SUMPRODUCT((E234:G234+E235:G235)/2,$B$24:$D$24)*$B$6</f>
        <v/>
      </c>
      <c r="W234" s="5">
        <f>V234*K234</f>
        <v/>
      </c>
      <c r="X234">
        <f>SUMPRODUCT((E234:G234+E235:G235)/2,$B$25:$D$25)*$B$6</f>
        <v/>
      </c>
      <c r="Y234">
        <f>X234*K234</f>
        <v/>
      </c>
    </row>
    <row r="235">
      <c r="A235" t="n">
        <v>206</v>
      </c>
      <c r="B235">
        <f>A235*$B$6</f>
        <v/>
      </c>
      <c r="C235" s="5">
        <f>EXP(-$B$12*B235)</f>
        <v/>
      </c>
      <c r="D235" s="5">
        <f>EXP(-$B$13*B235)</f>
        <v/>
      </c>
      <c r="E235">
        <f>C235</f>
        <v/>
      </c>
      <c r="F235">
        <f>D235-C235</f>
        <v/>
      </c>
      <c r="G235">
        <f>1-D235</f>
        <v/>
      </c>
      <c r="H235">
        <f>SUM(E235:G235)</f>
        <v/>
      </c>
      <c r="I235">
        <f>IF(AND(MIN(C235:D235)&gt;=0,MAX(C235:D235)&lt;=1,MIN(E235:G235)&gt;=-1E-10,ABS(H235-1)&lt;1E-8,C235&lt;=C234+1E-10,D235&lt;=D234+1E-10),"OK","ERROR")</f>
        <v/>
      </c>
      <c r="J235">
        <f>1/(1+$B$4)^(B235+$B$6/2)</f>
        <v/>
      </c>
      <c r="K235">
        <f>1/(1+$B$5)^(B235+$B$6/2)</f>
        <v/>
      </c>
      <c r="L235" t="inlineStr">
        <is>
          <t>Average endpoints</t>
        </is>
      </c>
      <c r="M235" s="4">
        <f>SUMPRODUCT((E235:G235+E236:G236)/2,$B$17:$D$17)*$B$6</f>
        <v/>
      </c>
      <c r="N235" s="4">
        <f>M235*J235</f>
        <v/>
      </c>
      <c r="O235" s="4">
        <f>SUMPRODUCT((E235:G235+E236:G236)/2,$B$18:$D$18)*$B$6</f>
        <v/>
      </c>
      <c r="P235" s="4">
        <f>O235*J235</f>
        <v/>
      </c>
      <c r="Q235" s="4">
        <f>SUMPRODUCT((E235:G235+E236:G236)/2,$B$19:$D$19)*$B$6</f>
        <v/>
      </c>
      <c r="R235" s="4">
        <f>Q235*J235</f>
        <v/>
      </c>
      <c r="S235" s="4">
        <f>IF(A235=0,SUMPRODUCT((E235:G235+E236:G236)/2,$B$20:$D$20)*$B$6,0)</f>
        <v/>
      </c>
      <c r="T235" s="4">
        <f>S235*J235</f>
        <v/>
      </c>
      <c r="U235" s="4">
        <f>N235+P235+R235+T235</f>
        <v/>
      </c>
      <c r="V235">
        <f>SUMPRODUCT((E235:G235+E236:G236)/2,$B$24:$D$24)*$B$6</f>
        <v/>
      </c>
      <c r="W235" s="5">
        <f>V235*K235</f>
        <v/>
      </c>
      <c r="X235">
        <f>SUMPRODUCT((E235:G235+E236:G236)/2,$B$25:$D$25)*$B$6</f>
        <v/>
      </c>
      <c r="Y235">
        <f>X235*K235</f>
        <v/>
      </c>
    </row>
    <row r="236">
      <c r="A236" t="n">
        <v>207</v>
      </c>
      <c r="B236">
        <f>A236*$B$6</f>
        <v/>
      </c>
      <c r="C236" s="5">
        <f>EXP(-$B$12*B236)</f>
        <v/>
      </c>
      <c r="D236" s="5">
        <f>EXP(-$B$13*B236)</f>
        <v/>
      </c>
      <c r="E236">
        <f>C236</f>
        <v/>
      </c>
      <c r="F236">
        <f>D236-C236</f>
        <v/>
      </c>
      <c r="G236">
        <f>1-D236</f>
        <v/>
      </c>
      <c r="H236">
        <f>SUM(E236:G236)</f>
        <v/>
      </c>
      <c r="I236">
        <f>IF(AND(MIN(C236:D236)&gt;=0,MAX(C236:D236)&lt;=1,MIN(E236:G236)&gt;=-1E-10,ABS(H236-1)&lt;1E-8,C236&lt;=C235+1E-10,D236&lt;=D235+1E-10),"OK","ERROR")</f>
        <v/>
      </c>
      <c r="J236">
        <f>1/(1+$B$4)^(B236+$B$6/2)</f>
        <v/>
      </c>
      <c r="K236">
        <f>1/(1+$B$5)^(B236+$B$6/2)</f>
        <v/>
      </c>
      <c r="L236" t="inlineStr">
        <is>
          <t>Average endpoints</t>
        </is>
      </c>
      <c r="M236" s="4">
        <f>SUMPRODUCT((E236:G236+E237:G237)/2,$B$17:$D$17)*$B$6</f>
        <v/>
      </c>
      <c r="N236" s="4">
        <f>M236*J236</f>
        <v/>
      </c>
      <c r="O236" s="4">
        <f>SUMPRODUCT((E236:G236+E237:G237)/2,$B$18:$D$18)*$B$6</f>
        <v/>
      </c>
      <c r="P236" s="4">
        <f>O236*J236</f>
        <v/>
      </c>
      <c r="Q236" s="4">
        <f>SUMPRODUCT((E236:G236+E237:G237)/2,$B$19:$D$19)*$B$6</f>
        <v/>
      </c>
      <c r="R236" s="4">
        <f>Q236*J236</f>
        <v/>
      </c>
      <c r="S236" s="4">
        <f>IF(A236=0,SUMPRODUCT((E236:G236+E237:G237)/2,$B$20:$D$20)*$B$6,0)</f>
        <v/>
      </c>
      <c r="T236" s="4">
        <f>S236*J236</f>
        <v/>
      </c>
      <c r="U236" s="4">
        <f>N236+P236+R236+T236</f>
        <v/>
      </c>
      <c r="V236">
        <f>SUMPRODUCT((E236:G236+E237:G237)/2,$B$24:$D$24)*$B$6</f>
        <v/>
      </c>
      <c r="W236" s="5">
        <f>V236*K236</f>
        <v/>
      </c>
      <c r="X236">
        <f>SUMPRODUCT((E236:G236+E237:G237)/2,$B$25:$D$25)*$B$6</f>
        <v/>
      </c>
      <c r="Y236">
        <f>X236*K236</f>
        <v/>
      </c>
    </row>
    <row r="237">
      <c r="A237" t="n">
        <v>208</v>
      </c>
      <c r="B237">
        <f>A237*$B$6</f>
        <v/>
      </c>
      <c r="C237" s="5">
        <f>EXP(-$B$12*B237)</f>
        <v/>
      </c>
      <c r="D237" s="5">
        <f>EXP(-$B$13*B237)</f>
        <v/>
      </c>
      <c r="E237">
        <f>C237</f>
        <v/>
      </c>
      <c r="F237">
        <f>D237-C237</f>
        <v/>
      </c>
      <c r="G237">
        <f>1-D237</f>
        <v/>
      </c>
      <c r="H237">
        <f>SUM(E237:G237)</f>
        <v/>
      </c>
      <c r="I237">
        <f>IF(AND(MIN(C237:D237)&gt;=0,MAX(C237:D237)&lt;=1,MIN(E237:G237)&gt;=-1E-10,ABS(H237-1)&lt;1E-8,C237&lt;=C236+1E-10,D237&lt;=D236+1E-10),"OK","ERROR")</f>
        <v/>
      </c>
      <c r="J237">
        <f>1/(1+$B$4)^(B237+$B$6/2)</f>
        <v/>
      </c>
      <c r="K237">
        <f>1/(1+$B$5)^(B237+$B$6/2)</f>
        <v/>
      </c>
      <c r="L237" t="inlineStr">
        <is>
          <t>Average endpoints</t>
        </is>
      </c>
      <c r="M237" s="4">
        <f>SUMPRODUCT((E237:G237+E238:G238)/2,$B$17:$D$17)*$B$6</f>
        <v/>
      </c>
      <c r="N237" s="4">
        <f>M237*J237</f>
        <v/>
      </c>
      <c r="O237" s="4">
        <f>SUMPRODUCT((E237:G237+E238:G238)/2,$B$18:$D$18)*$B$6</f>
        <v/>
      </c>
      <c r="P237" s="4">
        <f>O237*J237</f>
        <v/>
      </c>
      <c r="Q237" s="4">
        <f>SUMPRODUCT((E237:G237+E238:G238)/2,$B$19:$D$19)*$B$6</f>
        <v/>
      </c>
      <c r="R237" s="4">
        <f>Q237*J237</f>
        <v/>
      </c>
      <c r="S237" s="4">
        <f>IF(A237=0,SUMPRODUCT((E237:G237+E238:G238)/2,$B$20:$D$20)*$B$6,0)</f>
        <v/>
      </c>
      <c r="T237" s="4">
        <f>S237*J237</f>
        <v/>
      </c>
      <c r="U237" s="4">
        <f>N237+P237+R237+T237</f>
        <v/>
      </c>
      <c r="V237">
        <f>SUMPRODUCT((E237:G237+E238:G238)/2,$B$24:$D$24)*$B$6</f>
        <v/>
      </c>
      <c r="W237" s="5">
        <f>V237*K237</f>
        <v/>
      </c>
      <c r="X237">
        <f>SUMPRODUCT((E237:G237+E238:G238)/2,$B$25:$D$25)*$B$6</f>
        <v/>
      </c>
      <c r="Y237">
        <f>X237*K237</f>
        <v/>
      </c>
    </row>
    <row r="238">
      <c r="A238" t="n">
        <v>209</v>
      </c>
      <c r="B238">
        <f>A238*$B$6</f>
        <v/>
      </c>
      <c r="C238" s="5">
        <f>EXP(-$B$12*B238)</f>
        <v/>
      </c>
      <c r="D238" s="5">
        <f>EXP(-$B$13*B238)</f>
        <v/>
      </c>
      <c r="E238">
        <f>C238</f>
        <v/>
      </c>
      <c r="F238">
        <f>D238-C238</f>
        <v/>
      </c>
      <c r="G238">
        <f>1-D238</f>
        <v/>
      </c>
      <c r="H238">
        <f>SUM(E238:G238)</f>
        <v/>
      </c>
      <c r="I238">
        <f>IF(AND(MIN(C238:D238)&gt;=0,MAX(C238:D238)&lt;=1,MIN(E238:G238)&gt;=-1E-10,ABS(H238-1)&lt;1E-8,C238&lt;=C237+1E-10,D238&lt;=D237+1E-10),"OK","ERROR")</f>
        <v/>
      </c>
      <c r="J238">
        <f>1/(1+$B$4)^(B238+$B$6/2)</f>
        <v/>
      </c>
      <c r="K238">
        <f>1/(1+$B$5)^(B238+$B$6/2)</f>
        <v/>
      </c>
      <c r="L238" t="inlineStr">
        <is>
          <t>Average endpoints</t>
        </is>
      </c>
      <c r="M238" s="4">
        <f>SUMPRODUCT((E238:G238+E239:G239)/2,$B$17:$D$17)*$B$6</f>
        <v/>
      </c>
      <c r="N238" s="4">
        <f>M238*J238</f>
        <v/>
      </c>
      <c r="O238" s="4">
        <f>SUMPRODUCT((E238:G238+E239:G239)/2,$B$18:$D$18)*$B$6</f>
        <v/>
      </c>
      <c r="P238" s="4">
        <f>O238*J238</f>
        <v/>
      </c>
      <c r="Q238" s="4">
        <f>SUMPRODUCT((E238:G238+E239:G239)/2,$B$19:$D$19)*$B$6</f>
        <v/>
      </c>
      <c r="R238" s="4">
        <f>Q238*J238</f>
        <v/>
      </c>
      <c r="S238" s="4">
        <f>IF(A238=0,SUMPRODUCT((E238:G238+E239:G239)/2,$B$20:$D$20)*$B$6,0)</f>
        <v/>
      </c>
      <c r="T238" s="4">
        <f>S238*J238</f>
        <v/>
      </c>
      <c r="U238" s="4">
        <f>N238+P238+R238+T238</f>
        <v/>
      </c>
      <c r="V238">
        <f>SUMPRODUCT((E238:G238+E239:G239)/2,$B$24:$D$24)*$B$6</f>
        <v/>
      </c>
      <c r="W238" s="5">
        <f>V238*K238</f>
        <v/>
      </c>
      <c r="X238">
        <f>SUMPRODUCT((E238:G238+E239:G239)/2,$B$25:$D$25)*$B$6</f>
        <v/>
      </c>
      <c r="Y238">
        <f>X238*K238</f>
        <v/>
      </c>
    </row>
    <row r="239">
      <c r="A239" t="n">
        <v>210</v>
      </c>
      <c r="B239">
        <f>A239*$B$6</f>
        <v/>
      </c>
      <c r="C239" s="5">
        <f>EXP(-$B$12*B239)</f>
        <v/>
      </c>
      <c r="D239" s="5">
        <f>EXP(-$B$13*B239)</f>
        <v/>
      </c>
      <c r="E239">
        <f>C239</f>
        <v/>
      </c>
      <c r="F239">
        <f>D239-C239</f>
        <v/>
      </c>
      <c r="G239">
        <f>1-D239</f>
        <v/>
      </c>
      <c r="H239">
        <f>SUM(E239:G239)</f>
        <v/>
      </c>
      <c r="I239">
        <f>IF(AND(MIN(C239:D239)&gt;=0,MAX(C239:D239)&lt;=1,MIN(E239:G239)&gt;=-1E-10,ABS(H239-1)&lt;1E-8,C239&lt;=C238+1E-10,D239&lt;=D238+1E-10),"OK","ERROR")</f>
        <v/>
      </c>
      <c r="J239">
        <f>1/(1+$B$4)^(B239+$B$6/2)</f>
        <v/>
      </c>
      <c r="K239">
        <f>1/(1+$B$5)^(B239+$B$6/2)</f>
        <v/>
      </c>
      <c r="L239" t="inlineStr">
        <is>
          <t>Average endpoints</t>
        </is>
      </c>
      <c r="M239" s="4">
        <f>SUMPRODUCT((E239:G239+E240:G240)/2,$B$17:$D$17)*$B$6</f>
        <v/>
      </c>
      <c r="N239" s="4">
        <f>M239*J239</f>
        <v/>
      </c>
      <c r="O239" s="4">
        <f>SUMPRODUCT((E239:G239+E240:G240)/2,$B$18:$D$18)*$B$6</f>
        <v/>
      </c>
      <c r="P239" s="4">
        <f>O239*J239</f>
        <v/>
      </c>
      <c r="Q239" s="4">
        <f>SUMPRODUCT((E239:G239+E240:G240)/2,$B$19:$D$19)*$B$6</f>
        <v/>
      </c>
      <c r="R239" s="4">
        <f>Q239*J239</f>
        <v/>
      </c>
      <c r="S239" s="4">
        <f>IF(A239=0,SUMPRODUCT((E239:G239+E240:G240)/2,$B$20:$D$20)*$B$6,0)</f>
        <v/>
      </c>
      <c r="T239" s="4">
        <f>S239*J239</f>
        <v/>
      </c>
      <c r="U239" s="4">
        <f>N239+P239+R239+T239</f>
        <v/>
      </c>
      <c r="V239">
        <f>SUMPRODUCT((E239:G239+E240:G240)/2,$B$24:$D$24)*$B$6</f>
        <v/>
      </c>
      <c r="W239" s="5">
        <f>V239*K239</f>
        <v/>
      </c>
      <c r="X239">
        <f>SUMPRODUCT((E239:G239+E240:G240)/2,$B$25:$D$25)*$B$6</f>
        <v/>
      </c>
      <c r="Y239">
        <f>X239*K239</f>
        <v/>
      </c>
    </row>
    <row r="240">
      <c r="A240" t="n">
        <v>211</v>
      </c>
      <c r="B240">
        <f>A240*$B$6</f>
        <v/>
      </c>
      <c r="C240" s="5">
        <f>EXP(-$B$12*B240)</f>
        <v/>
      </c>
      <c r="D240" s="5">
        <f>EXP(-$B$13*B240)</f>
        <v/>
      </c>
      <c r="E240">
        <f>C240</f>
        <v/>
      </c>
      <c r="F240">
        <f>D240-C240</f>
        <v/>
      </c>
      <c r="G240">
        <f>1-D240</f>
        <v/>
      </c>
      <c r="H240">
        <f>SUM(E240:G240)</f>
        <v/>
      </c>
      <c r="I240">
        <f>IF(AND(MIN(C240:D240)&gt;=0,MAX(C240:D240)&lt;=1,MIN(E240:G240)&gt;=-1E-10,ABS(H240-1)&lt;1E-8,C240&lt;=C239+1E-10,D240&lt;=D239+1E-10),"OK","ERROR")</f>
        <v/>
      </c>
      <c r="J240">
        <f>1/(1+$B$4)^(B240+$B$6/2)</f>
        <v/>
      </c>
      <c r="K240">
        <f>1/(1+$B$5)^(B240+$B$6/2)</f>
        <v/>
      </c>
      <c r="L240" t="inlineStr">
        <is>
          <t>Average endpoints</t>
        </is>
      </c>
      <c r="M240" s="4">
        <f>SUMPRODUCT((E240:G240+E241:G241)/2,$B$17:$D$17)*$B$6</f>
        <v/>
      </c>
      <c r="N240" s="4">
        <f>M240*J240</f>
        <v/>
      </c>
      <c r="O240" s="4">
        <f>SUMPRODUCT((E240:G240+E241:G241)/2,$B$18:$D$18)*$B$6</f>
        <v/>
      </c>
      <c r="P240" s="4">
        <f>O240*J240</f>
        <v/>
      </c>
      <c r="Q240" s="4">
        <f>SUMPRODUCT((E240:G240+E241:G241)/2,$B$19:$D$19)*$B$6</f>
        <v/>
      </c>
      <c r="R240" s="4">
        <f>Q240*J240</f>
        <v/>
      </c>
      <c r="S240" s="4">
        <f>IF(A240=0,SUMPRODUCT((E240:G240+E241:G241)/2,$B$20:$D$20)*$B$6,0)</f>
        <v/>
      </c>
      <c r="T240" s="4">
        <f>S240*J240</f>
        <v/>
      </c>
      <c r="U240" s="4">
        <f>N240+P240+R240+T240</f>
        <v/>
      </c>
      <c r="V240">
        <f>SUMPRODUCT((E240:G240+E241:G241)/2,$B$24:$D$24)*$B$6</f>
        <v/>
      </c>
      <c r="W240" s="5">
        <f>V240*K240</f>
        <v/>
      </c>
      <c r="X240">
        <f>SUMPRODUCT((E240:G240+E241:G241)/2,$B$25:$D$25)*$B$6</f>
        <v/>
      </c>
      <c r="Y240">
        <f>X240*K240</f>
        <v/>
      </c>
    </row>
    <row r="241">
      <c r="A241" t="n">
        <v>212</v>
      </c>
      <c r="B241">
        <f>A241*$B$6</f>
        <v/>
      </c>
      <c r="C241" s="5">
        <f>EXP(-$B$12*B241)</f>
        <v/>
      </c>
      <c r="D241" s="5">
        <f>EXP(-$B$13*B241)</f>
        <v/>
      </c>
      <c r="E241">
        <f>C241</f>
        <v/>
      </c>
      <c r="F241">
        <f>D241-C241</f>
        <v/>
      </c>
      <c r="G241">
        <f>1-D241</f>
        <v/>
      </c>
      <c r="H241">
        <f>SUM(E241:G241)</f>
        <v/>
      </c>
      <c r="I241">
        <f>IF(AND(MIN(C241:D241)&gt;=0,MAX(C241:D241)&lt;=1,MIN(E241:G241)&gt;=-1E-10,ABS(H241-1)&lt;1E-8,C241&lt;=C240+1E-10,D241&lt;=D240+1E-10),"OK","ERROR")</f>
        <v/>
      </c>
      <c r="J241">
        <f>1/(1+$B$4)^(B241+$B$6/2)</f>
        <v/>
      </c>
      <c r="K241">
        <f>1/(1+$B$5)^(B241+$B$6/2)</f>
        <v/>
      </c>
      <c r="L241" t="inlineStr">
        <is>
          <t>Average endpoints</t>
        </is>
      </c>
      <c r="M241" s="4">
        <f>SUMPRODUCT((E241:G241+E242:G242)/2,$B$17:$D$17)*$B$6</f>
        <v/>
      </c>
      <c r="N241" s="4">
        <f>M241*J241</f>
        <v/>
      </c>
      <c r="O241" s="4">
        <f>SUMPRODUCT((E241:G241+E242:G242)/2,$B$18:$D$18)*$B$6</f>
        <v/>
      </c>
      <c r="P241" s="4">
        <f>O241*J241</f>
        <v/>
      </c>
      <c r="Q241" s="4">
        <f>SUMPRODUCT((E241:G241+E242:G242)/2,$B$19:$D$19)*$B$6</f>
        <v/>
      </c>
      <c r="R241" s="4">
        <f>Q241*J241</f>
        <v/>
      </c>
      <c r="S241" s="4">
        <f>IF(A241=0,SUMPRODUCT((E241:G241+E242:G242)/2,$B$20:$D$20)*$B$6,0)</f>
        <v/>
      </c>
      <c r="T241" s="4">
        <f>S241*J241</f>
        <v/>
      </c>
      <c r="U241" s="4">
        <f>N241+P241+R241+T241</f>
        <v/>
      </c>
      <c r="V241">
        <f>SUMPRODUCT((E241:G241+E242:G242)/2,$B$24:$D$24)*$B$6</f>
        <v/>
      </c>
      <c r="W241" s="5">
        <f>V241*K241</f>
        <v/>
      </c>
      <c r="X241">
        <f>SUMPRODUCT((E241:G241+E242:G242)/2,$B$25:$D$25)*$B$6</f>
        <v/>
      </c>
      <c r="Y241">
        <f>X241*K241</f>
        <v/>
      </c>
    </row>
    <row r="242">
      <c r="A242" t="n">
        <v>213</v>
      </c>
      <c r="B242">
        <f>A242*$B$6</f>
        <v/>
      </c>
      <c r="C242" s="5">
        <f>EXP(-$B$12*B242)</f>
        <v/>
      </c>
      <c r="D242" s="5">
        <f>EXP(-$B$13*B242)</f>
        <v/>
      </c>
      <c r="E242">
        <f>C242</f>
        <v/>
      </c>
      <c r="F242">
        <f>D242-C242</f>
        <v/>
      </c>
      <c r="G242">
        <f>1-D242</f>
        <v/>
      </c>
      <c r="H242">
        <f>SUM(E242:G242)</f>
        <v/>
      </c>
      <c r="I242">
        <f>IF(AND(MIN(C242:D242)&gt;=0,MAX(C242:D242)&lt;=1,MIN(E242:G242)&gt;=-1E-10,ABS(H242-1)&lt;1E-8,C242&lt;=C241+1E-10,D242&lt;=D241+1E-10),"OK","ERROR")</f>
        <v/>
      </c>
      <c r="J242">
        <f>1/(1+$B$4)^(B242+$B$6/2)</f>
        <v/>
      </c>
      <c r="K242">
        <f>1/(1+$B$5)^(B242+$B$6/2)</f>
        <v/>
      </c>
      <c r="L242" t="inlineStr">
        <is>
          <t>Average endpoints</t>
        </is>
      </c>
      <c r="M242" s="4">
        <f>SUMPRODUCT((E242:G242+E243:G243)/2,$B$17:$D$17)*$B$6</f>
        <v/>
      </c>
      <c r="N242" s="4">
        <f>M242*J242</f>
        <v/>
      </c>
      <c r="O242" s="4">
        <f>SUMPRODUCT((E242:G242+E243:G243)/2,$B$18:$D$18)*$B$6</f>
        <v/>
      </c>
      <c r="P242" s="4">
        <f>O242*J242</f>
        <v/>
      </c>
      <c r="Q242" s="4">
        <f>SUMPRODUCT((E242:G242+E243:G243)/2,$B$19:$D$19)*$B$6</f>
        <v/>
      </c>
      <c r="R242" s="4">
        <f>Q242*J242</f>
        <v/>
      </c>
      <c r="S242" s="4">
        <f>IF(A242=0,SUMPRODUCT((E242:G242+E243:G243)/2,$B$20:$D$20)*$B$6,0)</f>
        <v/>
      </c>
      <c r="T242" s="4">
        <f>S242*J242</f>
        <v/>
      </c>
      <c r="U242" s="4">
        <f>N242+P242+R242+T242</f>
        <v/>
      </c>
      <c r="V242">
        <f>SUMPRODUCT((E242:G242+E243:G243)/2,$B$24:$D$24)*$B$6</f>
        <v/>
      </c>
      <c r="W242" s="5">
        <f>V242*K242</f>
        <v/>
      </c>
      <c r="X242">
        <f>SUMPRODUCT((E242:G242+E243:G243)/2,$B$25:$D$25)*$B$6</f>
        <v/>
      </c>
      <c r="Y242">
        <f>X242*K242</f>
        <v/>
      </c>
    </row>
    <row r="243">
      <c r="A243" t="n">
        <v>214</v>
      </c>
      <c r="B243">
        <f>A243*$B$6</f>
        <v/>
      </c>
      <c r="C243" s="5">
        <f>EXP(-$B$12*B243)</f>
        <v/>
      </c>
      <c r="D243" s="5">
        <f>EXP(-$B$13*B243)</f>
        <v/>
      </c>
      <c r="E243">
        <f>C243</f>
        <v/>
      </c>
      <c r="F243">
        <f>D243-C243</f>
        <v/>
      </c>
      <c r="G243">
        <f>1-D243</f>
        <v/>
      </c>
      <c r="H243">
        <f>SUM(E243:G243)</f>
        <v/>
      </c>
      <c r="I243">
        <f>IF(AND(MIN(C243:D243)&gt;=0,MAX(C243:D243)&lt;=1,MIN(E243:G243)&gt;=-1E-10,ABS(H243-1)&lt;1E-8,C243&lt;=C242+1E-10,D243&lt;=D242+1E-10),"OK","ERROR")</f>
        <v/>
      </c>
      <c r="J243">
        <f>1/(1+$B$4)^(B243+$B$6/2)</f>
        <v/>
      </c>
      <c r="K243">
        <f>1/(1+$B$5)^(B243+$B$6/2)</f>
        <v/>
      </c>
      <c r="L243" t="inlineStr">
        <is>
          <t>Average endpoints</t>
        </is>
      </c>
      <c r="M243" s="4">
        <f>SUMPRODUCT((E243:G243+E244:G244)/2,$B$17:$D$17)*$B$6</f>
        <v/>
      </c>
      <c r="N243" s="4">
        <f>M243*J243</f>
        <v/>
      </c>
      <c r="O243" s="4">
        <f>SUMPRODUCT((E243:G243+E244:G244)/2,$B$18:$D$18)*$B$6</f>
        <v/>
      </c>
      <c r="P243" s="4">
        <f>O243*J243</f>
        <v/>
      </c>
      <c r="Q243" s="4">
        <f>SUMPRODUCT((E243:G243+E244:G244)/2,$B$19:$D$19)*$B$6</f>
        <v/>
      </c>
      <c r="R243" s="4">
        <f>Q243*J243</f>
        <v/>
      </c>
      <c r="S243" s="4">
        <f>IF(A243=0,SUMPRODUCT((E243:G243+E244:G244)/2,$B$20:$D$20)*$B$6,0)</f>
        <v/>
      </c>
      <c r="T243" s="4">
        <f>S243*J243</f>
        <v/>
      </c>
      <c r="U243" s="4">
        <f>N243+P243+R243+T243</f>
        <v/>
      </c>
      <c r="V243">
        <f>SUMPRODUCT((E243:G243+E244:G244)/2,$B$24:$D$24)*$B$6</f>
        <v/>
      </c>
      <c r="W243" s="5">
        <f>V243*K243</f>
        <v/>
      </c>
      <c r="X243">
        <f>SUMPRODUCT((E243:G243+E244:G244)/2,$B$25:$D$25)*$B$6</f>
        <v/>
      </c>
      <c r="Y243">
        <f>X243*K243</f>
        <v/>
      </c>
    </row>
    <row r="244">
      <c r="A244" t="n">
        <v>215</v>
      </c>
      <c r="B244">
        <f>A244*$B$6</f>
        <v/>
      </c>
      <c r="C244" s="5">
        <f>EXP(-$B$12*B244)</f>
        <v/>
      </c>
      <c r="D244" s="5">
        <f>EXP(-$B$13*B244)</f>
        <v/>
      </c>
      <c r="E244">
        <f>C244</f>
        <v/>
      </c>
      <c r="F244">
        <f>D244-C244</f>
        <v/>
      </c>
      <c r="G244">
        <f>1-D244</f>
        <v/>
      </c>
      <c r="H244">
        <f>SUM(E244:G244)</f>
        <v/>
      </c>
      <c r="I244">
        <f>IF(AND(MIN(C244:D244)&gt;=0,MAX(C244:D244)&lt;=1,MIN(E244:G244)&gt;=-1E-10,ABS(H244-1)&lt;1E-8,C244&lt;=C243+1E-10,D244&lt;=D243+1E-10),"OK","ERROR")</f>
        <v/>
      </c>
      <c r="J244">
        <f>1/(1+$B$4)^(B244+$B$6/2)</f>
        <v/>
      </c>
      <c r="K244">
        <f>1/(1+$B$5)^(B244+$B$6/2)</f>
        <v/>
      </c>
      <c r="L244" t="inlineStr">
        <is>
          <t>Average endpoints</t>
        </is>
      </c>
      <c r="M244" s="4">
        <f>SUMPRODUCT((E244:G244+E245:G245)/2,$B$17:$D$17)*$B$6</f>
        <v/>
      </c>
      <c r="N244" s="4">
        <f>M244*J244</f>
        <v/>
      </c>
      <c r="O244" s="4">
        <f>SUMPRODUCT((E244:G244+E245:G245)/2,$B$18:$D$18)*$B$6</f>
        <v/>
      </c>
      <c r="P244" s="4">
        <f>O244*J244</f>
        <v/>
      </c>
      <c r="Q244" s="4">
        <f>SUMPRODUCT((E244:G244+E245:G245)/2,$B$19:$D$19)*$B$6</f>
        <v/>
      </c>
      <c r="R244" s="4">
        <f>Q244*J244</f>
        <v/>
      </c>
      <c r="S244" s="4">
        <f>IF(A244=0,SUMPRODUCT((E244:G244+E245:G245)/2,$B$20:$D$20)*$B$6,0)</f>
        <v/>
      </c>
      <c r="T244" s="4">
        <f>S244*J244</f>
        <v/>
      </c>
      <c r="U244" s="4">
        <f>N244+P244+R244+T244</f>
        <v/>
      </c>
      <c r="V244">
        <f>SUMPRODUCT((E244:G244+E245:G245)/2,$B$24:$D$24)*$B$6</f>
        <v/>
      </c>
      <c r="W244" s="5">
        <f>V244*K244</f>
        <v/>
      </c>
      <c r="X244">
        <f>SUMPRODUCT((E244:G244+E245:G245)/2,$B$25:$D$25)*$B$6</f>
        <v/>
      </c>
      <c r="Y244">
        <f>X244*K244</f>
        <v/>
      </c>
    </row>
    <row r="245">
      <c r="A245" t="n">
        <v>216</v>
      </c>
      <c r="B245">
        <f>A245*$B$6</f>
        <v/>
      </c>
      <c r="C245" s="5">
        <f>EXP(-$B$12*B245)</f>
        <v/>
      </c>
      <c r="D245" s="5">
        <f>EXP(-$B$13*B245)</f>
        <v/>
      </c>
      <c r="E245">
        <f>C245</f>
        <v/>
      </c>
      <c r="F245">
        <f>D245-C245</f>
        <v/>
      </c>
      <c r="G245">
        <f>1-D245</f>
        <v/>
      </c>
      <c r="H245">
        <f>SUM(E245:G245)</f>
        <v/>
      </c>
      <c r="I245">
        <f>IF(AND(MIN(C245:D245)&gt;=0,MAX(C245:D245)&lt;=1,MIN(E245:G245)&gt;=-1E-10,ABS(H245-1)&lt;1E-8,C245&lt;=C244+1E-10,D245&lt;=D244+1E-10),"OK","ERROR")</f>
        <v/>
      </c>
      <c r="J245">
        <f>1/(1+$B$4)^(B245+$B$6/2)</f>
        <v/>
      </c>
      <c r="K245">
        <f>1/(1+$B$5)^(B245+$B$6/2)</f>
        <v/>
      </c>
      <c r="L245" t="inlineStr">
        <is>
          <t>Average endpoints</t>
        </is>
      </c>
      <c r="M245" s="4">
        <f>SUMPRODUCT((E245:G245+E246:G246)/2,$B$17:$D$17)*$B$6</f>
        <v/>
      </c>
      <c r="N245" s="4">
        <f>M245*J245</f>
        <v/>
      </c>
      <c r="O245" s="4">
        <f>SUMPRODUCT((E245:G245+E246:G246)/2,$B$18:$D$18)*$B$6</f>
        <v/>
      </c>
      <c r="P245" s="4">
        <f>O245*J245</f>
        <v/>
      </c>
      <c r="Q245" s="4">
        <f>SUMPRODUCT((E245:G245+E246:G246)/2,$B$19:$D$19)*$B$6</f>
        <v/>
      </c>
      <c r="R245" s="4">
        <f>Q245*J245</f>
        <v/>
      </c>
      <c r="S245" s="4">
        <f>IF(A245=0,SUMPRODUCT((E245:G245+E246:G246)/2,$B$20:$D$20)*$B$6,0)</f>
        <v/>
      </c>
      <c r="T245" s="4">
        <f>S245*J245</f>
        <v/>
      </c>
      <c r="U245" s="4">
        <f>N245+P245+R245+T245</f>
        <v/>
      </c>
      <c r="V245">
        <f>SUMPRODUCT((E245:G245+E246:G246)/2,$B$24:$D$24)*$B$6</f>
        <v/>
      </c>
      <c r="W245" s="5">
        <f>V245*K245</f>
        <v/>
      </c>
      <c r="X245">
        <f>SUMPRODUCT((E245:G245+E246:G246)/2,$B$25:$D$25)*$B$6</f>
        <v/>
      </c>
      <c r="Y245">
        <f>X245*K245</f>
        <v/>
      </c>
    </row>
    <row r="246">
      <c r="A246" t="n">
        <v>217</v>
      </c>
      <c r="B246">
        <f>A246*$B$6</f>
        <v/>
      </c>
      <c r="C246" s="5">
        <f>EXP(-$B$12*B246)</f>
        <v/>
      </c>
      <c r="D246" s="5">
        <f>EXP(-$B$13*B246)</f>
        <v/>
      </c>
      <c r="E246">
        <f>C246</f>
        <v/>
      </c>
      <c r="F246">
        <f>D246-C246</f>
        <v/>
      </c>
      <c r="G246">
        <f>1-D246</f>
        <v/>
      </c>
      <c r="H246">
        <f>SUM(E246:G246)</f>
        <v/>
      </c>
      <c r="I246">
        <f>IF(AND(MIN(C246:D246)&gt;=0,MAX(C246:D246)&lt;=1,MIN(E246:G246)&gt;=-1E-10,ABS(H246-1)&lt;1E-8,C246&lt;=C245+1E-10,D246&lt;=D245+1E-10),"OK","ERROR")</f>
        <v/>
      </c>
      <c r="J246">
        <f>1/(1+$B$4)^(B246+$B$6/2)</f>
        <v/>
      </c>
      <c r="K246">
        <f>1/(1+$B$5)^(B246+$B$6/2)</f>
        <v/>
      </c>
      <c r="L246" t="inlineStr">
        <is>
          <t>Average endpoints</t>
        </is>
      </c>
      <c r="M246" s="4">
        <f>SUMPRODUCT((E246:G246+E247:G247)/2,$B$17:$D$17)*$B$6</f>
        <v/>
      </c>
      <c r="N246" s="4">
        <f>M246*J246</f>
        <v/>
      </c>
      <c r="O246" s="4">
        <f>SUMPRODUCT((E246:G246+E247:G247)/2,$B$18:$D$18)*$B$6</f>
        <v/>
      </c>
      <c r="P246" s="4">
        <f>O246*J246</f>
        <v/>
      </c>
      <c r="Q246" s="4">
        <f>SUMPRODUCT((E246:G246+E247:G247)/2,$B$19:$D$19)*$B$6</f>
        <v/>
      </c>
      <c r="R246" s="4">
        <f>Q246*J246</f>
        <v/>
      </c>
      <c r="S246" s="4">
        <f>IF(A246=0,SUMPRODUCT((E246:G246+E247:G247)/2,$B$20:$D$20)*$B$6,0)</f>
        <v/>
      </c>
      <c r="T246" s="4">
        <f>S246*J246</f>
        <v/>
      </c>
      <c r="U246" s="4">
        <f>N246+P246+R246+T246</f>
        <v/>
      </c>
      <c r="V246">
        <f>SUMPRODUCT((E246:G246+E247:G247)/2,$B$24:$D$24)*$B$6</f>
        <v/>
      </c>
      <c r="W246" s="5">
        <f>V246*K246</f>
        <v/>
      </c>
      <c r="X246">
        <f>SUMPRODUCT((E246:G246+E247:G247)/2,$B$25:$D$25)*$B$6</f>
        <v/>
      </c>
      <c r="Y246">
        <f>X246*K246</f>
        <v/>
      </c>
    </row>
    <row r="247">
      <c r="A247" t="n">
        <v>218</v>
      </c>
      <c r="B247">
        <f>A247*$B$6</f>
        <v/>
      </c>
      <c r="C247" s="5">
        <f>EXP(-$B$12*B247)</f>
        <v/>
      </c>
      <c r="D247" s="5">
        <f>EXP(-$B$13*B247)</f>
        <v/>
      </c>
      <c r="E247">
        <f>C247</f>
        <v/>
      </c>
      <c r="F247">
        <f>D247-C247</f>
        <v/>
      </c>
      <c r="G247">
        <f>1-D247</f>
        <v/>
      </c>
      <c r="H247">
        <f>SUM(E247:G247)</f>
        <v/>
      </c>
      <c r="I247">
        <f>IF(AND(MIN(C247:D247)&gt;=0,MAX(C247:D247)&lt;=1,MIN(E247:G247)&gt;=-1E-10,ABS(H247-1)&lt;1E-8,C247&lt;=C246+1E-10,D247&lt;=D246+1E-10),"OK","ERROR")</f>
        <v/>
      </c>
      <c r="J247">
        <f>1/(1+$B$4)^(B247+$B$6/2)</f>
        <v/>
      </c>
      <c r="K247">
        <f>1/(1+$B$5)^(B247+$B$6/2)</f>
        <v/>
      </c>
      <c r="L247" t="inlineStr">
        <is>
          <t>Average endpoints</t>
        </is>
      </c>
      <c r="M247" s="4">
        <f>SUMPRODUCT((E247:G247+E248:G248)/2,$B$17:$D$17)*$B$6</f>
        <v/>
      </c>
      <c r="N247" s="4">
        <f>M247*J247</f>
        <v/>
      </c>
      <c r="O247" s="4">
        <f>SUMPRODUCT((E247:G247+E248:G248)/2,$B$18:$D$18)*$B$6</f>
        <v/>
      </c>
      <c r="P247" s="4">
        <f>O247*J247</f>
        <v/>
      </c>
      <c r="Q247" s="4">
        <f>SUMPRODUCT((E247:G247+E248:G248)/2,$B$19:$D$19)*$B$6</f>
        <v/>
      </c>
      <c r="R247" s="4">
        <f>Q247*J247</f>
        <v/>
      </c>
      <c r="S247" s="4">
        <f>IF(A247=0,SUMPRODUCT((E247:G247+E248:G248)/2,$B$20:$D$20)*$B$6,0)</f>
        <v/>
      </c>
      <c r="T247" s="4">
        <f>S247*J247</f>
        <v/>
      </c>
      <c r="U247" s="4">
        <f>N247+P247+R247+T247</f>
        <v/>
      </c>
      <c r="V247">
        <f>SUMPRODUCT((E247:G247+E248:G248)/2,$B$24:$D$24)*$B$6</f>
        <v/>
      </c>
      <c r="W247" s="5">
        <f>V247*K247</f>
        <v/>
      </c>
      <c r="X247">
        <f>SUMPRODUCT((E247:G247+E248:G248)/2,$B$25:$D$25)*$B$6</f>
        <v/>
      </c>
      <c r="Y247">
        <f>X247*K247</f>
        <v/>
      </c>
    </row>
    <row r="248">
      <c r="A248" t="n">
        <v>219</v>
      </c>
      <c r="B248">
        <f>A248*$B$6</f>
        <v/>
      </c>
      <c r="C248" s="5">
        <f>EXP(-$B$12*B248)</f>
        <v/>
      </c>
      <c r="D248" s="5">
        <f>EXP(-$B$13*B248)</f>
        <v/>
      </c>
      <c r="E248">
        <f>C248</f>
        <v/>
      </c>
      <c r="F248">
        <f>D248-C248</f>
        <v/>
      </c>
      <c r="G248">
        <f>1-D248</f>
        <v/>
      </c>
      <c r="H248">
        <f>SUM(E248:G248)</f>
        <v/>
      </c>
      <c r="I248">
        <f>IF(AND(MIN(C248:D248)&gt;=0,MAX(C248:D248)&lt;=1,MIN(E248:G248)&gt;=-1E-10,ABS(H248-1)&lt;1E-8,C248&lt;=C247+1E-10,D248&lt;=D247+1E-10),"OK","ERROR")</f>
        <v/>
      </c>
      <c r="J248">
        <f>1/(1+$B$4)^(B248+$B$6/2)</f>
        <v/>
      </c>
      <c r="K248">
        <f>1/(1+$B$5)^(B248+$B$6/2)</f>
        <v/>
      </c>
      <c r="L248" t="inlineStr">
        <is>
          <t>Average endpoints</t>
        </is>
      </c>
      <c r="M248" s="4">
        <f>SUMPRODUCT((E248:G248+E249:G249)/2,$B$17:$D$17)*$B$6</f>
        <v/>
      </c>
      <c r="N248" s="4">
        <f>M248*J248</f>
        <v/>
      </c>
      <c r="O248" s="4">
        <f>SUMPRODUCT((E248:G248+E249:G249)/2,$B$18:$D$18)*$B$6</f>
        <v/>
      </c>
      <c r="P248" s="4">
        <f>O248*J248</f>
        <v/>
      </c>
      <c r="Q248" s="4">
        <f>SUMPRODUCT((E248:G248+E249:G249)/2,$B$19:$D$19)*$B$6</f>
        <v/>
      </c>
      <c r="R248" s="4">
        <f>Q248*J248</f>
        <v/>
      </c>
      <c r="S248" s="4">
        <f>IF(A248=0,SUMPRODUCT((E248:G248+E249:G249)/2,$B$20:$D$20)*$B$6,0)</f>
        <v/>
      </c>
      <c r="T248" s="4">
        <f>S248*J248</f>
        <v/>
      </c>
      <c r="U248" s="4">
        <f>N248+P248+R248+T248</f>
        <v/>
      </c>
      <c r="V248">
        <f>SUMPRODUCT((E248:G248+E249:G249)/2,$B$24:$D$24)*$B$6</f>
        <v/>
      </c>
      <c r="W248" s="5">
        <f>V248*K248</f>
        <v/>
      </c>
      <c r="X248">
        <f>SUMPRODUCT((E248:G248+E249:G249)/2,$B$25:$D$25)*$B$6</f>
        <v/>
      </c>
      <c r="Y248">
        <f>X248*K248</f>
        <v/>
      </c>
    </row>
    <row r="249">
      <c r="A249" t="n">
        <v>220</v>
      </c>
      <c r="B249">
        <f>A249*$B$6</f>
        <v/>
      </c>
      <c r="C249" s="5">
        <f>EXP(-$B$12*B249)</f>
        <v/>
      </c>
      <c r="D249" s="5">
        <f>EXP(-$B$13*B249)</f>
        <v/>
      </c>
      <c r="E249">
        <f>C249</f>
        <v/>
      </c>
      <c r="F249">
        <f>D249-C249</f>
        <v/>
      </c>
      <c r="G249">
        <f>1-D249</f>
        <v/>
      </c>
      <c r="H249">
        <f>SUM(E249:G249)</f>
        <v/>
      </c>
      <c r="I249">
        <f>IF(AND(MIN(C249:D249)&gt;=0,MAX(C249:D249)&lt;=1,MIN(E249:G249)&gt;=-1E-10,ABS(H249-1)&lt;1E-8,C249&lt;=C248+1E-10,D249&lt;=D248+1E-10),"OK","ERROR")</f>
        <v/>
      </c>
      <c r="J249">
        <f>1/(1+$B$4)^(B249+$B$6/2)</f>
        <v/>
      </c>
      <c r="K249">
        <f>1/(1+$B$5)^(B249+$B$6/2)</f>
        <v/>
      </c>
      <c r="L249" t="inlineStr">
        <is>
          <t>Average endpoints</t>
        </is>
      </c>
      <c r="M249" s="4">
        <f>SUMPRODUCT((E249:G249+E250:G250)/2,$B$17:$D$17)*$B$6</f>
        <v/>
      </c>
      <c r="N249" s="4">
        <f>M249*J249</f>
        <v/>
      </c>
      <c r="O249" s="4">
        <f>SUMPRODUCT((E249:G249+E250:G250)/2,$B$18:$D$18)*$B$6</f>
        <v/>
      </c>
      <c r="P249" s="4">
        <f>O249*J249</f>
        <v/>
      </c>
      <c r="Q249" s="4">
        <f>SUMPRODUCT((E249:G249+E250:G250)/2,$B$19:$D$19)*$B$6</f>
        <v/>
      </c>
      <c r="R249" s="4">
        <f>Q249*J249</f>
        <v/>
      </c>
      <c r="S249" s="4">
        <f>IF(A249=0,SUMPRODUCT((E249:G249+E250:G250)/2,$B$20:$D$20)*$B$6,0)</f>
        <v/>
      </c>
      <c r="T249" s="4">
        <f>S249*J249</f>
        <v/>
      </c>
      <c r="U249" s="4">
        <f>N249+P249+R249+T249</f>
        <v/>
      </c>
      <c r="V249">
        <f>SUMPRODUCT((E249:G249+E250:G250)/2,$B$24:$D$24)*$B$6</f>
        <v/>
      </c>
      <c r="W249" s="5">
        <f>V249*K249</f>
        <v/>
      </c>
      <c r="X249">
        <f>SUMPRODUCT((E249:G249+E250:G250)/2,$B$25:$D$25)*$B$6</f>
        <v/>
      </c>
      <c r="Y249">
        <f>X249*K249</f>
        <v/>
      </c>
    </row>
    <row r="250">
      <c r="A250" t="n">
        <v>221</v>
      </c>
      <c r="B250">
        <f>A250*$B$6</f>
        <v/>
      </c>
      <c r="C250" s="5">
        <f>EXP(-$B$12*B250)</f>
        <v/>
      </c>
      <c r="D250" s="5">
        <f>EXP(-$B$13*B250)</f>
        <v/>
      </c>
      <c r="E250">
        <f>C250</f>
        <v/>
      </c>
      <c r="F250">
        <f>D250-C250</f>
        <v/>
      </c>
      <c r="G250">
        <f>1-D250</f>
        <v/>
      </c>
      <c r="H250">
        <f>SUM(E250:G250)</f>
        <v/>
      </c>
      <c r="I250">
        <f>IF(AND(MIN(C250:D250)&gt;=0,MAX(C250:D250)&lt;=1,MIN(E250:G250)&gt;=-1E-10,ABS(H250-1)&lt;1E-8,C250&lt;=C249+1E-10,D250&lt;=D249+1E-10),"OK","ERROR")</f>
        <v/>
      </c>
      <c r="J250">
        <f>1/(1+$B$4)^(B250+$B$6/2)</f>
        <v/>
      </c>
      <c r="K250">
        <f>1/(1+$B$5)^(B250+$B$6/2)</f>
        <v/>
      </c>
      <c r="L250" t="inlineStr">
        <is>
          <t>Average endpoints</t>
        </is>
      </c>
      <c r="M250" s="4">
        <f>SUMPRODUCT((E250:G250+E251:G251)/2,$B$17:$D$17)*$B$6</f>
        <v/>
      </c>
      <c r="N250" s="4">
        <f>M250*J250</f>
        <v/>
      </c>
      <c r="O250" s="4">
        <f>SUMPRODUCT((E250:G250+E251:G251)/2,$B$18:$D$18)*$B$6</f>
        <v/>
      </c>
      <c r="P250" s="4">
        <f>O250*J250</f>
        <v/>
      </c>
      <c r="Q250" s="4">
        <f>SUMPRODUCT((E250:G250+E251:G251)/2,$B$19:$D$19)*$B$6</f>
        <v/>
      </c>
      <c r="R250" s="4">
        <f>Q250*J250</f>
        <v/>
      </c>
      <c r="S250" s="4">
        <f>IF(A250=0,SUMPRODUCT((E250:G250+E251:G251)/2,$B$20:$D$20)*$B$6,0)</f>
        <v/>
      </c>
      <c r="T250" s="4">
        <f>S250*J250</f>
        <v/>
      </c>
      <c r="U250" s="4">
        <f>N250+P250+R250+T250</f>
        <v/>
      </c>
      <c r="V250">
        <f>SUMPRODUCT((E250:G250+E251:G251)/2,$B$24:$D$24)*$B$6</f>
        <v/>
      </c>
      <c r="W250" s="5">
        <f>V250*K250</f>
        <v/>
      </c>
      <c r="X250">
        <f>SUMPRODUCT((E250:G250+E251:G251)/2,$B$25:$D$25)*$B$6</f>
        <v/>
      </c>
      <c r="Y250">
        <f>X250*K250</f>
        <v/>
      </c>
    </row>
    <row r="251">
      <c r="A251" t="n">
        <v>222</v>
      </c>
      <c r="B251">
        <f>A251*$B$6</f>
        <v/>
      </c>
      <c r="C251" s="5">
        <f>EXP(-$B$12*B251)</f>
        <v/>
      </c>
      <c r="D251" s="5">
        <f>EXP(-$B$13*B251)</f>
        <v/>
      </c>
      <c r="E251">
        <f>C251</f>
        <v/>
      </c>
      <c r="F251">
        <f>D251-C251</f>
        <v/>
      </c>
      <c r="G251">
        <f>1-D251</f>
        <v/>
      </c>
      <c r="H251">
        <f>SUM(E251:G251)</f>
        <v/>
      </c>
      <c r="I251">
        <f>IF(AND(MIN(C251:D251)&gt;=0,MAX(C251:D251)&lt;=1,MIN(E251:G251)&gt;=-1E-10,ABS(H251-1)&lt;1E-8,C251&lt;=C250+1E-10,D251&lt;=D250+1E-10),"OK","ERROR")</f>
        <v/>
      </c>
      <c r="J251">
        <f>1/(1+$B$4)^(B251+$B$6/2)</f>
        <v/>
      </c>
      <c r="K251">
        <f>1/(1+$B$5)^(B251+$B$6/2)</f>
        <v/>
      </c>
      <c r="L251" t="inlineStr">
        <is>
          <t>Average endpoints</t>
        </is>
      </c>
      <c r="M251" s="4">
        <f>SUMPRODUCT((E251:G251+E252:G252)/2,$B$17:$D$17)*$B$6</f>
        <v/>
      </c>
      <c r="N251" s="4">
        <f>M251*J251</f>
        <v/>
      </c>
      <c r="O251" s="4">
        <f>SUMPRODUCT((E251:G251+E252:G252)/2,$B$18:$D$18)*$B$6</f>
        <v/>
      </c>
      <c r="P251" s="4">
        <f>O251*J251</f>
        <v/>
      </c>
      <c r="Q251" s="4">
        <f>SUMPRODUCT((E251:G251+E252:G252)/2,$B$19:$D$19)*$B$6</f>
        <v/>
      </c>
      <c r="R251" s="4">
        <f>Q251*J251</f>
        <v/>
      </c>
      <c r="S251" s="4">
        <f>IF(A251=0,SUMPRODUCT((E251:G251+E252:G252)/2,$B$20:$D$20)*$B$6,0)</f>
        <v/>
      </c>
      <c r="T251" s="4">
        <f>S251*J251</f>
        <v/>
      </c>
      <c r="U251" s="4">
        <f>N251+P251+R251+T251</f>
        <v/>
      </c>
      <c r="V251">
        <f>SUMPRODUCT((E251:G251+E252:G252)/2,$B$24:$D$24)*$B$6</f>
        <v/>
      </c>
      <c r="W251" s="5">
        <f>V251*K251</f>
        <v/>
      </c>
      <c r="X251">
        <f>SUMPRODUCT((E251:G251+E252:G252)/2,$B$25:$D$25)*$B$6</f>
        <v/>
      </c>
      <c r="Y251">
        <f>X251*K251</f>
        <v/>
      </c>
    </row>
    <row r="252">
      <c r="A252" t="n">
        <v>223</v>
      </c>
      <c r="B252">
        <f>A252*$B$6</f>
        <v/>
      </c>
      <c r="C252" s="5">
        <f>EXP(-$B$12*B252)</f>
        <v/>
      </c>
      <c r="D252" s="5">
        <f>EXP(-$B$13*B252)</f>
        <v/>
      </c>
      <c r="E252">
        <f>C252</f>
        <v/>
      </c>
      <c r="F252">
        <f>D252-C252</f>
        <v/>
      </c>
      <c r="G252">
        <f>1-D252</f>
        <v/>
      </c>
      <c r="H252">
        <f>SUM(E252:G252)</f>
        <v/>
      </c>
      <c r="I252">
        <f>IF(AND(MIN(C252:D252)&gt;=0,MAX(C252:D252)&lt;=1,MIN(E252:G252)&gt;=-1E-10,ABS(H252-1)&lt;1E-8,C252&lt;=C251+1E-10,D252&lt;=D251+1E-10),"OK","ERROR")</f>
        <v/>
      </c>
      <c r="J252">
        <f>1/(1+$B$4)^(B252+$B$6/2)</f>
        <v/>
      </c>
      <c r="K252">
        <f>1/(1+$B$5)^(B252+$B$6/2)</f>
        <v/>
      </c>
      <c r="L252" t="inlineStr">
        <is>
          <t>Average endpoints</t>
        </is>
      </c>
      <c r="M252" s="4">
        <f>SUMPRODUCT((E252:G252+E253:G253)/2,$B$17:$D$17)*$B$6</f>
        <v/>
      </c>
      <c r="N252" s="4">
        <f>M252*J252</f>
        <v/>
      </c>
      <c r="O252" s="4">
        <f>SUMPRODUCT((E252:G252+E253:G253)/2,$B$18:$D$18)*$B$6</f>
        <v/>
      </c>
      <c r="P252" s="4">
        <f>O252*J252</f>
        <v/>
      </c>
      <c r="Q252" s="4">
        <f>SUMPRODUCT((E252:G252+E253:G253)/2,$B$19:$D$19)*$B$6</f>
        <v/>
      </c>
      <c r="R252" s="4">
        <f>Q252*J252</f>
        <v/>
      </c>
      <c r="S252" s="4">
        <f>IF(A252=0,SUMPRODUCT((E252:G252+E253:G253)/2,$B$20:$D$20)*$B$6,0)</f>
        <v/>
      </c>
      <c r="T252" s="4">
        <f>S252*J252</f>
        <v/>
      </c>
      <c r="U252" s="4">
        <f>N252+P252+R252+T252</f>
        <v/>
      </c>
      <c r="V252">
        <f>SUMPRODUCT((E252:G252+E253:G253)/2,$B$24:$D$24)*$B$6</f>
        <v/>
      </c>
      <c r="W252" s="5">
        <f>V252*K252</f>
        <v/>
      </c>
      <c r="X252">
        <f>SUMPRODUCT((E252:G252+E253:G253)/2,$B$25:$D$25)*$B$6</f>
        <v/>
      </c>
      <c r="Y252">
        <f>X252*K252</f>
        <v/>
      </c>
    </row>
    <row r="253">
      <c r="A253" t="n">
        <v>224</v>
      </c>
      <c r="B253">
        <f>A253*$B$6</f>
        <v/>
      </c>
      <c r="C253" s="5">
        <f>EXP(-$B$12*B253)</f>
        <v/>
      </c>
      <c r="D253" s="5">
        <f>EXP(-$B$13*B253)</f>
        <v/>
      </c>
      <c r="E253">
        <f>C253</f>
        <v/>
      </c>
      <c r="F253">
        <f>D253-C253</f>
        <v/>
      </c>
      <c r="G253">
        <f>1-D253</f>
        <v/>
      </c>
      <c r="H253">
        <f>SUM(E253:G253)</f>
        <v/>
      </c>
      <c r="I253">
        <f>IF(AND(MIN(C253:D253)&gt;=0,MAX(C253:D253)&lt;=1,MIN(E253:G253)&gt;=-1E-10,ABS(H253-1)&lt;1E-8,C253&lt;=C252+1E-10,D253&lt;=D252+1E-10),"OK","ERROR")</f>
        <v/>
      </c>
      <c r="J253">
        <f>1/(1+$B$4)^(B253+$B$6/2)</f>
        <v/>
      </c>
      <c r="K253">
        <f>1/(1+$B$5)^(B253+$B$6/2)</f>
        <v/>
      </c>
      <c r="L253" t="inlineStr">
        <is>
          <t>Average endpoints</t>
        </is>
      </c>
      <c r="M253" s="4">
        <f>SUMPRODUCT((E253:G253+E254:G254)/2,$B$17:$D$17)*$B$6</f>
        <v/>
      </c>
      <c r="N253" s="4">
        <f>M253*J253</f>
        <v/>
      </c>
      <c r="O253" s="4">
        <f>SUMPRODUCT((E253:G253+E254:G254)/2,$B$18:$D$18)*$B$6</f>
        <v/>
      </c>
      <c r="P253" s="4">
        <f>O253*J253</f>
        <v/>
      </c>
      <c r="Q253" s="4">
        <f>SUMPRODUCT((E253:G253+E254:G254)/2,$B$19:$D$19)*$B$6</f>
        <v/>
      </c>
      <c r="R253" s="4">
        <f>Q253*J253</f>
        <v/>
      </c>
      <c r="S253" s="4">
        <f>IF(A253=0,SUMPRODUCT((E253:G253+E254:G254)/2,$B$20:$D$20)*$B$6,0)</f>
        <v/>
      </c>
      <c r="T253" s="4">
        <f>S253*J253</f>
        <v/>
      </c>
      <c r="U253" s="4">
        <f>N253+P253+R253+T253</f>
        <v/>
      </c>
      <c r="V253">
        <f>SUMPRODUCT((E253:G253+E254:G254)/2,$B$24:$D$24)*$B$6</f>
        <v/>
      </c>
      <c r="W253" s="5">
        <f>V253*K253</f>
        <v/>
      </c>
      <c r="X253">
        <f>SUMPRODUCT((E253:G253+E254:G254)/2,$B$25:$D$25)*$B$6</f>
        <v/>
      </c>
      <c r="Y253">
        <f>X253*K253</f>
        <v/>
      </c>
    </row>
    <row r="254">
      <c r="A254" t="n">
        <v>225</v>
      </c>
      <c r="B254">
        <f>A254*$B$6</f>
        <v/>
      </c>
      <c r="C254" s="5">
        <f>EXP(-$B$12*B254)</f>
        <v/>
      </c>
      <c r="D254" s="5">
        <f>EXP(-$B$13*B254)</f>
        <v/>
      </c>
      <c r="E254">
        <f>C254</f>
        <v/>
      </c>
      <c r="F254">
        <f>D254-C254</f>
        <v/>
      </c>
      <c r="G254">
        <f>1-D254</f>
        <v/>
      </c>
      <c r="H254">
        <f>SUM(E254:G254)</f>
        <v/>
      </c>
      <c r="I254">
        <f>IF(AND(MIN(C254:D254)&gt;=0,MAX(C254:D254)&lt;=1,MIN(E254:G254)&gt;=-1E-10,ABS(H254-1)&lt;1E-8,C254&lt;=C253+1E-10,D254&lt;=D253+1E-10),"OK","ERROR")</f>
        <v/>
      </c>
      <c r="J254">
        <f>1/(1+$B$4)^(B254+$B$6/2)</f>
        <v/>
      </c>
      <c r="K254">
        <f>1/(1+$B$5)^(B254+$B$6/2)</f>
        <v/>
      </c>
      <c r="L254" t="inlineStr">
        <is>
          <t>Average endpoints</t>
        </is>
      </c>
      <c r="M254" s="4">
        <f>SUMPRODUCT((E254:G254+E255:G255)/2,$B$17:$D$17)*$B$6</f>
        <v/>
      </c>
      <c r="N254" s="4">
        <f>M254*J254</f>
        <v/>
      </c>
      <c r="O254" s="4">
        <f>SUMPRODUCT((E254:G254+E255:G255)/2,$B$18:$D$18)*$B$6</f>
        <v/>
      </c>
      <c r="P254" s="4">
        <f>O254*J254</f>
        <v/>
      </c>
      <c r="Q254" s="4">
        <f>SUMPRODUCT((E254:G254+E255:G255)/2,$B$19:$D$19)*$B$6</f>
        <v/>
      </c>
      <c r="R254" s="4">
        <f>Q254*J254</f>
        <v/>
      </c>
      <c r="S254" s="4">
        <f>IF(A254=0,SUMPRODUCT((E254:G254+E255:G255)/2,$B$20:$D$20)*$B$6,0)</f>
        <v/>
      </c>
      <c r="T254" s="4">
        <f>S254*J254</f>
        <v/>
      </c>
      <c r="U254" s="4">
        <f>N254+P254+R254+T254</f>
        <v/>
      </c>
      <c r="V254">
        <f>SUMPRODUCT((E254:G254+E255:G255)/2,$B$24:$D$24)*$B$6</f>
        <v/>
      </c>
      <c r="W254" s="5">
        <f>V254*K254</f>
        <v/>
      </c>
      <c r="X254">
        <f>SUMPRODUCT((E254:G254+E255:G255)/2,$B$25:$D$25)*$B$6</f>
        <v/>
      </c>
      <c r="Y254">
        <f>X254*K254</f>
        <v/>
      </c>
    </row>
    <row r="255">
      <c r="A255" t="n">
        <v>226</v>
      </c>
      <c r="B255">
        <f>A255*$B$6</f>
        <v/>
      </c>
      <c r="C255" s="5">
        <f>EXP(-$B$12*B255)</f>
        <v/>
      </c>
      <c r="D255" s="5">
        <f>EXP(-$B$13*B255)</f>
        <v/>
      </c>
      <c r="E255">
        <f>C255</f>
        <v/>
      </c>
      <c r="F255">
        <f>D255-C255</f>
        <v/>
      </c>
      <c r="G255">
        <f>1-D255</f>
        <v/>
      </c>
      <c r="H255">
        <f>SUM(E255:G255)</f>
        <v/>
      </c>
      <c r="I255">
        <f>IF(AND(MIN(C255:D255)&gt;=0,MAX(C255:D255)&lt;=1,MIN(E255:G255)&gt;=-1E-10,ABS(H255-1)&lt;1E-8,C255&lt;=C254+1E-10,D255&lt;=D254+1E-10),"OK","ERROR")</f>
        <v/>
      </c>
      <c r="J255">
        <f>1/(1+$B$4)^(B255+$B$6/2)</f>
        <v/>
      </c>
      <c r="K255">
        <f>1/(1+$B$5)^(B255+$B$6/2)</f>
        <v/>
      </c>
      <c r="L255" t="inlineStr">
        <is>
          <t>Average endpoints</t>
        </is>
      </c>
      <c r="M255" s="4">
        <f>SUMPRODUCT((E255:G255+E256:G256)/2,$B$17:$D$17)*$B$6</f>
        <v/>
      </c>
      <c r="N255" s="4">
        <f>M255*J255</f>
        <v/>
      </c>
      <c r="O255" s="4">
        <f>SUMPRODUCT((E255:G255+E256:G256)/2,$B$18:$D$18)*$B$6</f>
        <v/>
      </c>
      <c r="P255" s="4">
        <f>O255*J255</f>
        <v/>
      </c>
      <c r="Q255" s="4">
        <f>SUMPRODUCT((E255:G255+E256:G256)/2,$B$19:$D$19)*$B$6</f>
        <v/>
      </c>
      <c r="R255" s="4">
        <f>Q255*J255</f>
        <v/>
      </c>
      <c r="S255" s="4">
        <f>IF(A255=0,SUMPRODUCT((E255:G255+E256:G256)/2,$B$20:$D$20)*$B$6,0)</f>
        <v/>
      </c>
      <c r="T255" s="4">
        <f>S255*J255</f>
        <v/>
      </c>
      <c r="U255" s="4">
        <f>N255+P255+R255+T255</f>
        <v/>
      </c>
      <c r="V255">
        <f>SUMPRODUCT((E255:G255+E256:G256)/2,$B$24:$D$24)*$B$6</f>
        <v/>
      </c>
      <c r="W255" s="5">
        <f>V255*K255</f>
        <v/>
      </c>
      <c r="X255">
        <f>SUMPRODUCT((E255:G255+E256:G256)/2,$B$25:$D$25)*$B$6</f>
        <v/>
      </c>
      <c r="Y255">
        <f>X255*K255</f>
        <v/>
      </c>
    </row>
    <row r="256">
      <c r="A256" t="n">
        <v>227</v>
      </c>
      <c r="B256">
        <f>A256*$B$6</f>
        <v/>
      </c>
      <c r="C256" s="5">
        <f>EXP(-$B$12*B256)</f>
        <v/>
      </c>
      <c r="D256" s="5">
        <f>EXP(-$B$13*B256)</f>
        <v/>
      </c>
      <c r="E256">
        <f>C256</f>
        <v/>
      </c>
      <c r="F256">
        <f>D256-C256</f>
        <v/>
      </c>
      <c r="G256">
        <f>1-D256</f>
        <v/>
      </c>
      <c r="H256">
        <f>SUM(E256:G256)</f>
        <v/>
      </c>
      <c r="I256">
        <f>IF(AND(MIN(C256:D256)&gt;=0,MAX(C256:D256)&lt;=1,MIN(E256:G256)&gt;=-1E-10,ABS(H256-1)&lt;1E-8,C256&lt;=C255+1E-10,D256&lt;=D255+1E-10),"OK","ERROR")</f>
        <v/>
      </c>
      <c r="J256">
        <f>1/(1+$B$4)^(B256+$B$6/2)</f>
        <v/>
      </c>
      <c r="K256">
        <f>1/(1+$B$5)^(B256+$B$6/2)</f>
        <v/>
      </c>
      <c r="L256" t="inlineStr">
        <is>
          <t>Average endpoints</t>
        </is>
      </c>
      <c r="M256" s="4">
        <f>SUMPRODUCT((E256:G256+E257:G257)/2,$B$17:$D$17)*$B$6</f>
        <v/>
      </c>
      <c r="N256" s="4">
        <f>M256*J256</f>
        <v/>
      </c>
      <c r="O256" s="4">
        <f>SUMPRODUCT((E256:G256+E257:G257)/2,$B$18:$D$18)*$B$6</f>
        <v/>
      </c>
      <c r="P256" s="4">
        <f>O256*J256</f>
        <v/>
      </c>
      <c r="Q256" s="4">
        <f>SUMPRODUCT((E256:G256+E257:G257)/2,$B$19:$D$19)*$B$6</f>
        <v/>
      </c>
      <c r="R256" s="4">
        <f>Q256*J256</f>
        <v/>
      </c>
      <c r="S256" s="4">
        <f>IF(A256=0,SUMPRODUCT((E256:G256+E257:G257)/2,$B$20:$D$20)*$B$6,0)</f>
        <v/>
      </c>
      <c r="T256" s="4">
        <f>S256*J256</f>
        <v/>
      </c>
      <c r="U256" s="4">
        <f>N256+P256+R256+T256</f>
        <v/>
      </c>
      <c r="V256">
        <f>SUMPRODUCT((E256:G256+E257:G257)/2,$B$24:$D$24)*$B$6</f>
        <v/>
      </c>
      <c r="W256" s="5">
        <f>V256*K256</f>
        <v/>
      </c>
      <c r="X256">
        <f>SUMPRODUCT((E256:G256+E257:G257)/2,$B$25:$D$25)*$B$6</f>
        <v/>
      </c>
      <c r="Y256">
        <f>X256*K256</f>
        <v/>
      </c>
    </row>
    <row r="257">
      <c r="A257" t="n">
        <v>228</v>
      </c>
      <c r="B257">
        <f>A257*$B$6</f>
        <v/>
      </c>
      <c r="C257" s="5">
        <f>EXP(-$B$12*B257)</f>
        <v/>
      </c>
      <c r="D257" s="5">
        <f>EXP(-$B$13*B257)</f>
        <v/>
      </c>
      <c r="E257">
        <f>C257</f>
        <v/>
      </c>
      <c r="F257">
        <f>D257-C257</f>
        <v/>
      </c>
      <c r="G257">
        <f>1-D257</f>
        <v/>
      </c>
      <c r="H257">
        <f>SUM(E257:G257)</f>
        <v/>
      </c>
      <c r="I257">
        <f>IF(AND(MIN(C257:D257)&gt;=0,MAX(C257:D257)&lt;=1,MIN(E257:G257)&gt;=-1E-10,ABS(H257-1)&lt;1E-8,C257&lt;=C256+1E-10,D257&lt;=D256+1E-10),"OK","ERROR")</f>
        <v/>
      </c>
      <c r="J257">
        <f>1/(1+$B$4)^(B257+$B$6/2)</f>
        <v/>
      </c>
      <c r="K257">
        <f>1/(1+$B$5)^(B257+$B$6/2)</f>
        <v/>
      </c>
      <c r="L257" t="inlineStr">
        <is>
          <t>Average endpoints</t>
        </is>
      </c>
      <c r="M257" s="4">
        <f>SUMPRODUCT((E257:G257+E258:G258)/2,$B$17:$D$17)*$B$6</f>
        <v/>
      </c>
      <c r="N257" s="4">
        <f>M257*J257</f>
        <v/>
      </c>
      <c r="O257" s="4">
        <f>SUMPRODUCT((E257:G257+E258:G258)/2,$B$18:$D$18)*$B$6</f>
        <v/>
      </c>
      <c r="P257" s="4">
        <f>O257*J257</f>
        <v/>
      </c>
      <c r="Q257" s="4">
        <f>SUMPRODUCT((E257:G257+E258:G258)/2,$B$19:$D$19)*$B$6</f>
        <v/>
      </c>
      <c r="R257" s="4">
        <f>Q257*J257</f>
        <v/>
      </c>
      <c r="S257" s="4">
        <f>IF(A257=0,SUMPRODUCT((E257:G257+E258:G258)/2,$B$20:$D$20)*$B$6,0)</f>
        <v/>
      </c>
      <c r="T257" s="4">
        <f>S257*J257</f>
        <v/>
      </c>
      <c r="U257" s="4">
        <f>N257+P257+R257+T257</f>
        <v/>
      </c>
      <c r="V257">
        <f>SUMPRODUCT((E257:G257+E258:G258)/2,$B$24:$D$24)*$B$6</f>
        <v/>
      </c>
      <c r="W257" s="5">
        <f>V257*K257</f>
        <v/>
      </c>
      <c r="X257">
        <f>SUMPRODUCT((E257:G257+E258:G258)/2,$B$25:$D$25)*$B$6</f>
        <v/>
      </c>
      <c r="Y257">
        <f>X257*K257</f>
        <v/>
      </c>
    </row>
    <row r="258">
      <c r="A258" t="n">
        <v>229</v>
      </c>
      <c r="B258">
        <f>A258*$B$6</f>
        <v/>
      </c>
      <c r="C258" s="5">
        <f>EXP(-$B$12*B258)</f>
        <v/>
      </c>
      <c r="D258" s="5">
        <f>EXP(-$B$13*B258)</f>
        <v/>
      </c>
      <c r="E258">
        <f>C258</f>
        <v/>
      </c>
      <c r="F258">
        <f>D258-C258</f>
        <v/>
      </c>
      <c r="G258">
        <f>1-D258</f>
        <v/>
      </c>
      <c r="H258">
        <f>SUM(E258:G258)</f>
        <v/>
      </c>
      <c r="I258">
        <f>IF(AND(MIN(C258:D258)&gt;=0,MAX(C258:D258)&lt;=1,MIN(E258:G258)&gt;=-1E-10,ABS(H258-1)&lt;1E-8,C258&lt;=C257+1E-10,D258&lt;=D257+1E-10),"OK","ERROR")</f>
        <v/>
      </c>
      <c r="J258">
        <f>1/(1+$B$4)^(B258+$B$6/2)</f>
        <v/>
      </c>
      <c r="K258">
        <f>1/(1+$B$5)^(B258+$B$6/2)</f>
        <v/>
      </c>
      <c r="L258" t="inlineStr">
        <is>
          <t>Average endpoints</t>
        </is>
      </c>
      <c r="M258" s="4">
        <f>SUMPRODUCT((E258:G258+E259:G259)/2,$B$17:$D$17)*$B$6</f>
        <v/>
      </c>
      <c r="N258" s="4">
        <f>M258*J258</f>
        <v/>
      </c>
      <c r="O258" s="4">
        <f>SUMPRODUCT((E258:G258+E259:G259)/2,$B$18:$D$18)*$B$6</f>
        <v/>
      </c>
      <c r="P258" s="4">
        <f>O258*J258</f>
        <v/>
      </c>
      <c r="Q258" s="4">
        <f>SUMPRODUCT((E258:G258+E259:G259)/2,$B$19:$D$19)*$B$6</f>
        <v/>
      </c>
      <c r="R258" s="4">
        <f>Q258*J258</f>
        <v/>
      </c>
      <c r="S258" s="4">
        <f>IF(A258=0,SUMPRODUCT((E258:G258+E259:G259)/2,$B$20:$D$20)*$B$6,0)</f>
        <v/>
      </c>
      <c r="T258" s="4">
        <f>S258*J258</f>
        <v/>
      </c>
      <c r="U258" s="4">
        <f>N258+P258+R258+T258</f>
        <v/>
      </c>
      <c r="V258">
        <f>SUMPRODUCT((E258:G258+E259:G259)/2,$B$24:$D$24)*$B$6</f>
        <v/>
      </c>
      <c r="W258" s="5">
        <f>V258*K258</f>
        <v/>
      </c>
      <c r="X258">
        <f>SUMPRODUCT((E258:G258+E259:G259)/2,$B$25:$D$25)*$B$6</f>
        <v/>
      </c>
      <c r="Y258">
        <f>X258*K258</f>
        <v/>
      </c>
    </row>
    <row r="259">
      <c r="A259" t="n">
        <v>230</v>
      </c>
      <c r="B259">
        <f>A259*$B$6</f>
        <v/>
      </c>
      <c r="C259" s="5">
        <f>EXP(-$B$12*B259)</f>
        <v/>
      </c>
      <c r="D259" s="5">
        <f>EXP(-$B$13*B259)</f>
        <v/>
      </c>
      <c r="E259">
        <f>C259</f>
        <v/>
      </c>
      <c r="F259">
        <f>D259-C259</f>
        <v/>
      </c>
      <c r="G259">
        <f>1-D259</f>
        <v/>
      </c>
      <c r="H259">
        <f>SUM(E259:G259)</f>
        <v/>
      </c>
      <c r="I259">
        <f>IF(AND(MIN(C259:D259)&gt;=0,MAX(C259:D259)&lt;=1,MIN(E259:G259)&gt;=-1E-10,ABS(H259-1)&lt;1E-8,C259&lt;=C258+1E-10,D259&lt;=D258+1E-10),"OK","ERROR")</f>
        <v/>
      </c>
      <c r="J259">
        <f>1/(1+$B$4)^(B259+$B$6/2)</f>
        <v/>
      </c>
      <c r="K259">
        <f>1/(1+$B$5)^(B259+$B$6/2)</f>
        <v/>
      </c>
      <c r="L259" t="inlineStr">
        <is>
          <t>Average endpoints</t>
        </is>
      </c>
      <c r="M259" s="4">
        <f>SUMPRODUCT((E259:G259+E260:G260)/2,$B$17:$D$17)*$B$6</f>
        <v/>
      </c>
      <c r="N259" s="4">
        <f>M259*J259</f>
        <v/>
      </c>
      <c r="O259" s="4">
        <f>SUMPRODUCT((E259:G259+E260:G260)/2,$B$18:$D$18)*$B$6</f>
        <v/>
      </c>
      <c r="P259" s="4">
        <f>O259*J259</f>
        <v/>
      </c>
      <c r="Q259" s="4">
        <f>SUMPRODUCT((E259:G259+E260:G260)/2,$B$19:$D$19)*$B$6</f>
        <v/>
      </c>
      <c r="R259" s="4">
        <f>Q259*J259</f>
        <v/>
      </c>
      <c r="S259" s="4">
        <f>IF(A259=0,SUMPRODUCT((E259:G259+E260:G260)/2,$B$20:$D$20)*$B$6,0)</f>
        <v/>
      </c>
      <c r="T259" s="4">
        <f>S259*J259</f>
        <v/>
      </c>
      <c r="U259" s="4">
        <f>N259+P259+R259+T259</f>
        <v/>
      </c>
      <c r="V259">
        <f>SUMPRODUCT((E259:G259+E260:G260)/2,$B$24:$D$24)*$B$6</f>
        <v/>
      </c>
      <c r="W259" s="5">
        <f>V259*K259</f>
        <v/>
      </c>
      <c r="X259">
        <f>SUMPRODUCT((E259:G259+E260:G260)/2,$B$25:$D$25)*$B$6</f>
        <v/>
      </c>
      <c r="Y259">
        <f>X259*K259</f>
        <v/>
      </c>
    </row>
    <row r="260">
      <c r="A260" t="n">
        <v>231</v>
      </c>
      <c r="B260">
        <f>A260*$B$6</f>
        <v/>
      </c>
      <c r="C260" s="5">
        <f>EXP(-$B$12*B260)</f>
        <v/>
      </c>
      <c r="D260" s="5">
        <f>EXP(-$B$13*B260)</f>
        <v/>
      </c>
      <c r="E260">
        <f>C260</f>
        <v/>
      </c>
      <c r="F260">
        <f>D260-C260</f>
        <v/>
      </c>
      <c r="G260">
        <f>1-D260</f>
        <v/>
      </c>
      <c r="H260">
        <f>SUM(E260:G260)</f>
        <v/>
      </c>
      <c r="I260">
        <f>IF(AND(MIN(C260:D260)&gt;=0,MAX(C260:D260)&lt;=1,MIN(E260:G260)&gt;=-1E-10,ABS(H260-1)&lt;1E-8,C260&lt;=C259+1E-10,D260&lt;=D259+1E-10),"OK","ERROR")</f>
        <v/>
      </c>
      <c r="J260">
        <f>1/(1+$B$4)^(B260+$B$6/2)</f>
        <v/>
      </c>
      <c r="K260">
        <f>1/(1+$B$5)^(B260+$B$6/2)</f>
        <v/>
      </c>
      <c r="L260" t="inlineStr">
        <is>
          <t>Average endpoints</t>
        </is>
      </c>
      <c r="M260" s="4">
        <f>SUMPRODUCT((E260:G260+E261:G261)/2,$B$17:$D$17)*$B$6</f>
        <v/>
      </c>
      <c r="N260" s="4">
        <f>M260*J260</f>
        <v/>
      </c>
      <c r="O260" s="4">
        <f>SUMPRODUCT((E260:G260+E261:G261)/2,$B$18:$D$18)*$B$6</f>
        <v/>
      </c>
      <c r="P260" s="4">
        <f>O260*J260</f>
        <v/>
      </c>
      <c r="Q260" s="4">
        <f>SUMPRODUCT((E260:G260+E261:G261)/2,$B$19:$D$19)*$B$6</f>
        <v/>
      </c>
      <c r="R260" s="4">
        <f>Q260*J260</f>
        <v/>
      </c>
      <c r="S260" s="4">
        <f>IF(A260=0,SUMPRODUCT((E260:G260+E261:G261)/2,$B$20:$D$20)*$B$6,0)</f>
        <v/>
      </c>
      <c r="T260" s="4">
        <f>S260*J260</f>
        <v/>
      </c>
      <c r="U260" s="4">
        <f>N260+P260+R260+T260</f>
        <v/>
      </c>
      <c r="V260">
        <f>SUMPRODUCT((E260:G260+E261:G261)/2,$B$24:$D$24)*$B$6</f>
        <v/>
      </c>
      <c r="W260" s="5">
        <f>V260*K260</f>
        <v/>
      </c>
      <c r="X260">
        <f>SUMPRODUCT((E260:G260+E261:G261)/2,$B$25:$D$25)*$B$6</f>
        <v/>
      </c>
      <c r="Y260">
        <f>X260*K260</f>
        <v/>
      </c>
    </row>
    <row r="261">
      <c r="A261" t="n">
        <v>232</v>
      </c>
      <c r="B261">
        <f>A261*$B$6</f>
        <v/>
      </c>
      <c r="C261" s="5">
        <f>EXP(-$B$12*B261)</f>
        <v/>
      </c>
      <c r="D261" s="5">
        <f>EXP(-$B$13*B261)</f>
        <v/>
      </c>
      <c r="E261">
        <f>C261</f>
        <v/>
      </c>
      <c r="F261">
        <f>D261-C261</f>
        <v/>
      </c>
      <c r="G261">
        <f>1-D261</f>
        <v/>
      </c>
      <c r="H261">
        <f>SUM(E261:G261)</f>
        <v/>
      </c>
      <c r="I261">
        <f>IF(AND(MIN(C261:D261)&gt;=0,MAX(C261:D261)&lt;=1,MIN(E261:G261)&gt;=-1E-10,ABS(H261-1)&lt;1E-8,C261&lt;=C260+1E-10,D261&lt;=D260+1E-10),"OK","ERROR")</f>
        <v/>
      </c>
      <c r="J261">
        <f>1/(1+$B$4)^(B261+$B$6/2)</f>
        <v/>
      </c>
      <c r="K261">
        <f>1/(1+$B$5)^(B261+$B$6/2)</f>
        <v/>
      </c>
      <c r="L261" t="inlineStr">
        <is>
          <t>Average endpoints</t>
        </is>
      </c>
      <c r="M261" s="4">
        <f>SUMPRODUCT((E261:G261+E262:G262)/2,$B$17:$D$17)*$B$6</f>
        <v/>
      </c>
      <c r="N261" s="4">
        <f>M261*J261</f>
        <v/>
      </c>
      <c r="O261" s="4">
        <f>SUMPRODUCT((E261:G261+E262:G262)/2,$B$18:$D$18)*$B$6</f>
        <v/>
      </c>
      <c r="P261" s="4">
        <f>O261*J261</f>
        <v/>
      </c>
      <c r="Q261" s="4">
        <f>SUMPRODUCT((E261:G261+E262:G262)/2,$B$19:$D$19)*$B$6</f>
        <v/>
      </c>
      <c r="R261" s="4">
        <f>Q261*J261</f>
        <v/>
      </c>
      <c r="S261" s="4">
        <f>IF(A261=0,SUMPRODUCT((E261:G261+E262:G262)/2,$B$20:$D$20)*$B$6,0)</f>
        <v/>
      </c>
      <c r="T261" s="4">
        <f>S261*J261</f>
        <v/>
      </c>
      <c r="U261" s="4">
        <f>N261+P261+R261+T261</f>
        <v/>
      </c>
      <c r="V261">
        <f>SUMPRODUCT((E261:G261+E262:G262)/2,$B$24:$D$24)*$B$6</f>
        <v/>
      </c>
      <c r="W261" s="5">
        <f>V261*K261</f>
        <v/>
      </c>
      <c r="X261">
        <f>SUMPRODUCT((E261:G261+E262:G262)/2,$B$25:$D$25)*$B$6</f>
        <v/>
      </c>
      <c r="Y261">
        <f>X261*K261</f>
        <v/>
      </c>
    </row>
    <row r="262">
      <c r="A262" t="n">
        <v>233</v>
      </c>
      <c r="B262">
        <f>A262*$B$6</f>
        <v/>
      </c>
      <c r="C262" s="5">
        <f>EXP(-$B$12*B262)</f>
        <v/>
      </c>
      <c r="D262" s="5">
        <f>EXP(-$B$13*B262)</f>
        <v/>
      </c>
      <c r="E262">
        <f>C262</f>
        <v/>
      </c>
      <c r="F262">
        <f>D262-C262</f>
        <v/>
      </c>
      <c r="G262">
        <f>1-D262</f>
        <v/>
      </c>
      <c r="H262">
        <f>SUM(E262:G262)</f>
        <v/>
      </c>
      <c r="I262">
        <f>IF(AND(MIN(C262:D262)&gt;=0,MAX(C262:D262)&lt;=1,MIN(E262:G262)&gt;=-1E-10,ABS(H262-1)&lt;1E-8,C262&lt;=C261+1E-10,D262&lt;=D261+1E-10),"OK","ERROR")</f>
        <v/>
      </c>
      <c r="J262">
        <f>1/(1+$B$4)^(B262+$B$6/2)</f>
        <v/>
      </c>
      <c r="K262">
        <f>1/(1+$B$5)^(B262+$B$6/2)</f>
        <v/>
      </c>
      <c r="L262" t="inlineStr">
        <is>
          <t>Average endpoints</t>
        </is>
      </c>
      <c r="M262" s="4">
        <f>SUMPRODUCT((E262:G262+E263:G263)/2,$B$17:$D$17)*$B$6</f>
        <v/>
      </c>
      <c r="N262" s="4">
        <f>M262*J262</f>
        <v/>
      </c>
      <c r="O262" s="4">
        <f>SUMPRODUCT((E262:G262+E263:G263)/2,$B$18:$D$18)*$B$6</f>
        <v/>
      </c>
      <c r="P262" s="4">
        <f>O262*J262</f>
        <v/>
      </c>
      <c r="Q262" s="4">
        <f>SUMPRODUCT((E262:G262+E263:G263)/2,$B$19:$D$19)*$B$6</f>
        <v/>
      </c>
      <c r="R262" s="4">
        <f>Q262*J262</f>
        <v/>
      </c>
      <c r="S262" s="4">
        <f>IF(A262=0,SUMPRODUCT((E262:G262+E263:G263)/2,$B$20:$D$20)*$B$6,0)</f>
        <v/>
      </c>
      <c r="T262" s="4">
        <f>S262*J262</f>
        <v/>
      </c>
      <c r="U262" s="4">
        <f>N262+P262+R262+T262</f>
        <v/>
      </c>
      <c r="V262">
        <f>SUMPRODUCT((E262:G262+E263:G263)/2,$B$24:$D$24)*$B$6</f>
        <v/>
      </c>
      <c r="W262" s="5">
        <f>V262*K262</f>
        <v/>
      </c>
      <c r="X262">
        <f>SUMPRODUCT((E262:G262+E263:G263)/2,$B$25:$D$25)*$B$6</f>
        <v/>
      </c>
      <c r="Y262">
        <f>X262*K262</f>
        <v/>
      </c>
    </row>
    <row r="263">
      <c r="A263" t="n">
        <v>234</v>
      </c>
      <c r="B263">
        <f>A263*$B$6</f>
        <v/>
      </c>
      <c r="C263" s="5">
        <f>EXP(-$B$12*B263)</f>
        <v/>
      </c>
      <c r="D263" s="5">
        <f>EXP(-$B$13*B263)</f>
        <v/>
      </c>
      <c r="E263">
        <f>C263</f>
        <v/>
      </c>
      <c r="F263">
        <f>D263-C263</f>
        <v/>
      </c>
      <c r="G263">
        <f>1-D263</f>
        <v/>
      </c>
      <c r="H263">
        <f>SUM(E263:G263)</f>
        <v/>
      </c>
      <c r="I263">
        <f>IF(AND(MIN(C263:D263)&gt;=0,MAX(C263:D263)&lt;=1,MIN(E263:G263)&gt;=-1E-10,ABS(H263-1)&lt;1E-8,C263&lt;=C262+1E-10,D263&lt;=D262+1E-10),"OK","ERROR")</f>
        <v/>
      </c>
      <c r="J263">
        <f>1/(1+$B$4)^(B263+$B$6/2)</f>
        <v/>
      </c>
      <c r="K263">
        <f>1/(1+$B$5)^(B263+$B$6/2)</f>
        <v/>
      </c>
      <c r="L263" t="inlineStr">
        <is>
          <t>Average endpoints</t>
        </is>
      </c>
      <c r="M263" s="4">
        <f>SUMPRODUCT((E263:G263+E264:G264)/2,$B$17:$D$17)*$B$6</f>
        <v/>
      </c>
      <c r="N263" s="4">
        <f>M263*J263</f>
        <v/>
      </c>
      <c r="O263" s="4">
        <f>SUMPRODUCT((E263:G263+E264:G264)/2,$B$18:$D$18)*$B$6</f>
        <v/>
      </c>
      <c r="P263" s="4">
        <f>O263*J263</f>
        <v/>
      </c>
      <c r="Q263" s="4">
        <f>SUMPRODUCT((E263:G263+E264:G264)/2,$B$19:$D$19)*$B$6</f>
        <v/>
      </c>
      <c r="R263" s="4">
        <f>Q263*J263</f>
        <v/>
      </c>
      <c r="S263" s="4">
        <f>IF(A263=0,SUMPRODUCT((E263:G263+E264:G264)/2,$B$20:$D$20)*$B$6,0)</f>
        <v/>
      </c>
      <c r="T263" s="4">
        <f>S263*J263</f>
        <v/>
      </c>
      <c r="U263" s="4">
        <f>N263+P263+R263+T263</f>
        <v/>
      </c>
      <c r="V263">
        <f>SUMPRODUCT((E263:G263+E264:G264)/2,$B$24:$D$24)*$B$6</f>
        <v/>
      </c>
      <c r="W263" s="5">
        <f>V263*K263</f>
        <v/>
      </c>
      <c r="X263">
        <f>SUMPRODUCT((E263:G263+E264:G264)/2,$B$25:$D$25)*$B$6</f>
        <v/>
      </c>
      <c r="Y263">
        <f>X263*K263</f>
        <v/>
      </c>
    </row>
    <row r="264">
      <c r="A264" t="n">
        <v>235</v>
      </c>
      <c r="B264">
        <f>A264*$B$6</f>
        <v/>
      </c>
      <c r="C264" s="5">
        <f>EXP(-$B$12*B264)</f>
        <v/>
      </c>
      <c r="D264" s="5">
        <f>EXP(-$B$13*B264)</f>
        <v/>
      </c>
      <c r="E264">
        <f>C264</f>
        <v/>
      </c>
      <c r="F264">
        <f>D264-C264</f>
        <v/>
      </c>
      <c r="G264">
        <f>1-D264</f>
        <v/>
      </c>
      <c r="H264">
        <f>SUM(E264:G264)</f>
        <v/>
      </c>
      <c r="I264">
        <f>IF(AND(MIN(C264:D264)&gt;=0,MAX(C264:D264)&lt;=1,MIN(E264:G264)&gt;=-1E-10,ABS(H264-1)&lt;1E-8,C264&lt;=C263+1E-10,D264&lt;=D263+1E-10),"OK","ERROR")</f>
        <v/>
      </c>
      <c r="J264">
        <f>1/(1+$B$4)^(B264+$B$6/2)</f>
        <v/>
      </c>
      <c r="K264">
        <f>1/(1+$B$5)^(B264+$B$6/2)</f>
        <v/>
      </c>
      <c r="L264" t="inlineStr">
        <is>
          <t>Average endpoints</t>
        </is>
      </c>
      <c r="M264" s="4">
        <f>SUMPRODUCT((E264:G264+E265:G265)/2,$B$17:$D$17)*$B$6</f>
        <v/>
      </c>
      <c r="N264" s="4">
        <f>M264*J264</f>
        <v/>
      </c>
      <c r="O264" s="4">
        <f>SUMPRODUCT((E264:G264+E265:G265)/2,$B$18:$D$18)*$B$6</f>
        <v/>
      </c>
      <c r="P264" s="4">
        <f>O264*J264</f>
        <v/>
      </c>
      <c r="Q264" s="4">
        <f>SUMPRODUCT((E264:G264+E265:G265)/2,$B$19:$D$19)*$B$6</f>
        <v/>
      </c>
      <c r="R264" s="4">
        <f>Q264*J264</f>
        <v/>
      </c>
      <c r="S264" s="4">
        <f>IF(A264=0,SUMPRODUCT((E264:G264+E265:G265)/2,$B$20:$D$20)*$B$6,0)</f>
        <v/>
      </c>
      <c r="T264" s="4">
        <f>S264*J264</f>
        <v/>
      </c>
      <c r="U264" s="4">
        <f>N264+P264+R264+T264</f>
        <v/>
      </c>
      <c r="V264">
        <f>SUMPRODUCT((E264:G264+E265:G265)/2,$B$24:$D$24)*$B$6</f>
        <v/>
      </c>
      <c r="W264" s="5">
        <f>V264*K264</f>
        <v/>
      </c>
      <c r="X264">
        <f>SUMPRODUCT((E264:G264+E265:G265)/2,$B$25:$D$25)*$B$6</f>
        <v/>
      </c>
      <c r="Y264">
        <f>X264*K264</f>
        <v/>
      </c>
    </row>
    <row r="265">
      <c r="A265" t="n">
        <v>236</v>
      </c>
      <c r="B265">
        <f>A265*$B$6</f>
        <v/>
      </c>
      <c r="C265" s="5">
        <f>EXP(-$B$12*B265)</f>
        <v/>
      </c>
      <c r="D265" s="5">
        <f>EXP(-$B$13*B265)</f>
        <v/>
      </c>
      <c r="E265">
        <f>C265</f>
        <v/>
      </c>
      <c r="F265">
        <f>D265-C265</f>
        <v/>
      </c>
      <c r="G265">
        <f>1-D265</f>
        <v/>
      </c>
      <c r="H265">
        <f>SUM(E265:G265)</f>
        <v/>
      </c>
      <c r="I265">
        <f>IF(AND(MIN(C265:D265)&gt;=0,MAX(C265:D265)&lt;=1,MIN(E265:G265)&gt;=-1E-10,ABS(H265-1)&lt;1E-8,C265&lt;=C264+1E-10,D265&lt;=D264+1E-10),"OK","ERROR")</f>
        <v/>
      </c>
      <c r="J265">
        <f>1/(1+$B$4)^(B265+$B$6/2)</f>
        <v/>
      </c>
      <c r="K265">
        <f>1/(1+$B$5)^(B265+$B$6/2)</f>
        <v/>
      </c>
      <c r="L265" t="inlineStr">
        <is>
          <t>Average endpoints</t>
        </is>
      </c>
      <c r="M265" s="4">
        <f>SUMPRODUCT((E265:G265+E266:G266)/2,$B$17:$D$17)*$B$6</f>
        <v/>
      </c>
      <c r="N265" s="4">
        <f>M265*J265</f>
        <v/>
      </c>
      <c r="O265" s="4">
        <f>SUMPRODUCT((E265:G265+E266:G266)/2,$B$18:$D$18)*$B$6</f>
        <v/>
      </c>
      <c r="P265" s="4">
        <f>O265*J265</f>
        <v/>
      </c>
      <c r="Q265" s="4">
        <f>SUMPRODUCT((E265:G265+E266:G266)/2,$B$19:$D$19)*$B$6</f>
        <v/>
      </c>
      <c r="R265" s="4">
        <f>Q265*J265</f>
        <v/>
      </c>
      <c r="S265" s="4">
        <f>IF(A265=0,SUMPRODUCT((E265:G265+E266:G266)/2,$B$20:$D$20)*$B$6,0)</f>
        <v/>
      </c>
      <c r="T265" s="4">
        <f>S265*J265</f>
        <v/>
      </c>
      <c r="U265" s="4">
        <f>N265+P265+R265+T265</f>
        <v/>
      </c>
      <c r="V265">
        <f>SUMPRODUCT((E265:G265+E266:G266)/2,$B$24:$D$24)*$B$6</f>
        <v/>
      </c>
      <c r="W265" s="5">
        <f>V265*K265</f>
        <v/>
      </c>
      <c r="X265">
        <f>SUMPRODUCT((E265:G265+E266:G266)/2,$B$25:$D$25)*$B$6</f>
        <v/>
      </c>
      <c r="Y265">
        <f>X265*K265</f>
        <v/>
      </c>
    </row>
    <row r="266">
      <c r="A266" t="n">
        <v>237</v>
      </c>
      <c r="B266">
        <f>A266*$B$6</f>
        <v/>
      </c>
      <c r="C266" s="5">
        <f>EXP(-$B$12*B266)</f>
        <v/>
      </c>
      <c r="D266" s="5">
        <f>EXP(-$B$13*B266)</f>
        <v/>
      </c>
      <c r="E266">
        <f>C266</f>
        <v/>
      </c>
      <c r="F266">
        <f>D266-C266</f>
        <v/>
      </c>
      <c r="G266">
        <f>1-D266</f>
        <v/>
      </c>
      <c r="H266">
        <f>SUM(E266:G266)</f>
        <v/>
      </c>
      <c r="I266">
        <f>IF(AND(MIN(C266:D266)&gt;=0,MAX(C266:D266)&lt;=1,MIN(E266:G266)&gt;=-1E-10,ABS(H266-1)&lt;1E-8,C266&lt;=C265+1E-10,D266&lt;=D265+1E-10),"OK","ERROR")</f>
        <v/>
      </c>
      <c r="J266">
        <f>1/(1+$B$4)^(B266+$B$6/2)</f>
        <v/>
      </c>
      <c r="K266">
        <f>1/(1+$B$5)^(B266+$B$6/2)</f>
        <v/>
      </c>
      <c r="L266" t="inlineStr">
        <is>
          <t>Average endpoints</t>
        </is>
      </c>
      <c r="M266" s="4">
        <f>SUMPRODUCT((E266:G266+E267:G267)/2,$B$17:$D$17)*$B$6</f>
        <v/>
      </c>
      <c r="N266" s="4">
        <f>M266*J266</f>
        <v/>
      </c>
      <c r="O266" s="4">
        <f>SUMPRODUCT((E266:G266+E267:G267)/2,$B$18:$D$18)*$B$6</f>
        <v/>
      </c>
      <c r="P266" s="4">
        <f>O266*J266</f>
        <v/>
      </c>
      <c r="Q266" s="4">
        <f>SUMPRODUCT((E266:G266+E267:G267)/2,$B$19:$D$19)*$B$6</f>
        <v/>
      </c>
      <c r="R266" s="4">
        <f>Q266*J266</f>
        <v/>
      </c>
      <c r="S266" s="4">
        <f>IF(A266=0,SUMPRODUCT((E266:G266+E267:G267)/2,$B$20:$D$20)*$B$6,0)</f>
        <v/>
      </c>
      <c r="T266" s="4">
        <f>S266*J266</f>
        <v/>
      </c>
      <c r="U266" s="4">
        <f>N266+P266+R266+T266</f>
        <v/>
      </c>
      <c r="V266">
        <f>SUMPRODUCT((E266:G266+E267:G267)/2,$B$24:$D$24)*$B$6</f>
        <v/>
      </c>
      <c r="W266" s="5">
        <f>V266*K266</f>
        <v/>
      </c>
      <c r="X266">
        <f>SUMPRODUCT((E266:G266+E267:G267)/2,$B$25:$D$25)*$B$6</f>
        <v/>
      </c>
      <c r="Y266">
        <f>X266*K266</f>
        <v/>
      </c>
    </row>
    <row r="267">
      <c r="A267" t="n">
        <v>238</v>
      </c>
      <c r="B267">
        <f>A267*$B$6</f>
        <v/>
      </c>
      <c r="C267" s="5">
        <f>EXP(-$B$12*B267)</f>
        <v/>
      </c>
      <c r="D267" s="5">
        <f>EXP(-$B$13*B267)</f>
        <v/>
      </c>
      <c r="E267">
        <f>C267</f>
        <v/>
      </c>
      <c r="F267">
        <f>D267-C267</f>
        <v/>
      </c>
      <c r="G267">
        <f>1-D267</f>
        <v/>
      </c>
      <c r="H267">
        <f>SUM(E267:G267)</f>
        <v/>
      </c>
      <c r="I267">
        <f>IF(AND(MIN(C267:D267)&gt;=0,MAX(C267:D267)&lt;=1,MIN(E267:G267)&gt;=-1E-10,ABS(H267-1)&lt;1E-8,C267&lt;=C266+1E-10,D267&lt;=D266+1E-10),"OK","ERROR")</f>
        <v/>
      </c>
      <c r="J267">
        <f>1/(1+$B$4)^(B267+$B$6/2)</f>
        <v/>
      </c>
      <c r="K267">
        <f>1/(1+$B$5)^(B267+$B$6/2)</f>
        <v/>
      </c>
      <c r="L267" t="inlineStr">
        <is>
          <t>Average endpoints</t>
        </is>
      </c>
      <c r="M267" s="4">
        <f>SUMPRODUCT((E267:G267+E268:G268)/2,$B$17:$D$17)*$B$6</f>
        <v/>
      </c>
      <c r="N267" s="4">
        <f>M267*J267</f>
        <v/>
      </c>
      <c r="O267" s="4">
        <f>SUMPRODUCT((E267:G267+E268:G268)/2,$B$18:$D$18)*$B$6</f>
        <v/>
      </c>
      <c r="P267" s="4">
        <f>O267*J267</f>
        <v/>
      </c>
      <c r="Q267" s="4">
        <f>SUMPRODUCT((E267:G267+E268:G268)/2,$B$19:$D$19)*$B$6</f>
        <v/>
      </c>
      <c r="R267" s="4">
        <f>Q267*J267</f>
        <v/>
      </c>
      <c r="S267" s="4">
        <f>IF(A267=0,SUMPRODUCT((E267:G267+E268:G268)/2,$B$20:$D$20)*$B$6,0)</f>
        <v/>
      </c>
      <c r="T267" s="4">
        <f>S267*J267</f>
        <v/>
      </c>
      <c r="U267" s="4">
        <f>N267+P267+R267+T267</f>
        <v/>
      </c>
      <c r="V267">
        <f>SUMPRODUCT((E267:G267+E268:G268)/2,$B$24:$D$24)*$B$6</f>
        <v/>
      </c>
      <c r="W267" s="5">
        <f>V267*K267</f>
        <v/>
      </c>
      <c r="X267">
        <f>SUMPRODUCT((E267:G267+E268:G268)/2,$B$25:$D$25)*$B$6</f>
        <v/>
      </c>
      <c r="Y267">
        <f>X267*K267</f>
        <v/>
      </c>
    </row>
    <row r="268">
      <c r="A268" t="n">
        <v>239</v>
      </c>
      <c r="B268">
        <f>A268*$B$6</f>
        <v/>
      </c>
      <c r="C268" s="5">
        <f>EXP(-$B$12*B268)</f>
        <v/>
      </c>
      <c r="D268" s="5">
        <f>EXP(-$B$13*B268)</f>
        <v/>
      </c>
      <c r="E268">
        <f>C268</f>
        <v/>
      </c>
      <c r="F268">
        <f>D268-C268</f>
        <v/>
      </c>
      <c r="G268">
        <f>1-D268</f>
        <v/>
      </c>
      <c r="H268">
        <f>SUM(E268:G268)</f>
        <v/>
      </c>
      <c r="I268">
        <f>IF(AND(MIN(C268:D268)&gt;=0,MAX(C268:D268)&lt;=1,MIN(E268:G268)&gt;=-1E-10,ABS(H268-1)&lt;1E-8,C268&lt;=C267+1E-10,D268&lt;=D267+1E-10),"OK","ERROR")</f>
        <v/>
      </c>
      <c r="J268">
        <f>1/(1+$B$4)^(B268+$B$6/2)</f>
        <v/>
      </c>
      <c r="K268">
        <f>1/(1+$B$5)^(B268+$B$6/2)</f>
        <v/>
      </c>
      <c r="L268" t="inlineStr">
        <is>
          <t>Average endpoints</t>
        </is>
      </c>
      <c r="M268" s="4">
        <f>SUMPRODUCT((E268:G268+E269:G269)/2,$B$17:$D$17)*$B$6</f>
        <v/>
      </c>
      <c r="N268" s="4">
        <f>M268*J268</f>
        <v/>
      </c>
      <c r="O268" s="4">
        <f>SUMPRODUCT((E268:G268+E269:G269)/2,$B$18:$D$18)*$B$6</f>
        <v/>
      </c>
      <c r="P268" s="4">
        <f>O268*J268</f>
        <v/>
      </c>
      <c r="Q268" s="4">
        <f>SUMPRODUCT((E268:G268+E269:G269)/2,$B$19:$D$19)*$B$6</f>
        <v/>
      </c>
      <c r="R268" s="4">
        <f>Q268*J268</f>
        <v/>
      </c>
      <c r="S268" s="4">
        <f>IF(A268=0,SUMPRODUCT((E268:G268+E269:G269)/2,$B$20:$D$20)*$B$6,0)</f>
        <v/>
      </c>
      <c r="T268" s="4">
        <f>S268*J268</f>
        <v/>
      </c>
      <c r="U268" s="4">
        <f>N268+P268+R268+T268</f>
        <v/>
      </c>
      <c r="V268">
        <f>SUMPRODUCT((E268:G268+E269:G269)/2,$B$24:$D$24)*$B$6</f>
        <v/>
      </c>
      <c r="W268" s="5">
        <f>V268*K268</f>
        <v/>
      </c>
      <c r="X268">
        <f>SUMPRODUCT((E268:G268+E269:G269)/2,$B$25:$D$25)*$B$6</f>
        <v/>
      </c>
      <c r="Y268">
        <f>X268*K268</f>
        <v/>
      </c>
    </row>
    <row r="269">
      <c r="A269" t="n">
        <v>240</v>
      </c>
      <c r="B269">
        <f>A269*$B$6</f>
        <v/>
      </c>
      <c r="C269" s="5">
        <f>EXP(-$B$12*B269)</f>
        <v/>
      </c>
      <c r="D269" s="5">
        <f>EXP(-$B$13*B269)</f>
        <v/>
      </c>
      <c r="E269">
        <f>C269</f>
        <v/>
      </c>
      <c r="F269">
        <f>D269-C269</f>
        <v/>
      </c>
      <c r="G269">
        <f>1-D269</f>
        <v/>
      </c>
      <c r="H269">
        <f>SUM(E269:G269)</f>
        <v/>
      </c>
      <c r="I269">
        <f>IF(AND(MIN(C269:D269)&gt;=0,MAX(C269:D269)&lt;=1,MIN(E269:G269)&gt;=-1E-10,ABS(H269-1)&lt;1E-8,C269&lt;=C268+1E-10,D269&lt;=D268+1E-10),"OK","ERROR")</f>
        <v/>
      </c>
    </row>
    <row r="270">
      <c r="A270" s="3" t="inlineStr">
        <is>
          <t>TOTAL</t>
        </is>
      </c>
      <c r="N270" s="10">
        <f>SUM(N29:N268)</f>
        <v/>
      </c>
      <c r="P270" s="10">
        <f>SUM(P29:P268)</f>
        <v/>
      </c>
      <c r="R270" s="10">
        <f>SUM(R29:R268)</f>
        <v/>
      </c>
      <c r="T270" s="10">
        <f>SUM(T29:T268)</f>
        <v/>
      </c>
      <c r="U270" s="10">
        <f>SUM(U29:U268)</f>
        <v/>
      </c>
      <c r="W270" s="10">
        <f>SUM(W29:W268)</f>
        <v/>
      </c>
      <c r="Y270" s="10">
        <f>SUM(Y29:Y268)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2026-09-10T09:16:24Z</dcterms:created>
  <dcterms:modified xsi:type="dcterms:W3CDTF">2026-09-10T09:16:24Z</dcterms:modified>
</cp:coreProperties>
</file>