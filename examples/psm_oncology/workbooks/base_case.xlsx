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_Chemotherapy" sheetId="2" state="visible" r:id="rId2"/>
    <sheet name="Calc_Immuno + Chemo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Strategy</t>
        </is>
      </c>
      <c r="B1" t="inlineStr">
        <is>
          <t>Excel Cost</t>
        </is>
      </c>
      <c r="C1" t="inlineStr">
        <is>
          <t>Excel QALYs</t>
        </is>
      </c>
      <c r="D1" t="inlineStr">
        <is>
          <t>Python Cost</t>
        </is>
      </c>
      <c r="E1" t="inlineStr">
        <is>
          <t>Python QALYs</t>
        </is>
      </c>
      <c r="F1" t="inlineStr">
        <is>
          <t>Cost Difference</t>
        </is>
      </c>
      <c r="G1" t="inlineStr">
        <is>
          <t>QALY Difference</t>
        </is>
      </c>
      <c r="H1" t="inlineStr">
        <is>
          <t>ICER vs first</t>
        </is>
      </c>
      <c r="I1" t="inlineStr">
        <is>
          <t>Classification</t>
        </is>
      </c>
    </row>
    <row r="2">
      <c r="A2" t="inlineStr">
        <is>
          <t>Chemotherapy</t>
        </is>
      </c>
      <c r="B2">
        <f>'Calc_Chemotherapy'!B7</f>
        <v/>
      </c>
      <c r="C2">
        <f>'Calc_Chemotherapy'!B8</f>
        <v/>
      </c>
      <c r="D2" t="n">
        <v>162991.0570364349</v>
      </c>
      <c r="E2" t="n">
        <v>1.461962664193027</v>
      </c>
      <c r="F2">
        <f>B2-D2</f>
        <v/>
      </c>
      <c r="G2">
        <f>C2-E2</f>
        <v/>
      </c>
    </row>
    <row r="3">
      <c r="A3" t="inlineStr">
        <is>
          <t>Immuno + Chemo</t>
        </is>
      </c>
      <c r="B3">
        <f>'Calc_Immuno + Chemo'!B7</f>
        <v/>
      </c>
      <c r="C3">
        <f>'Calc_Immuno + Chemo'!B8</f>
        <v/>
      </c>
      <c r="D3" t="n">
        <v>329130.609032325</v>
      </c>
      <c r="E3" t="n">
        <v>1.957750382341076</v>
      </c>
      <c r="F3">
        <f>B3-D3</f>
        <v/>
      </c>
      <c r="G3">
        <f>C3-E3</f>
        <v/>
      </c>
      <c r="H3">
        <f>IF(OR(ABS((C3-$C$2))&lt;1E-10,AND((B3-$B$2)&lt;0,(C3-$C$2)&gt;0),AND((B3-$B$2)&gt;0,(C3-$C$2)&lt;0)),"",(B3-$B$2)/(C3-$C$2))</f>
        <v/>
      </c>
      <c r="I3">
        <f>IF(ABS((C3-$C$2))&lt;1E-10,"No effect difference",IF(AND((B3-$B$2)&lt;=0,(C3-$C$2)&gt;0),"Dominant",IF(AND((B3-$B$2)&gt;=0,(C3-$C$2)&lt;0),"Dominated","Trade-off")))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Cycle length (years)</t>
        </is>
      </c>
      <c r="B1" s="1" t="n">
        <v>0.08333333333333333</v>
      </c>
    </row>
    <row r="2">
      <c r="A2" t="inlineStr">
        <is>
          <t>Cost discount rate per cycle</t>
        </is>
      </c>
      <c r="B2" s="1" t="n">
        <v>0.0024662697723036</v>
      </c>
    </row>
    <row r="3">
      <c r="A3" t="inlineStr">
        <is>
          <t>QALY discount rate per cycle</t>
        </is>
      </c>
      <c r="B3" s="1" t="n">
        <v>0.0024662697723036</v>
      </c>
    </row>
    <row r="4">
      <c r="A4" t="inlineStr">
        <is>
          <t>Occupancy method</t>
        </is>
      </c>
      <c r="B4" s="1" t="inlineStr">
        <is>
          <t>life-table</t>
        </is>
      </c>
    </row>
    <row r="5">
      <c r="A5" t="inlineStr">
        <is>
          <t>Input convention</t>
        </is>
      </c>
      <c r="B5" t="inlineStr">
        <is>
          <t>State costs and QALYs are per cycle; first cycle undiscounted</t>
        </is>
      </c>
    </row>
    <row r="6">
      <c r="A6" t="inlineStr">
        <is>
          <t>Dynamic inputs</t>
        </is>
      </c>
      <c r="B6" t="inlineStr">
        <is>
          <t>Callbacks expanded per cycle; changing source params requires re-export</t>
        </is>
      </c>
    </row>
    <row r="7">
      <c r="A7" t="inlineStr">
        <is>
          <t>Total cost</t>
        </is>
      </c>
      <c r="B7">
        <f>F1226+F1227+F1228+F1229+F1230+F1231+F1232+F1233+F1234+F1235+F1236+F1237+F1238+F1239+F1240+F1241+F1242+F1243+F1244+F1245+F1246+F1247+F1248+F1249+F1250+F1251+F1252+F1253+F1254+F1255+F1256+F1257+F1258+F1259+F1260+F1261+F1262+F1263+F1264+F1265+F1266+F1267+F1268+F1269+F1270+F1271+F1272+F1273+F1274+F1275+F1276+F1277+F1278+F1279+F1280+F1281+F1282+F1283+F1284+F1285+F1286+F1287+F1288+F1289+F1290+F1291+F1292+F1293+F1294+F1295+F1296+F1297+F1298+F1299+F1300+F1301+F1302+F1303+F1304+F1305+F1306+F1307+F1308+F1309+F1310+F1311+F1312+F1313+F1314+F1315+F1316+F1317+F1318+F1319+F1320+F1321+F1322+F1323+F1324+F1325+F1326+F1327+F1328+F1329+F1330+F1331+F1332+F1333+F1334+F1335+F1336+F1337+F1338+F1339+F1340+F1341+F1342+F1343+F1344+F1345+F1346+F1347+F1348+F1349+F1350+F1351+F1352+F1353+F1354+F1355+F1356+F1357+F1358+F1359+F1360+F1361+F1362+F1363+F1364+F1365+F1366+F1367+F1368+F1369+F1370+F1371+F1372+F1373+F1374+F1375+F1376+F1377+F1378+F1379+F1380+F1381+F1382+F1383+F1384+F1385+F1386+F1387+F1388+F1389+F1390+F1391+F1392+F1393+F1394+F1395+F1396+F1397+F1398+F1399+F1400+F1401+F1402+F1403+F1404+F1405+F1406+F1407+F1408+F1409+F1410+F1411+F1412+F1413+F1414+F1415+F1416+F1417+F1418+F1419+F1420+F1421+F1422+F1423+F1424+F1425+F1426+F1427+F1428+F1429+F1430+F1431+F1432+F1433+F1434+F1435+F1436+F1437+F1438+F1439+F1440+F1441+F1442+F1443+F1444+F1445+F1446+F1447+F1448+F1449+F1450+F1451+F1452+F1453+F1454+F1455+F1456+F1457+F1458+F1459+F1460+F1461+F1462+F1463+F1464+F1465</f>
        <v/>
      </c>
    </row>
    <row r="8">
      <c r="A8" t="inlineStr">
        <is>
          <t>Total QALYs</t>
        </is>
      </c>
      <c r="B8">
        <f>G1226+G1227+G1228+G1229+G1230+G1231+G1232+G1233+G1234+G1235+G1236+G1237+G1238+G1239+G1240+G1241+G1242+G1243+G1244+G1245+G1246+G1247+G1248+G1249+G1250+G1251+G1252+G1253+G1254+G1255+G1256+G1257+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+G1309+G1310+G1311+G1312+G1313+G1314+G1315+G1316+G1317+G1318+G1319+G1320+G1321+G1322+G1323+G1324+G1325+G1326+G1327+G1328+G1329+G1330+G1331+G1332+G1333+G1334+G1335+G1336+G1337+G1338+G1339+G1340+G1341+G1342+G1343+G1344+G1345+G1346+G1347+G1348+G1349+G1350+G1351+G1352+G1353+G1354+G1355+G1356+G1357+G1358+G1359+G1360+G1361+G1362+G1363+G1364+G1365+G1366+G1367+G1368+G1369+G1370+G1371+G1372+G1373+G1374+G1375+G1376+G1377+G1378+G1379+G1380+G1381+G1382+G1383+G1384+G1385+G1386+G1387+G1388+G1389+G1390+G1391+G1392+G1393+G1394+G1395+G1396+G1397+G1398+G1399+G1400+G1401+G1402+G1403+G1404+G1405+G1406+G1407+G1408+G1409+G1410+G1411+G1412+G1413+G1414+G1415+G1416+G1417+G1418+G1419+G1420+G1421+G1422+G1423+G1424+G1425+G1426+G1427+G1428+G1429+G1430+G1431+G1432+G1433+G1434+G1435+G1436+G1437+G1438+G1439+G1440+G1441+G1442+G1443+G1444+G1445+G1446+G1447+G1448+G1449+G1450+G1451+G1452+G1453+G1454+G1455+G1456+G1457+G1458+G1459+G1460+G1461+G1462+G1463+G1464+G1465</f>
        <v/>
      </c>
    </row>
    <row r="11">
      <c r="A11" t="inlineStr">
        <is>
          <t>PFS / baseline / Exponential rate</t>
        </is>
      </c>
      <c r="B11" s="1" t="n">
        <v>1.25</v>
      </c>
    </row>
    <row r="12">
      <c r="A12" t="inlineStr">
        <is>
          <t>PFS / Time scaling factor</t>
        </is>
      </c>
      <c r="B12" s="1" t="n">
        <v>0.08333333333333333</v>
      </c>
    </row>
    <row r="13">
      <c r="A13" t="inlineStr">
        <is>
          <t>OS / baseline / Exponential rate</t>
        </is>
      </c>
      <c r="B13" s="1" t="n">
        <v>0.4</v>
      </c>
    </row>
    <row r="14">
      <c r="A14" t="inlineStr">
        <is>
          <t>OS / Time scaling factor</t>
        </is>
      </c>
      <c r="B14" s="1" t="n">
        <v>0.08333333333333333</v>
      </c>
    </row>
    <row r="15">
      <c r="A15" t="inlineStr">
        <is>
          <t>cost / drug / cycle 1</t>
        </is>
      </c>
      <c r="B15" s="1" t="n">
        <v>3000</v>
      </c>
      <c r="C15" s="1" t="n">
        <v>0</v>
      </c>
      <c r="D15" s="1" t="n">
        <v>0</v>
      </c>
    </row>
    <row r="16">
      <c r="A16" t="inlineStr">
        <is>
          <t>cost / drug / cycle 2</t>
        </is>
      </c>
      <c r="B16" s="1" t="n">
        <v>3000</v>
      </c>
      <c r="C16" s="1" t="n">
        <v>0</v>
      </c>
      <c r="D16" s="1" t="n">
        <v>0</v>
      </c>
    </row>
    <row r="17">
      <c r="A17" t="inlineStr">
        <is>
          <t>cost / drug / cycle 3</t>
        </is>
      </c>
      <c r="B17" s="1" t="n">
        <v>3000</v>
      </c>
      <c r="C17" s="1" t="n">
        <v>0</v>
      </c>
      <c r="D17" s="1" t="n">
        <v>0</v>
      </c>
    </row>
    <row r="18">
      <c r="A18" t="inlineStr">
        <is>
          <t>cost / drug / cycle 4</t>
        </is>
      </c>
      <c r="B18" s="1" t="n">
        <v>3000</v>
      </c>
      <c r="C18" s="1" t="n">
        <v>0</v>
      </c>
      <c r="D18" s="1" t="n">
        <v>0</v>
      </c>
    </row>
    <row r="19">
      <c r="A19" t="inlineStr">
        <is>
          <t>cost / drug / cycle 5</t>
        </is>
      </c>
      <c r="B19" s="1" t="n">
        <v>3000</v>
      </c>
      <c r="C19" s="1" t="n">
        <v>0</v>
      </c>
      <c r="D19" s="1" t="n">
        <v>0</v>
      </c>
    </row>
    <row r="20">
      <c r="A20" t="inlineStr">
        <is>
          <t>cost / drug / cycle 6</t>
        </is>
      </c>
      <c r="B20" s="1" t="n">
        <v>3000</v>
      </c>
      <c r="C20" s="1" t="n">
        <v>0</v>
      </c>
      <c r="D20" s="1" t="n">
        <v>0</v>
      </c>
    </row>
    <row r="21">
      <c r="A21" t="inlineStr">
        <is>
          <t>cost / drug / cycle 7</t>
        </is>
      </c>
      <c r="B21" s="1" t="n">
        <v>3000</v>
      </c>
      <c r="C21" s="1" t="n">
        <v>0</v>
      </c>
      <c r="D21" s="1" t="n">
        <v>0</v>
      </c>
    </row>
    <row r="22">
      <c r="A22" t="inlineStr">
        <is>
          <t>cost / drug / cycle 8</t>
        </is>
      </c>
      <c r="B22" s="1" t="n">
        <v>3000</v>
      </c>
      <c r="C22" s="1" t="n">
        <v>0</v>
      </c>
      <c r="D22" s="1" t="n">
        <v>0</v>
      </c>
    </row>
    <row r="23">
      <c r="A23" t="inlineStr">
        <is>
          <t>cost / drug / cycle 9</t>
        </is>
      </c>
      <c r="B23" s="1" t="n">
        <v>3000</v>
      </c>
      <c r="C23" s="1" t="n">
        <v>0</v>
      </c>
      <c r="D23" s="1" t="n">
        <v>0</v>
      </c>
    </row>
    <row r="24">
      <c r="A24" t="inlineStr">
        <is>
          <t>cost / drug / cycle 10</t>
        </is>
      </c>
      <c r="B24" s="1" t="n">
        <v>3000</v>
      </c>
      <c r="C24" s="1" t="n">
        <v>0</v>
      </c>
      <c r="D24" s="1" t="n">
        <v>0</v>
      </c>
    </row>
    <row r="25">
      <c r="A25" t="inlineStr">
        <is>
          <t>cost / drug / cycle 11</t>
        </is>
      </c>
      <c r="B25" s="1" t="n">
        <v>3000</v>
      </c>
      <c r="C25" s="1" t="n">
        <v>0</v>
      </c>
      <c r="D25" s="1" t="n">
        <v>0</v>
      </c>
    </row>
    <row r="26">
      <c r="A26" t="inlineStr">
        <is>
          <t>cost / drug / cycle 12</t>
        </is>
      </c>
      <c r="B26" s="1" t="n">
        <v>3000</v>
      </c>
      <c r="C26" s="1" t="n">
        <v>0</v>
      </c>
      <c r="D26" s="1" t="n">
        <v>0</v>
      </c>
    </row>
    <row r="27">
      <c r="A27" t="inlineStr">
        <is>
          <t>cost / drug / cycle 13</t>
        </is>
      </c>
      <c r="B27" s="1" t="n">
        <v>3000</v>
      </c>
      <c r="C27" s="1" t="n">
        <v>0</v>
      </c>
      <c r="D27" s="1" t="n">
        <v>0</v>
      </c>
    </row>
    <row r="28">
      <c r="A28" t="inlineStr">
        <is>
          <t>cost / drug / cycle 14</t>
        </is>
      </c>
      <c r="B28" s="1" t="n">
        <v>3000</v>
      </c>
      <c r="C28" s="1" t="n">
        <v>0</v>
      </c>
      <c r="D28" s="1" t="n">
        <v>0</v>
      </c>
    </row>
    <row r="29">
      <c r="A29" t="inlineStr">
        <is>
          <t>cost / drug / cycle 15</t>
        </is>
      </c>
      <c r="B29" s="1" t="n">
        <v>3000</v>
      </c>
      <c r="C29" s="1" t="n">
        <v>0</v>
      </c>
      <c r="D29" s="1" t="n">
        <v>0</v>
      </c>
    </row>
    <row r="30">
      <c r="A30" t="inlineStr">
        <is>
          <t>cost / drug / cycle 16</t>
        </is>
      </c>
      <c r="B30" s="1" t="n">
        <v>3000</v>
      </c>
      <c r="C30" s="1" t="n">
        <v>0</v>
      </c>
      <c r="D30" s="1" t="n">
        <v>0</v>
      </c>
    </row>
    <row r="31">
      <c r="A31" t="inlineStr">
        <is>
          <t>cost / drug / cycle 17</t>
        </is>
      </c>
      <c r="B31" s="1" t="n">
        <v>3000</v>
      </c>
      <c r="C31" s="1" t="n">
        <v>0</v>
      </c>
      <c r="D31" s="1" t="n">
        <v>0</v>
      </c>
    </row>
    <row r="32">
      <c r="A32" t="inlineStr">
        <is>
          <t>cost / drug / cycle 18</t>
        </is>
      </c>
      <c r="B32" s="1" t="n">
        <v>3000</v>
      </c>
      <c r="C32" s="1" t="n">
        <v>0</v>
      </c>
      <c r="D32" s="1" t="n">
        <v>0</v>
      </c>
    </row>
    <row r="33">
      <c r="A33" t="inlineStr">
        <is>
          <t>cost / drug / cycle 19</t>
        </is>
      </c>
      <c r="B33" s="1" t="n">
        <v>3000</v>
      </c>
      <c r="C33" s="1" t="n">
        <v>0</v>
      </c>
      <c r="D33" s="1" t="n">
        <v>0</v>
      </c>
    </row>
    <row r="34">
      <c r="A34" t="inlineStr">
        <is>
          <t>cost / drug / cycle 20</t>
        </is>
      </c>
      <c r="B34" s="1" t="n">
        <v>3000</v>
      </c>
      <c r="C34" s="1" t="n">
        <v>0</v>
      </c>
      <c r="D34" s="1" t="n">
        <v>0</v>
      </c>
    </row>
    <row r="35">
      <c r="A35" t="inlineStr">
        <is>
          <t>cost / drug / cycle 21</t>
        </is>
      </c>
      <c r="B35" s="1" t="n">
        <v>3000</v>
      </c>
      <c r="C35" s="1" t="n">
        <v>0</v>
      </c>
      <c r="D35" s="1" t="n">
        <v>0</v>
      </c>
    </row>
    <row r="36">
      <c r="A36" t="inlineStr">
        <is>
          <t>cost / drug / cycle 22</t>
        </is>
      </c>
      <c r="B36" s="1" t="n">
        <v>3000</v>
      </c>
      <c r="C36" s="1" t="n">
        <v>0</v>
      </c>
      <c r="D36" s="1" t="n">
        <v>0</v>
      </c>
    </row>
    <row r="37">
      <c r="A37" t="inlineStr">
        <is>
          <t>cost / drug / cycle 23</t>
        </is>
      </c>
      <c r="B37" s="1" t="n">
        <v>3000</v>
      </c>
      <c r="C37" s="1" t="n">
        <v>0</v>
      </c>
      <c r="D37" s="1" t="n">
        <v>0</v>
      </c>
    </row>
    <row r="38">
      <c r="A38" t="inlineStr">
        <is>
          <t>cost / drug / cycle 24</t>
        </is>
      </c>
      <c r="B38" s="1" t="n">
        <v>3000</v>
      </c>
      <c r="C38" s="1" t="n">
        <v>0</v>
      </c>
      <c r="D38" s="1" t="n">
        <v>0</v>
      </c>
    </row>
    <row r="39">
      <c r="A39" t="inlineStr">
        <is>
          <t>cost / drug / cycle 25</t>
        </is>
      </c>
      <c r="B39" s="1" t="n">
        <v>3000</v>
      </c>
      <c r="C39" s="1" t="n">
        <v>0</v>
      </c>
      <c r="D39" s="1" t="n">
        <v>0</v>
      </c>
    </row>
    <row r="40">
      <c r="A40" t="inlineStr">
        <is>
          <t>cost / drug / cycle 26</t>
        </is>
      </c>
      <c r="B40" s="1" t="n">
        <v>3000</v>
      </c>
      <c r="C40" s="1" t="n">
        <v>0</v>
      </c>
      <c r="D40" s="1" t="n">
        <v>0</v>
      </c>
    </row>
    <row r="41">
      <c r="A41" t="inlineStr">
        <is>
          <t>cost / drug / cycle 27</t>
        </is>
      </c>
      <c r="B41" s="1" t="n">
        <v>3000</v>
      </c>
      <c r="C41" s="1" t="n">
        <v>0</v>
      </c>
      <c r="D41" s="1" t="n">
        <v>0</v>
      </c>
    </row>
    <row r="42">
      <c r="A42" t="inlineStr">
        <is>
          <t>cost / drug / cycle 28</t>
        </is>
      </c>
      <c r="B42" s="1" t="n">
        <v>3000</v>
      </c>
      <c r="C42" s="1" t="n">
        <v>0</v>
      </c>
      <c r="D42" s="1" t="n">
        <v>0</v>
      </c>
    </row>
    <row r="43">
      <c r="A43" t="inlineStr">
        <is>
          <t>cost / drug / cycle 29</t>
        </is>
      </c>
      <c r="B43" s="1" t="n">
        <v>3000</v>
      </c>
      <c r="C43" s="1" t="n">
        <v>0</v>
      </c>
      <c r="D43" s="1" t="n">
        <v>0</v>
      </c>
    </row>
    <row r="44">
      <c r="A44" t="inlineStr">
        <is>
          <t>cost / drug / cycle 30</t>
        </is>
      </c>
      <c r="B44" s="1" t="n">
        <v>3000</v>
      </c>
      <c r="C44" s="1" t="n">
        <v>0</v>
      </c>
      <c r="D44" s="1" t="n">
        <v>0</v>
      </c>
    </row>
    <row r="45">
      <c r="A45" t="inlineStr">
        <is>
          <t>cost / drug / cycle 31</t>
        </is>
      </c>
      <c r="B45" s="1" t="n">
        <v>3000</v>
      </c>
      <c r="C45" s="1" t="n">
        <v>0</v>
      </c>
      <c r="D45" s="1" t="n">
        <v>0</v>
      </c>
    </row>
    <row r="46">
      <c r="A46" t="inlineStr">
        <is>
          <t>cost / drug / cycle 32</t>
        </is>
      </c>
      <c r="B46" s="1" t="n">
        <v>3000</v>
      </c>
      <c r="C46" s="1" t="n">
        <v>0</v>
      </c>
      <c r="D46" s="1" t="n">
        <v>0</v>
      </c>
    </row>
    <row r="47">
      <c r="A47" t="inlineStr">
        <is>
          <t>cost / drug / cycle 33</t>
        </is>
      </c>
      <c r="B47" s="1" t="n">
        <v>3000</v>
      </c>
      <c r="C47" s="1" t="n">
        <v>0</v>
      </c>
      <c r="D47" s="1" t="n">
        <v>0</v>
      </c>
    </row>
    <row r="48">
      <c r="A48" t="inlineStr">
        <is>
          <t>cost / drug / cycle 34</t>
        </is>
      </c>
      <c r="B48" s="1" t="n">
        <v>3000</v>
      </c>
      <c r="C48" s="1" t="n">
        <v>0</v>
      </c>
      <c r="D48" s="1" t="n">
        <v>0</v>
      </c>
    </row>
    <row r="49">
      <c r="A49" t="inlineStr">
        <is>
          <t>cost / drug / cycle 35</t>
        </is>
      </c>
      <c r="B49" s="1" t="n">
        <v>3000</v>
      </c>
      <c r="C49" s="1" t="n">
        <v>0</v>
      </c>
      <c r="D49" s="1" t="n">
        <v>0</v>
      </c>
    </row>
    <row r="50">
      <c r="A50" t="inlineStr">
        <is>
          <t>cost / drug / cycle 36</t>
        </is>
      </c>
      <c r="B50" s="1" t="n">
        <v>3000</v>
      </c>
      <c r="C50" s="1" t="n">
        <v>0</v>
      </c>
      <c r="D50" s="1" t="n">
        <v>0</v>
      </c>
    </row>
    <row r="51">
      <c r="A51" t="inlineStr">
        <is>
          <t>cost / drug / cycle 37</t>
        </is>
      </c>
      <c r="B51" s="1" t="n">
        <v>3000</v>
      </c>
      <c r="C51" s="1" t="n">
        <v>0</v>
      </c>
      <c r="D51" s="1" t="n">
        <v>0</v>
      </c>
    </row>
    <row r="52">
      <c r="A52" t="inlineStr">
        <is>
          <t>cost / drug / cycle 38</t>
        </is>
      </c>
      <c r="B52" s="1" t="n">
        <v>3000</v>
      </c>
      <c r="C52" s="1" t="n">
        <v>0</v>
      </c>
      <c r="D52" s="1" t="n">
        <v>0</v>
      </c>
    </row>
    <row r="53">
      <c r="A53" t="inlineStr">
        <is>
          <t>cost / drug / cycle 39</t>
        </is>
      </c>
      <c r="B53" s="1" t="n">
        <v>3000</v>
      </c>
      <c r="C53" s="1" t="n">
        <v>0</v>
      </c>
      <c r="D53" s="1" t="n">
        <v>0</v>
      </c>
    </row>
    <row r="54">
      <c r="A54" t="inlineStr">
        <is>
          <t>cost / drug / cycle 40</t>
        </is>
      </c>
      <c r="B54" s="1" t="n">
        <v>3000</v>
      </c>
      <c r="C54" s="1" t="n">
        <v>0</v>
      </c>
      <c r="D54" s="1" t="n">
        <v>0</v>
      </c>
    </row>
    <row r="55">
      <c r="A55" t="inlineStr">
        <is>
          <t>cost / drug / cycle 41</t>
        </is>
      </c>
      <c r="B55" s="1" t="n">
        <v>3000</v>
      </c>
      <c r="C55" s="1" t="n">
        <v>0</v>
      </c>
      <c r="D55" s="1" t="n">
        <v>0</v>
      </c>
    </row>
    <row r="56">
      <c r="A56" t="inlineStr">
        <is>
          <t>cost / drug / cycle 42</t>
        </is>
      </c>
      <c r="B56" s="1" t="n">
        <v>3000</v>
      </c>
      <c r="C56" s="1" t="n">
        <v>0</v>
      </c>
      <c r="D56" s="1" t="n">
        <v>0</v>
      </c>
    </row>
    <row r="57">
      <c r="A57" t="inlineStr">
        <is>
          <t>cost / drug / cycle 43</t>
        </is>
      </c>
      <c r="B57" s="1" t="n">
        <v>3000</v>
      </c>
      <c r="C57" s="1" t="n">
        <v>0</v>
      </c>
      <c r="D57" s="1" t="n">
        <v>0</v>
      </c>
    </row>
    <row r="58">
      <c r="A58" t="inlineStr">
        <is>
          <t>cost / drug / cycle 44</t>
        </is>
      </c>
      <c r="B58" s="1" t="n">
        <v>3000</v>
      </c>
      <c r="C58" s="1" t="n">
        <v>0</v>
      </c>
      <c r="D58" s="1" t="n">
        <v>0</v>
      </c>
    </row>
    <row r="59">
      <c r="A59" t="inlineStr">
        <is>
          <t>cost / drug / cycle 45</t>
        </is>
      </c>
      <c r="B59" s="1" t="n">
        <v>3000</v>
      </c>
      <c r="C59" s="1" t="n">
        <v>0</v>
      </c>
      <c r="D59" s="1" t="n">
        <v>0</v>
      </c>
    </row>
    <row r="60">
      <c r="A60" t="inlineStr">
        <is>
          <t>cost / drug / cycle 46</t>
        </is>
      </c>
      <c r="B60" s="1" t="n">
        <v>3000</v>
      </c>
      <c r="C60" s="1" t="n">
        <v>0</v>
      </c>
      <c r="D60" s="1" t="n">
        <v>0</v>
      </c>
    </row>
    <row r="61">
      <c r="A61" t="inlineStr">
        <is>
          <t>cost / drug / cycle 47</t>
        </is>
      </c>
      <c r="B61" s="1" t="n">
        <v>3000</v>
      </c>
      <c r="C61" s="1" t="n">
        <v>0</v>
      </c>
      <c r="D61" s="1" t="n">
        <v>0</v>
      </c>
    </row>
    <row r="62">
      <c r="A62" t="inlineStr">
        <is>
          <t>cost / drug / cycle 48</t>
        </is>
      </c>
      <c r="B62" s="1" t="n">
        <v>3000</v>
      </c>
      <c r="C62" s="1" t="n">
        <v>0</v>
      </c>
      <c r="D62" s="1" t="n">
        <v>0</v>
      </c>
    </row>
    <row r="63">
      <c r="A63" t="inlineStr">
        <is>
          <t>cost / drug / cycle 49</t>
        </is>
      </c>
      <c r="B63" s="1" t="n">
        <v>3000</v>
      </c>
      <c r="C63" s="1" t="n">
        <v>0</v>
      </c>
      <c r="D63" s="1" t="n">
        <v>0</v>
      </c>
    </row>
    <row r="64">
      <c r="A64" t="inlineStr">
        <is>
          <t>cost / drug / cycle 50</t>
        </is>
      </c>
      <c r="B64" s="1" t="n">
        <v>3000</v>
      </c>
      <c r="C64" s="1" t="n">
        <v>0</v>
      </c>
      <c r="D64" s="1" t="n">
        <v>0</v>
      </c>
    </row>
    <row r="65">
      <c r="A65" t="inlineStr">
        <is>
          <t>cost / drug / cycle 51</t>
        </is>
      </c>
      <c r="B65" s="1" t="n">
        <v>3000</v>
      </c>
      <c r="C65" s="1" t="n">
        <v>0</v>
      </c>
      <c r="D65" s="1" t="n">
        <v>0</v>
      </c>
    </row>
    <row r="66">
      <c r="A66" t="inlineStr">
        <is>
          <t>cost / drug / cycle 52</t>
        </is>
      </c>
      <c r="B66" s="1" t="n">
        <v>3000</v>
      </c>
      <c r="C66" s="1" t="n">
        <v>0</v>
      </c>
      <c r="D66" s="1" t="n">
        <v>0</v>
      </c>
    </row>
    <row r="67">
      <c r="A67" t="inlineStr">
        <is>
          <t>cost / drug / cycle 53</t>
        </is>
      </c>
      <c r="B67" s="1" t="n">
        <v>3000</v>
      </c>
      <c r="C67" s="1" t="n">
        <v>0</v>
      </c>
      <c r="D67" s="1" t="n">
        <v>0</v>
      </c>
    </row>
    <row r="68">
      <c r="A68" t="inlineStr">
        <is>
          <t>cost / drug / cycle 54</t>
        </is>
      </c>
      <c r="B68" s="1" t="n">
        <v>3000</v>
      </c>
      <c r="C68" s="1" t="n">
        <v>0</v>
      </c>
      <c r="D68" s="1" t="n">
        <v>0</v>
      </c>
    </row>
    <row r="69">
      <c r="A69" t="inlineStr">
        <is>
          <t>cost / drug / cycle 55</t>
        </is>
      </c>
      <c r="B69" s="1" t="n">
        <v>3000</v>
      </c>
      <c r="C69" s="1" t="n">
        <v>0</v>
      </c>
      <c r="D69" s="1" t="n">
        <v>0</v>
      </c>
    </row>
    <row r="70">
      <c r="A70" t="inlineStr">
        <is>
          <t>cost / drug / cycle 56</t>
        </is>
      </c>
      <c r="B70" s="1" t="n">
        <v>3000</v>
      </c>
      <c r="C70" s="1" t="n">
        <v>0</v>
      </c>
      <c r="D70" s="1" t="n">
        <v>0</v>
      </c>
    </row>
    <row r="71">
      <c r="A71" t="inlineStr">
        <is>
          <t>cost / drug / cycle 57</t>
        </is>
      </c>
      <c r="B71" s="1" t="n">
        <v>3000</v>
      </c>
      <c r="C71" s="1" t="n">
        <v>0</v>
      </c>
      <c r="D71" s="1" t="n">
        <v>0</v>
      </c>
    </row>
    <row r="72">
      <c r="A72" t="inlineStr">
        <is>
          <t>cost / drug / cycle 58</t>
        </is>
      </c>
      <c r="B72" s="1" t="n">
        <v>3000</v>
      </c>
      <c r="C72" s="1" t="n">
        <v>0</v>
      </c>
      <c r="D72" s="1" t="n">
        <v>0</v>
      </c>
    </row>
    <row r="73">
      <c r="A73" t="inlineStr">
        <is>
          <t>cost / drug / cycle 59</t>
        </is>
      </c>
      <c r="B73" s="1" t="n">
        <v>3000</v>
      </c>
      <c r="C73" s="1" t="n">
        <v>0</v>
      </c>
      <c r="D73" s="1" t="n">
        <v>0</v>
      </c>
    </row>
    <row r="74">
      <c r="A74" t="inlineStr">
        <is>
          <t>cost / drug / cycle 60</t>
        </is>
      </c>
      <c r="B74" s="1" t="n">
        <v>3000</v>
      </c>
      <c r="C74" s="1" t="n">
        <v>0</v>
      </c>
      <c r="D74" s="1" t="n">
        <v>0</v>
      </c>
    </row>
    <row r="75">
      <c r="A75" t="inlineStr">
        <is>
          <t>cost / drug / cycle 61</t>
        </is>
      </c>
      <c r="B75" s="1" t="n">
        <v>3000</v>
      </c>
      <c r="C75" s="1" t="n">
        <v>0</v>
      </c>
      <c r="D75" s="1" t="n">
        <v>0</v>
      </c>
    </row>
    <row r="76">
      <c r="A76" t="inlineStr">
        <is>
          <t>cost / drug / cycle 62</t>
        </is>
      </c>
      <c r="B76" s="1" t="n">
        <v>3000</v>
      </c>
      <c r="C76" s="1" t="n">
        <v>0</v>
      </c>
      <c r="D76" s="1" t="n">
        <v>0</v>
      </c>
    </row>
    <row r="77">
      <c r="A77" t="inlineStr">
        <is>
          <t>cost / drug / cycle 63</t>
        </is>
      </c>
      <c r="B77" s="1" t="n">
        <v>3000</v>
      </c>
      <c r="C77" s="1" t="n">
        <v>0</v>
      </c>
      <c r="D77" s="1" t="n">
        <v>0</v>
      </c>
    </row>
    <row r="78">
      <c r="A78" t="inlineStr">
        <is>
          <t>cost / drug / cycle 64</t>
        </is>
      </c>
      <c r="B78" s="1" t="n">
        <v>3000</v>
      </c>
      <c r="C78" s="1" t="n">
        <v>0</v>
      </c>
      <c r="D78" s="1" t="n">
        <v>0</v>
      </c>
    </row>
    <row r="79">
      <c r="A79" t="inlineStr">
        <is>
          <t>cost / drug / cycle 65</t>
        </is>
      </c>
      <c r="B79" s="1" t="n">
        <v>3000</v>
      </c>
      <c r="C79" s="1" t="n">
        <v>0</v>
      </c>
      <c r="D79" s="1" t="n">
        <v>0</v>
      </c>
    </row>
    <row r="80">
      <c r="A80" t="inlineStr">
        <is>
          <t>cost / drug / cycle 66</t>
        </is>
      </c>
      <c r="B80" s="1" t="n">
        <v>3000</v>
      </c>
      <c r="C80" s="1" t="n">
        <v>0</v>
      </c>
      <c r="D80" s="1" t="n">
        <v>0</v>
      </c>
    </row>
    <row r="81">
      <c r="A81" t="inlineStr">
        <is>
          <t>cost / drug / cycle 67</t>
        </is>
      </c>
      <c r="B81" s="1" t="n">
        <v>3000</v>
      </c>
      <c r="C81" s="1" t="n">
        <v>0</v>
      </c>
      <c r="D81" s="1" t="n">
        <v>0</v>
      </c>
    </row>
    <row r="82">
      <c r="A82" t="inlineStr">
        <is>
          <t>cost / drug / cycle 68</t>
        </is>
      </c>
      <c r="B82" s="1" t="n">
        <v>3000</v>
      </c>
      <c r="C82" s="1" t="n">
        <v>0</v>
      </c>
      <c r="D82" s="1" t="n">
        <v>0</v>
      </c>
    </row>
    <row r="83">
      <c r="A83" t="inlineStr">
        <is>
          <t>cost / drug / cycle 69</t>
        </is>
      </c>
      <c r="B83" s="1" t="n">
        <v>3000</v>
      </c>
      <c r="C83" s="1" t="n">
        <v>0</v>
      </c>
      <c r="D83" s="1" t="n">
        <v>0</v>
      </c>
    </row>
    <row r="84">
      <c r="A84" t="inlineStr">
        <is>
          <t>cost / drug / cycle 70</t>
        </is>
      </c>
      <c r="B84" s="1" t="n">
        <v>3000</v>
      </c>
      <c r="C84" s="1" t="n">
        <v>0</v>
      </c>
      <c r="D84" s="1" t="n">
        <v>0</v>
      </c>
    </row>
    <row r="85">
      <c r="A85" t="inlineStr">
        <is>
          <t>cost / drug / cycle 71</t>
        </is>
      </c>
      <c r="B85" s="1" t="n">
        <v>3000</v>
      </c>
      <c r="C85" s="1" t="n">
        <v>0</v>
      </c>
      <c r="D85" s="1" t="n">
        <v>0</v>
      </c>
    </row>
    <row r="86">
      <c r="A86" t="inlineStr">
        <is>
          <t>cost / drug / cycle 72</t>
        </is>
      </c>
      <c r="B86" s="1" t="n">
        <v>3000</v>
      </c>
      <c r="C86" s="1" t="n">
        <v>0</v>
      </c>
      <c r="D86" s="1" t="n">
        <v>0</v>
      </c>
    </row>
    <row r="87">
      <c r="A87" t="inlineStr">
        <is>
          <t>cost / drug / cycle 73</t>
        </is>
      </c>
      <c r="B87" s="1" t="n">
        <v>3000</v>
      </c>
      <c r="C87" s="1" t="n">
        <v>0</v>
      </c>
      <c r="D87" s="1" t="n">
        <v>0</v>
      </c>
    </row>
    <row r="88">
      <c r="A88" t="inlineStr">
        <is>
          <t>cost / drug / cycle 74</t>
        </is>
      </c>
      <c r="B88" s="1" t="n">
        <v>3000</v>
      </c>
      <c r="C88" s="1" t="n">
        <v>0</v>
      </c>
      <c r="D88" s="1" t="n">
        <v>0</v>
      </c>
    </row>
    <row r="89">
      <c r="A89" t="inlineStr">
        <is>
          <t>cost / drug / cycle 75</t>
        </is>
      </c>
      <c r="B89" s="1" t="n">
        <v>3000</v>
      </c>
      <c r="C89" s="1" t="n">
        <v>0</v>
      </c>
      <c r="D89" s="1" t="n">
        <v>0</v>
      </c>
    </row>
    <row r="90">
      <c r="A90" t="inlineStr">
        <is>
          <t>cost / drug / cycle 76</t>
        </is>
      </c>
      <c r="B90" s="1" t="n">
        <v>3000</v>
      </c>
      <c r="C90" s="1" t="n">
        <v>0</v>
      </c>
      <c r="D90" s="1" t="n">
        <v>0</v>
      </c>
    </row>
    <row r="91">
      <c r="A91" t="inlineStr">
        <is>
          <t>cost / drug / cycle 77</t>
        </is>
      </c>
      <c r="B91" s="1" t="n">
        <v>3000</v>
      </c>
      <c r="C91" s="1" t="n">
        <v>0</v>
      </c>
      <c r="D91" s="1" t="n">
        <v>0</v>
      </c>
    </row>
    <row r="92">
      <c r="A92" t="inlineStr">
        <is>
          <t>cost / drug / cycle 78</t>
        </is>
      </c>
      <c r="B92" s="1" t="n">
        <v>3000</v>
      </c>
      <c r="C92" s="1" t="n">
        <v>0</v>
      </c>
      <c r="D92" s="1" t="n">
        <v>0</v>
      </c>
    </row>
    <row r="93">
      <c r="A93" t="inlineStr">
        <is>
          <t>cost / drug / cycle 79</t>
        </is>
      </c>
      <c r="B93" s="1" t="n">
        <v>3000</v>
      </c>
      <c r="C93" s="1" t="n">
        <v>0</v>
      </c>
      <c r="D93" s="1" t="n">
        <v>0</v>
      </c>
    </row>
    <row r="94">
      <c r="A94" t="inlineStr">
        <is>
          <t>cost / drug / cycle 80</t>
        </is>
      </c>
      <c r="B94" s="1" t="n">
        <v>3000</v>
      </c>
      <c r="C94" s="1" t="n">
        <v>0</v>
      </c>
      <c r="D94" s="1" t="n">
        <v>0</v>
      </c>
    </row>
    <row r="95">
      <c r="A95" t="inlineStr">
        <is>
          <t>cost / drug / cycle 81</t>
        </is>
      </c>
      <c r="B95" s="1" t="n">
        <v>3000</v>
      </c>
      <c r="C95" s="1" t="n">
        <v>0</v>
      </c>
      <c r="D95" s="1" t="n">
        <v>0</v>
      </c>
    </row>
    <row r="96">
      <c r="A96" t="inlineStr">
        <is>
          <t>cost / drug / cycle 82</t>
        </is>
      </c>
      <c r="B96" s="1" t="n">
        <v>3000</v>
      </c>
      <c r="C96" s="1" t="n">
        <v>0</v>
      </c>
      <c r="D96" s="1" t="n">
        <v>0</v>
      </c>
    </row>
    <row r="97">
      <c r="A97" t="inlineStr">
        <is>
          <t>cost / drug / cycle 83</t>
        </is>
      </c>
      <c r="B97" s="1" t="n">
        <v>3000</v>
      </c>
      <c r="C97" s="1" t="n">
        <v>0</v>
      </c>
      <c r="D97" s="1" t="n">
        <v>0</v>
      </c>
    </row>
    <row r="98">
      <c r="A98" t="inlineStr">
        <is>
          <t>cost / drug / cycle 84</t>
        </is>
      </c>
      <c r="B98" s="1" t="n">
        <v>3000</v>
      </c>
      <c r="C98" s="1" t="n">
        <v>0</v>
      </c>
      <c r="D98" s="1" t="n">
        <v>0</v>
      </c>
    </row>
    <row r="99">
      <c r="A99" t="inlineStr">
        <is>
          <t>cost / drug / cycle 85</t>
        </is>
      </c>
      <c r="B99" s="1" t="n">
        <v>3000</v>
      </c>
      <c r="C99" s="1" t="n">
        <v>0</v>
      </c>
      <c r="D99" s="1" t="n">
        <v>0</v>
      </c>
    </row>
    <row r="100">
      <c r="A100" t="inlineStr">
        <is>
          <t>cost / drug / cycle 86</t>
        </is>
      </c>
      <c r="B100" s="1" t="n">
        <v>3000</v>
      </c>
      <c r="C100" s="1" t="n">
        <v>0</v>
      </c>
      <c r="D100" s="1" t="n">
        <v>0</v>
      </c>
    </row>
    <row r="101">
      <c r="A101" t="inlineStr">
        <is>
          <t>cost / drug / cycle 87</t>
        </is>
      </c>
      <c r="B101" s="1" t="n">
        <v>3000</v>
      </c>
      <c r="C101" s="1" t="n">
        <v>0</v>
      </c>
      <c r="D101" s="1" t="n">
        <v>0</v>
      </c>
    </row>
    <row r="102">
      <c r="A102" t="inlineStr">
        <is>
          <t>cost / drug / cycle 88</t>
        </is>
      </c>
      <c r="B102" s="1" t="n">
        <v>3000</v>
      </c>
      <c r="C102" s="1" t="n">
        <v>0</v>
      </c>
      <c r="D102" s="1" t="n">
        <v>0</v>
      </c>
    </row>
    <row r="103">
      <c r="A103" t="inlineStr">
        <is>
          <t>cost / drug / cycle 89</t>
        </is>
      </c>
      <c r="B103" s="1" t="n">
        <v>3000</v>
      </c>
      <c r="C103" s="1" t="n">
        <v>0</v>
      </c>
      <c r="D103" s="1" t="n">
        <v>0</v>
      </c>
    </row>
    <row r="104">
      <c r="A104" t="inlineStr">
        <is>
          <t>cost / drug / cycle 90</t>
        </is>
      </c>
      <c r="B104" s="1" t="n">
        <v>3000</v>
      </c>
      <c r="C104" s="1" t="n">
        <v>0</v>
      </c>
      <c r="D104" s="1" t="n">
        <v>0</v>
      </c>
    </row>
    <row r="105">
      <c r="A105" t="inlineStr">
        <is>
          <t>cost / drug / cycle 91</t>
        </is>
      </c>
      <c r="B105" s="1" t="n">
        <v>3000</v>
      </c>
      <c r="C105" s="1" t="n">
        <v>0</v>
      </c>
      <c r="D105" s="1" t="n">
        <v>0</v>
      </c>
    </row>
    <row r="106">
      <c r="A106" t="inlineStr">
        <is>
          <t>cost / drug / cycle 92</t>
        </is>
      </c>
      <c r="B106" s="1" t="n">
        <v>3000</v>
      </c>
      <c r="C106" s="1" t="n">
        <v>0</v>
      </c>
      <c r="D106" s="1" t="n">
        <v>0</v>
      </c>
    </row>
    <row r="107">
      <c r="A107" t="inlineStr">
        <is>
          <t>cost / drug / cycle 93</t>
        </is>
      </c>
      <c r="B107" s="1" t="n">
        <v>3000</v>
      </c>
      <c r="C107" s="1" t="n">
        <v>0</v>
      </c>
      <c r="D107" s="1" t="n">
        <v>0</v>
      </c>
    </row>
    <row r="108">
      <c r="A108" t="inlineStr">
        <is>
          <t>cost / drug / cycle 94</t>
        </is>
      </c>
      <c r="B108" s="1" t="n">
        <v>3000</v>
      </c>
      <c r="C108" s="1" t="n">
        <v>0</v>
      </c>
      <c r="D108" s="1" t="n">
        <v>0</v>
      </c>
    </row>
    <row r="109">
      <c r="A109" t="inlineStr">
        <is>
          <t>cost / drug / cycle 95</t>
        </is>
      </c>
      <c r="B109" s="1" t="n">
        <v>3000</v>
      </c>
      <c r="C109" s="1" t="n">
        <v>0</v>
      </c>
      <c r="D109" s="1" t="n">
        <v>0</v>
      </c>
    </row>
    <row r="110">
      <c r="A110" t="inlineStr">
        <is>
          <t>cost / drug / cycle 96</t>
        </is>
      </c>
      <c r="B110" s="1" t="n">
        <v>3000</v>
      </c>
      <c r="C110" s="1" t="n">
        <v>0</v>
      </c>
      <c r="D110" s="1" t="n">
        <v>0</v>
      </c>
    </row>
    <row r="111">
      <c r="A111" t="inlineStr">
        <is>
          <t>cost / drug / cycle 97</t>
        </is>
      </c>
      <c r="B111" s="1" t="n">
        <v>3000</v>
      </c>
      <c r="C111" s="1" t="n">
        <v>0</v>
      </c>
      <c r="D111" s="1" t="n">
        <v>0</v>
      </c>
    </row>
    <row r="112">
      <c r="A112" t="inlineStr">
        <is>
          <t>cost / drug / cycle 98</t>
        </is>
      </c>
      <c r="B112" s="1" t="n">
        <v>3000</v>
      </c>
      <c r="C112" s="1" t="n">
        <v>0</v>
      </c>
      <c r="D112" s="1" t="n">
        <v>0</v>
      </c>
    </row>
    <row r="113">
      <c r="A113" t="inlineStr">
        <is>
          <t>cost / drug / cycle 99</t>
        </is>
      </c>
      <c r="B113" s="1" t="n">
        <v>3000</v>
      </c>
      <c r="C113" s="1" t="n">
        <v>0</v>
      </c>
      <c r="D113" s="1" t="n">
        <v>0</v>
      </c>
    </row>
    <row r="114">
      <c r="A114" t="inlineStr">
        <is>
          <t>cost / drug / cycle 100</t>
        </is>
      </c>
      <c r="B114" s="1" t="n">
        <v>3000</v>
      </c>
      <c r="C114" s="1" t="n">
        <v>0</v>
      </c>
      <c r="D114" s="1" t="n">
        <v>0</v>
      </c>
    </row>
    <row r="115">
      <c r="A115" t="inlineStr">
        <is>
          <t>cost / drug / cycle 101</t>
        </is>
      </c>
      <c r="B115" s="1" t="n">
        <v>3000</v>
      </c>
      <c r="C115" s="1" t="n">
        <v>0</v>
      </c>
      <c r="D115" s="1" t="n">
        <v>0</v>
      </c>
    </row>
    <row r="116">
      <c r="A116" t="inlineStr">
        <is>
          <t>cost / drug / cycle 102</t>
        </is>
      </c>
      <c r="B116" s="1" t="n">
        <v>3000</v>
      </c>
      <c r="C116" s="1" t="n">
        <v>0</v>
      </c>
      <c r="D116" s="1" t="n">
        <v>0</v>
      </c>
    </row>
    <row r="117">
      <c r="A117" t="inlineStr">
        <is>
          <t>cost / drug / cycle 103</t>
        </is>
      </c>
      <c r="B117" s="1" t="n">
        <v>3000</v>
      </c>
      <c r="C117" s="1" t="n">
        <v>0</v>
      </c>
      <c r="D117" s="1" t="n">
        <v>0</v>
      </c>
    </row>
    <row r="118">
      <c r="A118" t="inlineStr">
        <is>
          <t>cost / drug / cycle 104</t>
        </is>
      </c>
      <c r="B118" s="1" t="n">
        <v>3000</v>
      </c>
      <c r="C118" s="1" t="n">
        <v>0</v>
      </c>
      <c r="D118" s="1" t="n">
        <v>0</v>
      </c>
    </row>
    <row r="119">
      <c r="A119" t="inlineStr">
        <is>
          <t>cost / drug / cycle 105</t>
        </is>
      </c>
      <c r="B119" s="1" t="n">
        <v>3000</v>
      </c>
      <c r="C119" s="1" t="n">
        <v>0</v>
      </c>
      <c r="D119" s="1" t="n">
        <v>0</v>
      </c>
    </row>
    <row r="120">
      <c r="A120" t="inlineStr">
        <is>
          <t>cost / drug / cycle 106</t>
        </is>
      </c>
      <c r="B120" s="1" t="n">
        <v>3000</v>
      </c>
      <c r="C120" s="1" t="n">
        <v>0</v>
      </c>
      <c r="D120" s="1" t="n">
        <v>0</v>
      </c>
    </row>
    <row r="121">
      <c r="A121" t="inlineStr">
        <is>
          <t>cost / drug / cycle 107</t>
        </is>
      </c>
      <c r="B121" s="1" t="n">
        <v>3000</v>
      </c>
      <c r="C121" s="1" t="n">
        <v>0</v>
      </c>
      <c r="D121" s="1" t="n">
        <v>0</v>
      </c>
    </row>
    <row r="122">
      <c r="A122" t="inlineStr">
        <is>
          <t>cost / drug / cycle 108</t>
        </is>
      </c>
      <c r="B122" s="1" t="n">
        <v>3000</v>
      </c>
      <c r="C122" s="1" t="n">
        <v>0</v>
      </c>
      <c r="D122" s="1" t="n">
        <v>0</v>
      </c>
    </row>
    <row r="123">
      <c r="A123" t="inlineStr">
        <is>
          <t>cost / drug / cycle 109</t>
        </is>
      </c>
      <c r="B123" s="1" t="n">
        <v>3000</v>
      </c>
      <c r="C123" s="1" t="n">
        <v>0</v>
      </c>
      <c r="D123" s="1" t="n">
        <v>0</v>
      </c>
    </row>
    <row r="124">
      <c r="A124" t="inlineStr">
        <is>
          <t>cost / drug / cycle 110</t>
        </is>
      </c>
      <c r="B124" s="1" t="n">
        <v>3000</v>
      </c>
      <c r="C124" s="1" t="n">
        <v>0</v>
      </c>
      <c r="D124" s="1" t="n">
        <v>0</v>
      </c>
    </row>
    <row r="125">
      <c r="A125" t="inlineStr">
        <is>
          <t>cost / drug / cycle 111</t>
        </is>
      </c>
      <c r="B125" s="1" t="n">
        <v>3000</v>
      </c>
      <c r="C125" s="1" t="n">
        <v>0</v>
      </c>
      <c r="D125" s="1" t="n">
        <v>0</v>
      </c>
    </row>
    <row r="126">
      <c r="A126" t="inlineStr">
        <is>
          <t>cost / drug / cycle 112</t>
        </is>
      </c>
      <c r="B126" s="1" t="n">
        <v>3000</v>
      </c>
      <c r="C126" s="1" t="n">
        <v>0</v>
      </c>
      <c r="D126" s="1" t="n">
        <v>0</v>
      </c>
    </row>
    <row r="127">
      <c r="A127" t="inlineStr">
        <is>
          <t>cost / drug / cycle 113</t>
        </is>
      </c>
      <c r="B127" s="1" t="n">
        <v>3000</v>
      </c>
      <c r="C127" s="1" t="n">
        <v>0</v>
      </c>
      <c r="D127" s="1" t="n">
        <v>0</v>
      </c>
    </row>
    <row r="128">
      <c r="A128" t="inlineStr">
        <is>
          <t>cost / drug / cycle 114</t>
        </is>
      </c>
      <c r="B128" s="1" t="n">
        <v>3000</v>
      </c>
      <c r="C128" s="1" t="n">
        <v>0</v>
      </c>
      <c r="D128" s="1" t="n">
        <v>0</v>
      </c>
    </row>
    <row r="129">
      <c r="A129" t="inlineStr">
        <is>
          <t>cost / drug / cycle 115</t>
        </is>
      </c>
      <c r="B129" s="1" t="n">
        <v>3000</v>
      </c>
      <c r="C129" s="1" t="n">
        <v>0</v>
      </c>
      <c r="D129" s="1" t="n">
        <v>0</v>
      </c>
    </row>
    <row r="130">
      <c r="A130" t="inlineStr">
        <is>
          <t>cost / drug / cycle 116</t>
        </is>
      </c>
      <c r="B130" s="1" t="n">
        <v>3000</v>
      </c>
      <c r="C130" s="1" t="n">
        <v>0</v>
      </c>
      <c r="D130" s="1" t="n">
        <v>0</v>
      </c>
    </row>
    <row r="131">
      <c r="A131" t="inlineStr">
        <is>
          <t>cost / drug / cycle 117</t>
        </is>
      </c>
      <c r="B131" s="1" t="n">
        <v>3000</v>
      </c>
      <c r="C131" s="1" t="n">
        <v>0</v>
      </c>
      <c r="D131" s="1" t="n">
        <v>0</v>
      </c>
    </row>
    <row r="132">
      <c r="A132" t="inlineStr">
        <is>
          <t>cost / drug / cycle 118</t>
        </is>
      </c>
      <c r="B132" s="1" t="n">
        <v>3000</v>
      </c>
      <c r="C132" s="1" t="n">
        <v>0</v>
      </c>
      <c r="D132" s="1" t="n">
        <v>0</v>
      </c>
    </row>
    <row r="133">
      <c r="A133" t="inlineStr">
        <is>
          <t>cost / drug / cycle 119</t>
        </is>
      </c>
      <c r="B133" s="1" t="n">
        <v>3000</v>
      </c>
      <c r="C133" s="1" t="n">
        <v>0</v>
      </c>
      <c r="D133" s="1" t="n">
        <v>0</v>
      </c>
    </row>
    <row r="134">
      <c r="A134" t="inlineStr">
        <is>
          <t>cost / drug / cycle 120</t>
        </is>
      </c>
      <c r="B134" s="1" t="n">
        <v>3000</v>
      </c>
      <c r="C134" s="1" t="n">
        <v>0</v>
      </c>
      <c r="D134" s="1" t="n">
        <v>0</v>
      </c>
    </row>
    <row r="135">
      <c r="A135" t="inlineStr">
        <is>
          <t>cost / drug / cycle 121</t>
        </is>
      </c>
      <c r="B135" s="1" t="n">
        <v>3000</v>
      </c>
      <c r="C135" s="1" t="n">
        <v>0</v>
      </c>
      <c r="D135" s="1" t="n">
        <v>0</v>
      </c>
    </row>
    <row r="136">
      <c r="A136" t="inlineStr">
        <is>
          <t>cost / drug / cycle 122</t>
        </is>
      </c>
      <c r="B136" s="1" t="n">
        <v>3000</v>
      </c>
      <c r="C136" s="1" t="n">
        <v>0</v>
      </c>
      <c r="D136" s="1" t="n">
        <v>0</v>
      </c>
    </row>
    <row r="137">
      <c r="A137" t="inlineStr">
        <is>
          <t>cost / drug / cycle 123</t>
        </is>
      </c>
      <c r="B137" s="1" t="n">
        <v>3000</v>
      </c>
      <c r="C137" s="1" t="n">
        <v>0</v>
      </c>
      <c r="D137" s="1" t="n">
        <v>0</v>
      </c>
    </row>
    <row r="138">
      <c r="A138" t="inlineStr">
        <is>
          <t>cost / drug / cycle 124</t>
        </is>
      </c>
      <c r="B138" s="1" t="n">
        <v>3000</v>
      </c>
      <c r="C138" s="1" t="n">
        <v>0</v>
      </c>
      <c r="D138" s="1" t="n">
        <v>0</v>
      </c>
    </row>
    <row r="139">
      <c r="A139" t="inlineStr">
        <is>
          <t>cost / drug / cycle 125</t>
        </is>
      </c>
      <c r="B139" s="1" t="n">
        <v>3000</v>
      </c>
      <c r="C139" s="1" t="n">
        <v>0</v>
      </c>
      <c r="D139" s="1" t="n">
        <v>0</v>
      </c>
    </row>
    <row r="140">
      <c r="A140" t="inlineStr">
        <is>
          <t>cost / drug / cycle 126</t>
        </is>
      </c>
      <c r="B140" s="1" t="n">
        <v>3000</v>
      </c>
      <c r="C140" s="1" t="n">
        <v>0</v>
      </c>
      <c r="D140" s="1" t="n">
        <v>0</v>
      </c>
    </row>
    <row r="141">
      <c r="A141" t="inlineStr">
        <is>
          <t>cost / drug / cycle 127</t>
        </is>
      </c>
      <c r="B141" s="1" t="n">
        <v>3000</v>
      </c>
      <c r="C141" s="1" t="n">
        <v>0</v>
      </c>
      <c r="D141" s="1" t="n">
        <v>0</v>
      </c>
    </row>
    <row r="142">
      <c r="A142" t="inlineStr">
        <is>
          <t>cost / drug / cycle 128</t>
        </is>
      </c>
      <c r="B142" s="1" t="n">
        <v>3000</v>
      </c>
      <c r="C142" s="1" t="n">
        <v>0</v>
      </c>
      <c r="D142" s="1" t="n">
        <v>0</v>
      </c>
    </row>
    <row r="143">
      <c r="A143" t="inlineStr">
        <is>
          <t>cost / drug / cycle 129</t>
        </is>
      </c>
      <c r="B143" s="1" t="n">
        <v>3000</v>
      </c>
      <c r="C143" s="1" t="n">
        <v>0</v>
      </c>
      <c r="D143" s="1" t="n">
        <v>0</v>
      </c>
    </row>
    <row r="144">
      <c r="A144" t="inlineStr">
        <is>
          <t>cost / drug / cycle 130</t>
        </is>
      </c>
      <c r="B144" s="1" t="n">
        <v>3000</v>
      </c>
      <c r="C144" s="1" t="n">
        <v>0</v>
      </c>
      <c r="D144" s="1" t="n">
        <v>0</v>
      </c>
    </row>
    <row r="145">
      <c r="A145" t="inlineStr">
        <is>
          <t>cost / drug / cycle 131</t>
        </is>
      </c>
      <c r="B145" s="1" t="n">
        <v>3000</v>
      </c>
      <c r="C145" s="1" t="n">
        <v>0</v>
      </c>
      <c r="D145" s="1" t="n">
        <v>0</v>
      </c>
    </row>
    <row r="146">
      <c r="A146" t="inlineStr">
        <is>
          <t>cost / drug / cycle 132</t>
        </is>
      </c>
      <c r="B146" s="1" t="n">
        <v>3000</v>
      </c>
      <c r="C146" s="1" t="n">
        <v>0</v>
      </c>
      <c r="D146" s="1" t="n">
        <v>0</v>
      </c>
    </row>
    <row r="147">
      <c r="A147" t="inlineStr">
        <is>
          <t>cost / drug / cycle 133</t>
        </is>
      </c>
      <c r="B147" s="1" t="n">
        <v>3000</v>
      </c>
      <c r="C147" s="1" t="n">
        <v>0</v>
      </c>
      <c r="D147" s="1" t="n">
        <v>0</v>
      </c>
    </row>
    <row r="148">
      <c r="A148" t="inlineStr">
        <is>
          <t>cost / drug / cycle 134</t>
        </is>
      </c>
      <c r="B148" s="1" t="n">
        <v>3000</v>
      </c>
      <c r="C148" s="1" t="n">
        <v>0</v>
      </c>
      <c r="D148" s="1" t="n">
        <v>0</v>
      </c>
    </row>
    <row r="149">
      <c r="A149" t="inlineStr">
        <is>
          <t>cost / drug / cycle 135</t>
        </is>
      </c>
      <c r="B149" s="1" t="n">
        <v>3000</v>
      </c>
      <c r="C149" s="1" t="n">
        <v>0</v>
      </c>
      <c r="D149" s="1" t="n">
        <v>0</v>
      </c>
    </row>
    <row r="150">
      <c r="A150" t="inlineStr">
        <is>
          <t>cost / drug / cycle 136</t>
        </is>
      </c>
      <c r="B150" s="1" t="n">
        <v>3000</v>
      </c>
      <c r="C150" s="1" t="n">
        <v>0</v>
      </c>
      <c r="D150" s="1" t="n">
        <v>0</v>
      </c>
    </row>
    <row r="151">
      <c r="A151" t="inlineStr">
        <is>
          <t>cost / drug / cycle 137</t>
        </is>
      </c>
      <c r="B151" s="1" t="n">
        <v>3000</v>
      </c>
      <c r="C151" s="1" t="n">
        <v>0</v>
      </c>
      <c r="D151" s="1" t="n">
        <v>0</v>
      </c>
    </row>
    <row r="152">
      <c r="A152" t="inlineStr">
        <is>
          <t>cost / drug / cycle 138</t>
        </is>
      </c>
      <c r="B152" s="1" t="n">
        <v>3000</v>
      </c>
      <c r="C152" s="1" t="n">
        <v>0</v>
      </c>
      <c r="D152" s="1" t="n">
        <v>0</v>
      </c>
    </row>
    <row r="153">
      <c r="A153" t="inlineStr">
        <is>
          <t>cost / drug / cycle 139</t>
        </is>
      </c>
      <c r="B153" s="1" t="n">
        <v>3000</v>
      </c>
      <c r="C153" s="1" t="n">
        <v>0</v>
      </c>
      <c r="D153" s="1" t="n">
        <v>0</v>
      </c>
    </row>
    <row r="154">
      <c r="A154" t="inlineStr">
        <is>
          <t>cost / drug / cycle 140</t>
        </is>
      </c>
      <c r="B154" s="1" t="n">
        <v>3000</v>
      </c>
      <c r="C154" s="1" t="n">
        <v>0</v>
      </c>
      <c r="D154" s="1" t="n">
        <v>0</v>
      </c>
    </row>
    <row r="155">
      <c r="A155" t="inlineStr">
        <is>
          <t>cost / drug / cycle 141</t>
        </is>
      </c>
      <c r="B155" s="1" t="n">
        <v>3000</v>
      </c>
      <c r="C155" s="1" t="n">
        <v>0</v>
      </c>
      <c r="D155" s="1" t="n">
        <v>0</v>
      </c>
    </row>
    <row r="156">
      <c r="A156" t="inlineStr">
        <is>
          <t>cost / drug / cycle 142</t>
        </is>
      </c>
      <c r="B156" s="1" t="n">
        <v>3000</v>
      </c>
      <c r="C156" s="1" t="n">
        <v>0</v>
      </c>
      <c r="D156" s="1" t="n">
        <v>0</v>
      </c>
    </row>
    <row r="157">
      <c r="A157" t="inlineStr">
        <is>
          <t>cost / drug / cycle 143</t>
        </is>
      </c>
      <c r="B157" s="1" t="n">
        <v>3000</v>
      </c>
      <c r="C157" s="1" t="n">
        <v>0</v>
      </c>
      <c r="D157" s="1" t="n">
        <v>0</v>
      </c>
    </row>
    <row r="158">
      <c r="A158" t="inlineStr">
        <is>
          <t>cost / drug / cycle 144</t>
        </is>
      </c>
      <c r="B158" s="1" t="n">
        <v>3000</v>
      </c>
      <c r="C158" s="1" t="n">
        <v>0</v>
      </c>
      <c r="D158" s="1" t="n">
        <v>0</v>
      </c>
    </row>
    <row r="159">
      <c r="A159" t="inlineStr">
        <is>
          <t>cost / drug / cycle 145</t>
        </is>
      </c>
      <c r="B159" s="1" t="n">
        <v>3000</v>
      </c>
      <c r="C159" s="1" t="n">
        <v>0</v>
      </c>
      <c r="D159" s="1" t="n">
        <v>0</v>
      </c>
    </row>
    <row r="160">
      <c r="A160" t="inlineStr">
        <is>
          <t>cost / drug / cycle 146</t>
        </is>
      </c>
      <c r="B160" s="1" t="n">
        <v>3000</v>
      </c>
      <c r="C160" s="1" t="n">
        <v>0</v>
      </c>
      <c r="D160" s="1" t="n">
        <v>0</v>
      </c>
    </row>
    <row r="161">
      <c r="A161" t="inlineStr">
        <is>
          <t>cost / drug / cycle 147</t>
        </is>
      </c>
      <c r="B161" s="1" t="n">
        <v>3000</v>
      </c>
      <c r="C161" s="1" t="n">
        <v>0</v>
      </c>
      <c r="D161" s="1" t="n">
        <v>0</v>
      </c>
    </row>
    <row r="162">
      <c r="A162" t="inlineStr">
        <is>
          <t>cost / drug / cycle 148</t>
        </is>
      </c>
      <c r="B162" s="1" t="n">
        <v>3000</v>
      </c>
      <c r="C162" s="1" t="n">
        <v>0</v>
      </c>
      <c r="D162" s="1" t="n">
        <v>0</v>
      </c>
    </row>
    <row r="163">
      <c r="A163" t="inlineStr">
        <is>
          <t>cost / drug / cycle 149</t>
        </is>
      </c>
      <c r="B163" s="1" t="n">
        <v>3000</v>
      </c>
      <c r="C163" s="1" t="n">
        <v>0</v>
      </c>
      <c r="D163" s="1" t="n">
        <v>0</v>
      </c>
    </row>
    <row r="164">
      <c r="A164" t="inlineStr">
        <is>
          <t>cost / drug / cycle 150</t>
        </is>
      </c>
      <c r="B164" s="1" t="n">
        <v>3000</v>
      </c>
      <c r="C164" s="1" t="n">
        <v>0</v>
      </c>
      <c r="D164" s="1" t="n">
        <v>0</v>
      </c>
    </row>
    <row r="165">
      <c r="A165" t="inlineStr">
        <is>
          <t>cost / drug / cycle 151</t>
        </is>
      </c>
      <c r="B165" s="1" t="n">
        <v>3000</v>
      </c>
      <c r="C165" s="1" t="n">
        <v>0</v>
      </c>
      <c r="D165" s="1" t="n">
        <v>0</v>
      </c>
    </row>
    <row r="166">
      <c r="A166" t="inlineStr">
        <is>
          <t>cost / drug / cycle 152</t>
        </is>
      </c>
      <c r="B166" s="1" t="n">
        <v>3000</v>
      </c>
      <c r="C166" s="1" t="n">
        <v>0</v>
      </c>
      <c r="D166" s="1" t="n">
        <v>0</v>
      </c>
    </row>
    <row r="167">
      <c r="A167" t="inlineStr">
        <is>
          <t>cost / drug / cycle 153</t>
        </is>
      </c>
      <c r="B167" s="1" t="n">
        <v>3000</v>
      </c>
      <c r="C167" s="1" t="n">
        <v>0</v>
      </c>
      <c r="D167" s="1" t="n">
        <v>0</v>
      </c>
    </row>
    <row r="168">
      <c r="A168" t="inlineStr">
        <is>
          <t>cost / drug / cycle 154</t>
        </is>
      </c>
      <c r="B168" s="1" t="n">
        <v>3000</v>
      </c>
      <c r="C168" s="1" t="n">
        <v>0</v>
      </c>
      <c r="D168" s="1" t="n">
        <v>0</v>
      </c>
    </row>
    <row r="169">
      <c r="A169" t="inlineStr">
        <is>
          <t>cost / drug / cycle 155</t>
        </is>
      </c>
      <c r="B169" s="1" t="n">
        <v>3000</v>
      </c>
      <c r="C169" s="1" t="n">
        <v>0</v>
      </c>
      <c r="D169" s="1" t="n">
        <v>0</v>
      </c>
    </row>
    <row r="170">
      <c r="A170" t="inlineStr">
        <is>
          <t>cost / drug / cycle 156</t>
        </is>
      </c>
      <c r="B170" s="1" t="n">
        <v>3000</v>
      </c>
      <c r="C170" s="1" t="n">
        <v>0</v>
      </c>
      <c r="D170" s="1" t="n">
        <v>0</v>
      </c>
    </row>
    <row r="171">
      <c r="A171" t="inlineStr">
        <is>
          <t>cost / drug / cycle 157</t>
        </is>
      </c>
      <c r="B171" s="1" t="n">
        <v>3000</v>
      </c>
      <c r="C171" s="1" t="n">
        <v>0</v>
      </c>
      <c r="D171" s="1" t="n">
        <v>0</v>
      </c>
    </row>
    <row r="172">
      <c r="A172" t="inlineStr">
        <is>
          <t>cost / drug / cycle 158</t>
        </is>
      </c>
      <c r="B172" s="1" t="n">
        <v>3000</v>
      </c>
      <c r="C172" s="1" t="n">
        <v>0</v>
      </c>
      <c r="D172" s="1" t="n">
        <v>0</v>
      </c>
    </row>
    <row r="173">
      <c r="A173" t="inlineStr">
        <is>
          <t>cost / drug / cycle 159</t>
        </is>
      </c>
      <c r="B173" s="1" t="n">
        <v>3000</v>
      </c>
      <c r="C173" s="1" t="n">
        <v>0</v>
      </c>
      <c r="D173" s="1" t="n">
        <v>0</v>
      </c>
    </row>
    <row r="174">
      <c r="A174" t="inlineStr">
        <is>
          <t>cost / drug / cycle 160</t>
        </is>
      </c>
      <c r="B174" s="1" t="n">
        <v>3000</v>
      </c>
      <c r="C174" s="1" t="n">
        <v>0</v>
      </c>
      <c r="D174" s="1" t="n">
        <v>0</v>
      </c>
    </row>
    <row r="175">
      <c r="A175" t="inlineStr">
        <is>
          <t>cost / drug / cycle 161</t>
        </is>
      </c>
      <c r="B175" s="1" t="n">
        <v>3000</v>
      </c>
      <c r="C175" s="1" t="n">
        <v>0</v>
      </c>
      <c r="D175" s="1" t="n">
        <v>0</v>
      </c>
    </row>
    <row r="176">
      <c r="A176" t="inlineStr">
        <is>
          <t>cost / drug / cycle 162</t>
        </is>
      </c>
      <c r="B176" s="1" t="n">
        <v>3000</v>
      </c>
      <c r="C176" s="1" t="n">
        <v>0</v>
      </c>
      <c r="D176" s="1" t="n">
        <v>0</v>
      </c>
    </row>
    <row r="177">
      <c r="A177" t="inlineStr">
        <is>
          <t>cost / drug / cycle 163</t>
        </is>
      </c>
      <c r="B177" s="1" t="n">
        <v>3000</v>
      </c>
      <c r="C177" s="1" t="n">
        <v>0</v>
      </c>
      <c r="D177" s="1" t="n">
        <v>0</v>
      </c>
    </row>
    <row r="178">
      <c r="A178" t="inlineStr">
        <is>
          <t>cost / drug / cycle 164</t>
        </is>
      </c>
      <c r="B178" s="1" t="n">
        <v>3000</v>
      </c>
      <c r="C178" s="1" t="n">
        <v>0</v>
      </c>
      <c r="D178" s="1" t="n">
        <v>0</v>
      </c>
    </row>
    <row r="179">
      <c r="A179" t="inlineStr">
        <is>
          <t>cost / drug / cycle 165</t>
        </is>
      </c>
      <c r="B179" s="1" t="n">
        <v>3000</v>
      </c>
      <c r="C179" s="1" t="n">
        <v>0</v>
      </c>
      <c r="D179" s="1" t="n">
        <v>0</v>
      </c>
    </row>
    <row r="180">
      <c r="A180" t="inlineStr">
        <is>
          <t>cost / drug / cycle 166</t>
        </is>
      </c>
      <c r="B180" s="1" t="n">
        <v>3000</v>
      </c>
      <c r="C180" s="1" t="n">
        <v>0</v>
      </c>
      <c r="D180" s="1" t="n">
        <v>0</v>
      </c>
    </row>
    <row r="181">
      <c r="A181" t="inlineStr">
        <is>
          <t>cost / drug / cycle 167</t>
        </is>
      </c>
      <c r="B181" s="1" t="n">
        <v>3000</v>
      </c>
      <c r="C181" s="1" t="n">
        <v>0</v>
      </c>
      <c r="D181" s="1" t="n">
        <v>0</v>
      </c>
    </row>
    <row r="182">
      <c r="A182" t="inlineStr">
        <is>
          <t>cost / drug / cycle 168</t>
        </is>
      </c>
      <c r="B182" s="1" t="n">
        <v>3000</v>
      </c>
      <c r="C182" s="1" t="n">
        <v>0</v>
      </c>
      <c r="D182" s="1" t="n">
        <v>0</v>
      </c>
    </row>
    <row r="183">
      <c r="A183" t="inlineStr">
        <is>
          <t>cost / drug / cycle 169</t>
        </is>
      </c>
      <c r="B183" s="1" t="n">
        <v>3000</v>
      </c>
      <c r="C183" s="1" t="n">
        <v>0</v>
      </c>
      <c r="D183" s="1" t="n">
        <v>0</v>
      </c>
    </row>
    <row r="184">
      <c r="A184" t="inlineStr">
        <is>
          <t>cost / drug / cycle 170</t>
        </is>
      </c>
      <c r="B184" s="1" t="n">
        <v>3000</v>
      </c>
      <c r="C184" s="1" t="n">
        <v>0</v>
      </c>
      <c r="D184" s="1" t="n">
        <v>0</v>
      </c>
    </row>
    <row r="185">
      <c r="A185" t="inlineStr">
        <is>
          <t>cost / drug / cycle 171</t>
        </is>
      </c>
      <c r="B185" s="1" t="n">
        <v>3000</v>
      </c>
      <c r="C185" s="1" t="n">
        <v>0</v>
      </c>
      <c r="D185" s="1" t="n">
        <v>0</v>
      </c>
    </row>
    <row r="186">
      <c r="A186" t="inlineStr">
        <is>
          <t>cost / drug / cycle 172</t>
        </is>
      </c>
      <c r="B186" s="1" t="n">
        <v>3000</v>
      </c>
      <c r="C186" s="1" t="n">
        <v>0</v>
      </c>
      <c r="D186" s="1" t="n">
        <v>0</v>
      </c>
    </row>
    <row r="187">
      <c r="A187" t="inlineStr">
        <is>
          <t>cost / drug / cycle 173</t>
        </is>
      </c>
      <c r="B187" s="1" t="n">
        <v>3000</v>
      </c>
      <c r="C187" s="1" t="n">
        <v>0</v>
      </c>
      <c r="D187" s="1" t="n">
        <v>0</v>
      </c>
    </row>
    <row r="188">
      <c r="A188" t="inlineStr">
        <is>
          <t>cost / drug / cycle 174</t>
        </is>
      </c>
      <c r="B188" s="1" t="n">
        <v>3000</v>
      </c>
      <c r="C188" s="1" t="n">
        <v>0</v>
      </c>
      <c r="D188" s="1" t="n">
        <v>0</v>
      </c>
    </row>
    <row r="189">
      <c r="A189" t="inlineStr">
        <is>
          <t>cost / drug / cycle 175</t>
        </is>
      </c>
      <c r="B189" s="1" t="n">
        <v>3000</v>
      </c>
      <c r="C189" s="1" t="n">
        <v>0</v>
      </c>
      <c r="D189" s="1" t="n">
        <v>0</v>
      </c>
    </row>
    <row r="190">
      <c r="A190" t="inlineStr">
        <is>
          <t>cost / drug / cycle 176</t>
        </is>
      </c>
      <c r="B190" s="1" t="n">
        <v>3000</v>
      </c>
      <c r="C190" s="1" t="n">
        <v>0</v>
      </c>
      <c r="D190" s="1" t="n">
        <v>0</v>
      </c>
    </row>
    <row r="191">
      <c r="A191" t="inlineStr">
        <is>
          <t>cost / drug / cycle 177</t>
        </is>
      </c>
      <c r="B191" s="1" t="n">
        <v>3000</v>
      </c>
      <c r="C191" s="1" t="n">
        <v>0</v>
      </c>
      <c r="D191" s="1" t="n">
        <v>0</v>
      </c>
    </row>
    <row r="192">
      <c r="A192" t="inlineStr">
        <is>
          <t>cost / drug / cycle 178</t>
        </is>
      </c>
      <c r="B192" s="1" t="n">
        <v>3000</v>
      </c>
      <c r="C192" s="1" t="n">
        <v>0</v>
      </c>
      <c r="D192" s="1" t="n">
        <v>0</v>
      </c>
    </row>
    <row r="193">
      <c r="A193" t="inlineStr">
        <is>
          <t>cost / drug / cycle 179</t>
        </is>
      </c>
      <c r="B193" s="1" t="n">
        <v>3000</v>
      </c>
      <c r="C193" s="1" t="n">
        <v>0</v>
      </c>
      <c r="D193" s="1" t="n">
        <v>0</v>
      </c>
    </row>
    <row r="194">
      <c r="A194" t="inlineStr">
        <is>
          <t>cost / drug / cycle 180</t>
        </is>
      </c>
      <c r="B194" s="1" t="n">
        <v>3000</v>
      </c>
      <c r="C194" s="1" t="n">
        <v>0</v>
      </c>
      <c r="D194" s="1" t="n">
        <v>0</v>
      </c>
    </row>
    <row r="195">
      <c r="A195" t="inlineStr">
        <is>
          <t>cost / drug / cycle 181</t>
        </is>
      </c>
      <c r="B195" s="1" t="n">
        <v>3000</v>
      </c>
      <c r="C195" s="1" t="n">
        <v>0</v>
      </c>
      <c r="D195" s="1" t="n">
        <v>0</v>
      </c>
    </row>
    <row r="196">
      <c r="A196" t="inlineStr">
        <is>
          <t>cost / drug / cycle 182</t>
        </is>
      </c>
      <c r="B196" s="1" t="n">
        <v>3000</v>
      </c>
      <c r="C196" s="1" t="n">
        <v>0</v>
      </c>
      <c r="D196" s="1" t="n">
        <v>0</v>
      </c>
    </row>
    <row r="197">
      <c r="A197" t="inlineStr">
        <is>
          <t>cost / drug / cycle 183</t>
        </is>
      </c>
      <c r="B197" s="1" t="n">
        <v>3000</v>
      </c>
      <c r="C197" s="1" t="n">
        <v>0</v>
      </c>
      <c r="D197" s="1" t="n">
        <v>0</v>
      </c>
    </row>
    <row r="198">
      <c r="A198" t="inlineStr">
        <is>
          <t>cost / drug / cycle 184</t>
        </is>
      </c>
      <c r="B198" s="1" t="n">
        <v>3000</v>
      </c>
      <c r="C198" s="1" t="n">
        <v>0</v>
      </c>
      <c r="D198" s="1" t="n">
        <v>0</v>
      </c>
    </row>
    <row r="199">
      <c r="A199" t="inlineStr">
        <is>
          <t>cost / drug / cycle 185</t>
        </is>
      </c>
      <c r="B199" s="1" t="n">
        <v>3000</v>
      </c>
      <c r="C199" s="1" t="n">
        <v>0</v>
      </c>
      <c r="D199" s="1" t="n">
        <v>0</v>
      </c>
    </row>
    <row r="200">
      <c r="A200" t="inlineStr">
        <is>
          <t>cost / drug / cycle 186</t>
        </is>
      </c>
      <c r="B200" s="1" t="n">
        <v>3000</v>
      </c>
      <c r="C200" s="1" t="n">
        <v>0</v>
      </c>
      <c r="D200" s="1" t="n">
        <v>0</v>
      </c>
    </row>
    <row r="201">
      <c r="A201" t="inlineStr">
        <is>
          <t>cost / drug / cycle 187</t>
        </is>
      </c>
      <c r="B201" s="1" t="n">
        <v>3000</v>
      </c>
      <c r="C201" s="1" t="n">
        <v>0</v>
      </c>
      <c r="D201" s="1" t="n">
        <v>0</v>
      </c>
    </row>
    <row r="202">
      <c r="A202" t="inlineStr">
        <is>
          <t>cost / drug / cycle 188</t>
        </is>
      </c>
      <c r="B202" s="1" t="n">
        <v>3000</v>
      </c>
      <c r="C202" s="1" t="n">
        <v>0</v>
      </c>
      <c r="D202" s="1" t="n">
        <v>0</v>
      </c>
    </row>
    <row r="203">
      <c r="A203" t="inlineStr">
        <is>
          <t>cost / drug / cycle 189</t>
        </is>
      </c>
      <c r="B203" s="1" t="n">
        <v>3000</v>
      </c>
      <c r="C203" s="1" t="n">
        <v>0</v>
      </c>
      <c r="D203" s="1" t="n">
        <v>0</v>
      </c>
    </row>
    <row r="204">
      <c r="A204" t="inlineStr">
        <is>
          <t>cost / drug / cycle 190</t>
        </is>
      </c>
      <c r="B204" s="1" t="n">
        <v>3000</v>
      </c>
      <c r="C204" s="1" t="n">
        <v>0</v>
      </c>
      <c r="D204" s="1" t="n">
        <v>0</v>
      </c>
    </row>
    <row r="205">
      <c r="A205" t="inlineStr">
        <is>
          <t>cost / drug / cycle 191</t>
        </is>
      </c>
      <c r="B205" s="1" t="n">
        <v>3000</v>
      </c>
      <c r="C205" s="1" t="n">
        <v>0</v>
      </c>
      <c r="D205" s="1" t="n">
        <v>0</v>
      </c>
    </row>
    <row r="206">
      <c r="A206" t="inlineStr">
        <is>
          <t>cost / drug / cycle 192</t>
        </is>
      </c>
      <c r="B206" s="1" t="n">
        <v>3000</v>
      </c>
      <c r="C206" s="1" t="n">
        <v>0</v>
      </c>
      <c r="D206" s="1" t="n">
        <v>0</v>
      </c>
    </row>
    <row r="207">
      <c r="A207" t="inlineStr">
        <is>
          <t>cost / drug / cycle 193</t>
        </is>
      </c>
      <c r="B207" s="1" t="n">
        <v>3000</v>
      </c>
      <c r="C207" s="1" t="n">
        <v>0</v>
      </c>
      <c r="D207" s="1" t="n">
        <v>0</v>
      </c>
    </row>
    <row r="208">
      <c r="A208" t="inlineStr">
        <is>
          <t>cost / drug / cycle 194</t>
        </is>
      </c>
      <c r="B208" s="1" t="n">
        <v>3000</v>
      </c>
      <c r="C208" s="1" t="n">
        <v>0</v>
      </c>
      <c r="D208" s="1" t="n">
        <v>0</v>
      </c>
    </row>
    <row r="209">
      <c r="A209" t="inlineStr">
        <is>
          <t>cost / drug / cycle 195</t>
        </is>
      </c>
      <c r="B209" s="1" t="n">
        <v>3000</v>
      </c>
      <c r="C209" s="1" t="n">
        <v>0</v>
      </c>
      <c r="D209" s="1" t="n">
        <v>0</v>
      </c>
    </row>
    <row r="210">
      <c r="A210" t="inlineStr">
        <is>
          <t>cost / drug / cycle 196</t>
        </is>
      </c>
      <c r="B210" s="1" t="n">
        <v>3000</v>
      </c>
      <c r="C210" s="1" t="n">
        <v>0</v>
      </c>
      <c r="D210" s="1" t="n">
        <v>0</v>
      </c>
    </row>
    <row r="211">
      <c r="A211" t="inlineStr">
        <is>
          <t>cost / drug / cycle 197</t>
        </is>
      </c>
      <c r="B211" s="1" t="n">
        <v>3000</v>
      </c>
      <c r="C211" s="1" t="n">
        <v>0</v>
      </c>
      <c r="D211" s="1" t="n">
        <v>0</v>
      </c>
    </row>
    <row r="212">
      <c r="A212" t="inlineStr">
        <is>
          <t>cost / drug / cycle 198</t>
        </is>
      </c>
      <c r="B212" s="1" t="n">
        <v>3000</v>
      </c>
      <c r="C212" s="1" t="n">
        <v>0</v>
      </c>
      <c r="D212" s="1" t="n">
        <v>0</v>
      </c>
    </row>
    <row r="213">
      <c r="A213" t="inlineStr">
        <is>
          <t>cost / drug / cycle 199</t>
        </is>
      </c>
      <c r="B213" s="1" t="n">
        <v>3000</v>
      </c>
      <c r="C213" s="1" t="n">
        <v>0</v>
      </c>
      <c r="D213" s="1" t="n">
        <v>0</v>
      </c>
    </row>
    <row r="214">
      <c r="A214" t="inlineStr">
        <is>
          <t>cost / drug / cycle 200</t>
        </is>
      </c>
      <c r="B214" s="1" t="n">
        <v>3000</v>
      </c>
      <c r="C214" s="1" t="n">
        <v>0</v>
      </c>
      <c r="D214" s="1" t="n">
        <v>0</v>
      </c>
    </row>
    <row r="215">
      <c r="A215" t="inlineStr">
        <is>
          <t>cost / drug / cycle 201</t>
        </is>
      </c>
      <c r="B215" s="1" t="n">
        <v>3000</v>
      </c>
      <c r="C215" s="1" t="n">
        <v>0</v>
      </c>
      <c r="D215" s="1" t="n">
        <v>0</v>
      </c>
    </row>
    <row r="216">
      <c r="A216" t="inlineStr">
        <is>
          <t>cost / drug / cycle 202</t>
        </is>
      </c>
      <c r="B216" s="1" t="n">
        <v>3000</v>
      </c>
      <c r="C216" s="1" t="n">
        <v>0</v>
      </c>
      <c r="D216" s="1" t="n">
        <v>0</v>
      </c>
    </row>
    <row r="217">
      <c r="A217" t="inlineStr">
        <is>
          <t>cost / drug / cycle 203</t>
        </is>
      </c>
      <c r="B217" s="1" t="n">
        <v>3000</v>
      </c>
      <c r="C217" s="1" t="n">
        <v>0</v>
      </c>
      <c r="D217" s="1" t="n">
        <v>0</v>
      </c>
    </row>
    <row r="218">
      <c r="A218" t="inlineStr">
        <is>
          <t>cost / drug / cycle 204</t>
        </is>
      </c>
      <c r="B218" s="1" t="n">
        <v>3000</v>
      </c>
      <c r="C218" s="1" t="n">
        <v>0</v>
      </c>
      <c r="D218" s="1" t="n">
        <v>0</v>
      </c>
    </row>
    <row r="219">
      <c r="A219" t="inlineStr">
        <is>
          <t>cost / drug / cycle 205</t>
        </is>
      </c>
      <c r="B219" s="1" t="n">
        <v>3000</v>
      </c>
      <c r="C219" s="1" t="n">
        <v>0</v>
      </c>
      <c r="D219" s="1" t="n">
        <v>0</v>
      </c>
    </row>
    <row r="220">
      <c r="A220" t="inlineStr">
        <is>
          <t>cost / drug / cycle 206</t>
        </is>
      </c>
      <c r="B220" s="1" t="n">
        <v>3000</v>
      </c>
      <c r="C220" s="1" t="n">
        <v>0</v>
      </c>
      <c r="D220" s="1" t="n">
        <v>0</v>
      </c>
    </row>
    <row r="221">
      <c r="A221" t="inlineStr">
        <is>
          <t>cost / drug / cycle 207</t>
        </is>
      </c>
      <c r="B221" s="1" t="n">
        <v>3000</v>
      </c>
      <c r="C221" s="1" t="n">
        <v>0</v>
      </c>
      <c r="D221" s="1" t="n">
        <v>0</v>
      </c>
    </row>
    <row r="222">
      <c r="A222" t="inlineStr">
        <is>
          <t>cost / drug / cycle 208</t>
        </is>
      </c>
      <c r="B222" s="1" t="n">
        <v>3000</v>
      </c>
      <c r="C222" s="1" t="n">
        <v>0</v>
      </c>
      <c r="D222" s="1" t="n">
        <v>0</v>
      </c>
    </row>
    <row r="223">
      <c r="A223" t="inlineStr">
        <is>
          <t>cost / drug / cycle 209</t>
        </is>
      </c>
      <c r="B223" s="1" t="n">
        <v>3000</v>
      </c>
      <c r="C223" s="1" t="n">
        <v>0</v>
      </c>
      <c r="D223" s="1" t="n">
        <v>0</v>
      </c>
    </row>
    <row r="224">
      <c r="A224" t="inlineStr">
        <is>
          <t>cost / drug / cycle 210</t>
        </is>
      </c>
      <c r="B224" s="1" t="n">
        <v>3000</v>
      </c>
      <c r="C224" s="1" t="n">
        <v>0</v>
      </c>
      <c r="D224" s="1" t="n">
        <v>0</v>
      </c>
    </row>
    <row r="225">
      <c r="A225" t="inlineStr">
        <is>
          <t>cost / drug / cycle 211</t>
        </is>
      </c>
      <c r="B225" s="1" t="n">
        <v>3000</v>
      </c>
      <c r="C225" s="1" t="n">
        <v>0</v>
      </c>
      <c r="D225" s="1" t="n">
        <v>0</v>
      </c>
    </row>
    <row r="226">
      <c r="A226" t="inlineStr">
        <is>
          <t>cost / drug / cycle 212</t>
        </is>
      </c>
      <c r="B226" s="1" t="n">
        <v>3000</v>
      </c>
      <c r="C226" s="1" t="n">
        <v>0</v>
      </c>
      <c r="D226" s="1" t="n">
        <v>0</v>
      </c>
    </row>
    <row r="227">
      <c r="A227" t="inlineStr">
        <is>
          <t>cost / drug / cycle 213</t>
        </is>
      </c>
      <c r="B227" s="1" t="n">
        <v>3000</v>
      </c>
      <c r="C227" s="1" t="n">
        <v>0</v>
      </c>
      <c r="D227" s="1" t="n">
        <v>0</v>
      </c>
    </row>
    <row r="228">
      <c r="A228" t="inlineStr">
        <is>
          <t>cost / drug / cycle 214</t>
        </is>
      </c>
      <c r="B228" s="1" t="n">
        <v>3000</v>
      </c>
      <c r="C228" s="1" t="n">
        <v>0</v>
      </c>
      <c r="D228" s="1" t="n">
        <v>0</v>
      </c>
    </row>
    <row r="229">
      <c r="A229" t="inlineStr">
        <is>
          <t>cost / drug / cycle 215</t>
        </is>
      </c>
      <c r="B229" s="1" t="n">
        <v>3000</v>
      </c>
      <c r="C229" s="1" t="n">
        <v>0</v>
      </c>
      <c r="D229" s="1" t="n">
        <v>0</v>
      </c>
    </row>
    <row r="230">
      <c r="A230" t="inlineStr">
        <is>
          <t>cost / drug / cycle 216</t>
        </is>
      </c>
      <c r="B230" s="1" t="n">
        <v>3000</v>
      </c>
      <c r="C230" s="1" t="n">
        <v>0</v>
      </c>
      <c r="D230" s="1" t="n">
        <v>0</v>
      </c>
    </row>
    <row r="231">
      <c r="A231" t="inlineStr">
        <is>
          <t>cost / drug / cycle 217</t>
        </is>
      </c>
      <c r="B231" s="1" t="n">
        <v>3000</v>
      </c>
      <c r="C231" s="1" t="n">
        <v>0</v>
      </c>
      <c r="D231" s="1" t="n">
        <v>0</v>
      </c>
    </row>
    <row r="232">
      <c r="A232" t="inlineStr">
        <is>
          <t>cost / drug / cycle 218</t>
        </is>
      </c>
      <c r="B232" s="1" t="n">
        <v>3000</v>
      </c>
      <c r="C232" s="1" t="n">
        <v>0</v>
      </c>
      <c r="D232" s="1" t="n">
        <v>0</v>
      </c>
    </row>
    <row r="233">
      <c r="A233" t="inlineStr">
        <is>
          <t>cost / drug / cycle 219</t>
        </is>
      </c>
      <c r="B233" s="1" t="n">
        <v>3000</v>
      </c>
      <c r="C233" s="1" t="n">
        <v>0</v>
      </c>
      <c r="D233" s="1" t="n">
        <v>0</v>
      </c>
    </row>
    <row r="234">
      <c r="A234" t="inlineStr">
        <is>
          <t>cost / drug / cycle 220</t>
        </is>
      </c>
      <c r="B234" s="1" t="n">
        <v>3000</v>
      </c>
      <c r="C234" s="1" t="n">
        <v>0</v>
      </c>
      <c r="D234" s="1" t="n">
        <v>0</v>
      </c>
    </row>
    <row r="235">
      <c r="A235" t="inlineStr">
        <is>
          <t>cost / drug / cycle 221</t>
        </is>
      </c>
      <c r="B235" s="1" t="n">
        <v>3000</v>
      </c>
      <c r="C235" s="1" t="n">
        <v>0</v>
      </c>
      <c r="D235" s="1" t="n">
        <v>0</v>
      </c>
    </row>
    <row r="236">
      <c r="A236" t="inlineStr">
        <is>
          <t>cost / drug / cycle 222</t>
        </is>
      </c>
      <c r="B236" s="1" t="n">
        <v>3000</v>
      </c>
      <c r="C236" s="1" t="n">
        <v>0</v>
      </c>
      <c r="D236" s="1" t="n">
        <v>0</v>
      </c>
    </row>
    <row r="237">
      <c r="A237" t="inlineStr">
        <is>
          <t>cost / drug / cycle 223</t>
        </is>
      </c>
      <c r="B237" s="1" t="n">
        <v>3000</v>
      </c>
      <c r="C237" s="1" t="n">
        <v>0</v>
      </c>
      <c r="D237" s="1" t="n">
        <v>0</v>
      </c>
    </row>
    <row r="238">
      <c r="A238" t="inlineStr">
        <is>
          <t>cost / drug / cycle 224</t>
        </is>
      </c>
      <c r="B238" s="1" t="n">
        <v>3000</v>
      </c>
      <c r="C238" s="1" t="n">
        <v>0</v>
      </c>
      <c r="D238" s="1" t="n">
        <v>0</v>
      </c>
    </row>
    <row r="239">
      <c r="A239" t="inlineStr">
        <is>
          <t>cost / drug / cycle 225</t>
        </is>
      </c>
      <c r="B239" s="1" t="n">
        <v>3000</v>
      </c>
      <c r="C239" s="1" t="n">
        <v>0</v>
      </c>
      <c r="D239" s="1" t="n">
        <v>0</v>
      </c>
    </row>
    <row r="240">
      <c r="A240" t="inlineStr">
        <is>
          <t>cost / drug / cycle 226</t>
        </is>
      </c>
      <c r="B240" s="1" t="n">
        <v>3000</v>
      </c>
      <c r="C240" s="1" t="n">
        <v>0</v>
      </c>
      <c r="D240" s="1" t="n">
        <v>0</v>
      </c>
    </row>
    <row r="241">
      <c r="A241" t="inlineStr">
        <is>
          <t>cost / drug / cycle 227</t>
        </is>
      </c>
      <c r="B241" s="1" t="n">
        <v>3000</v>
      </c>
      <c r="C241" s="1" t="n">
        <v>0</v>
      </c>
      <c r="D241" s="1" t="n">
        <v>0</v>
      </c>
    </row>
    <row r="242">
      <c r="A242" t="inlineStr">
        <is>
          <t>cost / drug / cycle 228</t>
        </is>
      </c>
      <c r="B242" s="1" t="n">
        <v>3000</v>
      </c>
      <c r="C242" s="1" t="n">
        <v>0</v>
      </c>
      <c r="D242" s="1" t="n">
        <v>0</v>
      </c>
    </row>
    <row r="243">
      <c r="A243" t="inlineStr">
        <is>
          <t>cost / drug / cycle 229</t>
        </is>
      </c>
      <c r="B243" s="1" t="n">
        <v>3000</v>
      </c>
      <c r="C243" s="1" t="n">
        <v>0</v>
      </c>
      <c r="D243" s="1" t="n">
        <v>0</v>
      </c>
    </row>
    <row r="244">
      <c r="A244" t="inlineStr">
        <is>
          <t>cost / drug / cycle 230</t>
        </is>
      </c>
      <c r="B244" s="1" t="n">
        <v>3000</v>
      </c>
      <c r="C244" s="1" t="n">
        <v>0</v>
      </c>
      <c r="D244" s="1" t="n">
        <v>0</v>
      </c>
    </row>
    <row r="245">
      <c r="A245" t="inlineStr">
        <is>
          <t>cost / drug / cycle 231</t>
        </is>
      </c>
      <c r="B245" s="1" t="n">
        <v>3000</v>
      </c>
      <c r="C245" s="1" t="n">
        <v>0</v>
      </c>
      <c r="D245" s="1" t="n">
        <v>0</v>
      </c>
    </row>
    <row r="246">
      <c r="A246" t="inlineStr">
        <is>
          <t>cost / drug / cycle 232</t>
        </is>
      </c>
      <c r="B246" s="1" t="n">
        <v>3000</v>
      </c>
      <c r="C246" s="1" t="n">
        <v>0</v>
      </c>
      <c r="D246" s="1" t="n">
        <v>0</v>
      </c>
    </row>
    <row r="247">
      <c r="A247" t="inlineStr">
        <is>
          <t>cost / drug / cycle 233</t>
        </is>
      </c>
      <c r="B247" s="1" t="n">
        <v>3000</v>
      </c>
      <c r="C247" s="1" t="n">
        <v>0</v>
      </c>
      <c r="D247" s="1" t="n">
        <v>0</v>
      </c>
    </row>
    <row r="248">
      <c r="A248" t="inlineStr">
        <is>
          <t>cost / drug / cycle 234</t>
        </is>
      </c>
      <c r="B248" s="1" t="n">
        <v>3000</v>
      </c>
      <c r="C248" s="1" t="n">
        <v>0</v>
      </c>
      <c r="D248" s="1" t="n">
        <v>0</v>
      </c>
    </row>
    <row r="249">
      <c r="A249" t="inlineStr">
        <is>
          <t>cost / drug / cycle 235</t>
        </is>
      </c>
      <c r="B249" s="1" t="n">
        <v>3000</v>
      </c>
      <c r="C249" s="1" t="n">
        <v>0</v>
      </c>
      <c r="D249" s="1" t="n">
        <v>0</v>
      </c>
    </row>
    <row r="250">
      <c r="A250" t="inlineStr">
        <is>
          <t>cost / drug / cycle 236</t>
        </is>
      </c>
      <c r="B250" s="1" t="n">
        <v>3000</v>
      </c>
      <c r="C250" s="1" t="n">
        <v>0</v>
      </c>
      <c r="D250" s="1" t="n">
        <v>0</v>
      </c>
    </row>
    <row r="251">
      <c r="A251" t="inlineStr">
        <is>
          <t>cost / drug / cycle 237</t>
        </is>
      </c>
      <c r="B251" s="1" t="n">
        <v>3000</v>
      </c>
      <c r="C251" s="1" t="n">
        <v>0</v>
      </c>
      <c r="D251" s="1" t="n">
        <v>0</v>
      </c>
    </row>
    <row r="252">
      <c r="A252" t="inlineStr">
        <is>
          <t>cost / drug / cycle 238</t>
        </is>
      </c>
      <c r="B252" s="1" t="n">
        <v>3000</v>
      </c>
      <c r="C252" s="1" t="n">
        <v>0</v>
      </c>
      <c r="D252" s="1" t="n">
        <v>0</v>
      </c>
    </row>
    <row r="253">
      <c r="A253" t="inlineStr">
        <is>
          <t>cost / drug / cycle 239</t>
        </is>
      </c>
      <c r="B253" s="1" t="n">
        <v>3000</v>
      </c>
      <c r="C253" s="1" t="n">
        <v>0</v>
      </c>
      <c r="D253" s="1" t="n">
        <v>0</v>
      </c>
    </row>
    <row r="254">
      <c r="A254" t="inlineStr">
        <is>
          <t>cost / drug / cycle 240</t>
        </is>
      </c>
      <c r="B254" s="1" t="n">
        <v>3000</v>
      </c>
      <c r="C254" s="1" t="n">
        <v>0</v>
      </c>
      <c r="D254" s="1" t="n">
        <v>0</v>
      </c>
    </row>
    <row r="255">
      <c r="A255" t="inlineStr">
        <is>
          <t>cost / prog_care / cycle 1</t>
        </is>
      </c>
      <c r="B255" s="1" t="n">
        <v>0</v>
      </c>
      <c r="C255" s="1" t="n">
        <v>5000</v>
      </c>
      <c r="D255" s="1" t="n">
        <v>0</v>
      </c>
    </row>
    <row r="256">
      <c r="A256" t="inlineStr">
        <is>
          <t>cost / prog_care / cycle 2</t>
        </is>
      </c>
      <c r="B256" s="1" t="n">
        <v>0</v>
      </c>
      <c r="C256" s="1" t="n">
        <v>5000</v>
      </c>
      <c r="D256" s="1" t="n">
        <v>0</v>
      </c>
    </row>
    <row r="257">
      <c r="A257" t="inlineStr">
        <is>
          <t>cost / prog_care / cycle 3</t>
        </is>
      </c>
      <c r="B257" s="1" t="n">
        <v>0</v>
      </c>
      <c r="C257" s="1" t="n">
        <v>5000</v>
      </c>
      <c r="D257" s="1" t="n">
        <v>0</v>
      </c>
    </row>
    <row r="258">
      <c r="A258" t="inlineStr">
        <is>
          <t>cost / prog_care / cycle 4</t>
        </is>
      </c>
      <c r="B258" s="1" t="n">
        <v>0</v>
      </c>
      <c r="C258" s="1" t="n">
        <v>5000</v>
      </c>
      <c r="D258" s="1" t="n">
        <v>0</v>
      </c>
    </row>
    <row r="259">
      <c r="A259" t="inlineStr">
        <is>
          <t>cost / prog_care / cycle 5</t>
        </is>
      </c>
      <c r="B259" s="1" t="n">
        <v>0</v>
      </c>
      <c r="C259" s="1" t="n">
        <v>5000</v>
      </c>
      <c r="D259" s="1" t="n">
        <v>0</v>
      </c>
    </row>
    <row r="260">
      <c r="A260" t="inlineStr">
        <is>
          <t>cost / prog_care / cycle 6</t>
        </is>
      </c>
      <c r="B260" s="1" t="n">
        <v>0</v>
      </c>
      <c r="C260" s="1" t="n">
        <v>5000</v>
      </c>
      <c r="D260" s="1" t="n">
        <v>0</v>
      </c>
    </row>
    <row r="261">
      <c r="A261" t="inlineStr">
        <is>
          <t>cost / prog_care / cycle 7</t>
        </is>
      </c>
      <c r="B261" s="1" t="n">
        <v>0</v>
      </c>
      <c r="C261" s="1" t="n">
        <v>5000</v>
      </c>
      <c r="D261" s="1" t="n">
        <v>0</v>
      </c>
    </row>
    <row r="262">
      <c r="A262" t="inlineStr">
        <is>
          <t>cost / prog_care / cycle 8</t>
        </is>
      </c>
      <c r="B262" s="1" t="n">
        <v>0</v>
      </c>
      <c r="C262" s="1" t="n">
        <v>5000</v>
      </c>
      <c r="D262" s="1" t="n">
        <v>0</v>
      </c>
    </row>
    <row r="263">
      <c r="A263" t="inlineStr">
        <is>
          <t>cost / prog_care / cycle 9</t>
        </is>
      </c>
      <c r="B263" s="1" t="n">
        <v>0</v>
      </c>
      <c r="C263" s="1" t="n">
        <v>5000</v>
      </c>
      <c r="D263" s="1" t="n">
        <v>0</v>
      </c>
    </row>
    <row r="264">
      <c r="A264" t="inlineStr">
        <is>
          <t>cost / prog_care / cycle 10</t>
        </is>
      </c>
      <c r="B264" s="1" t="n">
        <v>0</v>
      </c>
      <c r="C264" s="1" t="n">
        <v>5000</v>
      </c>
      <c r="D264" s="1" t="n">
        <v>0</v>
      </c>
    </row>
    <row r="265">
      <c r="A265" t="inlineStr">
        <is>
          <t>cost / prog_care / cycle 11</t>
        </is>
      </c>
      <c r="B265" s="1" t="n">
        <v>0</v>
      </c>
      <c r="C265" s="1" t="n">
        <v>5000</v>
      </c>
      <c r="D265" s="1" t="n">
        <v>0</v>
      </c>
    </row>
    <row r="266">
      <c r="A266" t="inlineStr">
        <is>
          <t>cost / prog_care / cycle 12</t>
        </is>
      </c>
      <c r="B266" s="1" t="n">
        <v>0</v>
      </c>
      <c r="C266" s="1" t="n">
        <v>5000</v>
      </c>
      <c r="D266" s="1" t="n">
        <v>0</v>
      </c>
    </row>
    <row r="267">
      <c r="A267" t="inlineStr">
        <is>
          <t>cost / prog_care / cycle 13</t>
        </is>
      </c>
      <c r="B267" s="1" t="n">
        <v>0</v>
      </c>
      <c r="C267" s="1" t="n">
        <v>5000</v>
      </c>
      <c r="D267" s="1" t="n">
        <v>0</v>
      </c>
    </row>
    <row r="268">
      <c r="A268" t="inlineStr">
        <is>
          <t>cost / prog_care / cycle 14</t>
        </is>
      </c>
      <c r="B268" s="1" t="n">
        <v>0</v>
      </c>
      <c r="C268" s="1" t="n">
        <v>5000</v>
      </c>
      <c r="D268" s="1" t="n">
        <v>0</v>
      </c>
    </row>
    <row r="269">
      <c r="A269" t="inlineStr">
        <is>
          <t>cost / prog_care / cycle 15</t>
        </is>
      </c>
      <c r="B269" s="1" t="n">
        <v>0</v>
      </c>
      <c r="C269" s="1" t="n">
        <v>5000</v>
      </c>
      <c r="D269" s="1" t="n">
        <v>0</v>
      </c>
    </row>
    <row r="270">
      <c r="A270" t="inlineStr">
        <is>
          <t>cost / prog_care / cycle 16</t>
        </is>
      </c>
      <c r="B270" s="1" t="n">
        <v>0</v>
      </c>
      <c r="C270" s="1" t="n">
        <v>5000</v>
      </c>
      <c r="D270" s="1" t="n">
        <v>0</v>
      </c>
    </row>
    <row r="271">
      <c r="A271" t="inlineStr">
        <is>
          <t>cost / prog_care / cycle 17</t>
        </is>
      </c>
      <c r="B271" s="1" t="n">
        <v>0</v>
      </c>
      <c r="C271" s="1" t="n">
        <v>5000</v>
      </c>
      <c r="D271" s="1" t="n">
        <v>0</v>
      </c>
    </row>
    <row r="272">
      <c r="A272" t="inlineStr">
        <is>
          <t>cost / prog_care / cycle 18</t>
        </is>
      </c>
      <c r="B272" s="1" t="n">
        <v>0</v>
      </c>
      <c r="C272" s="1" t="n">
        <v>5000</v>
      </c>
      <c r="D272" s="1" t="n">
        <v>0</v>
      </c>
    </row>
    <row r="273">
      <c r="A273" t="inlineStr">
        <is>
          <t>cost / prog_care / cycle 19</t>
        </is>
      </c>
      <c r="B273" s="1" t="n">
        <v>0</v>
      </c>
      <c r="C273" s="1" t="n">
        <v>5000</v>
      </c>
      <c r="D273" s="1" t="n">
        <v>0</v>
      </c>
    </row>
    <row r="274">
      <c r="A274" t="inlineStr">
        <is>
          <t>cost / prog_care / cycle 20</t>
        </is>
      </c>
      <c r="B274" s="1" t="n">
        <v>0</v>
      </c>
      <c r="C274" s="1" t="n">
        <v>5000</v>
      </c>
      <c r="D274" s="1" t="n">
        <v>0</v>
      </c>
    </row>
    <row r="275">
      <c r="A275" t="inlineStr">
        <is>
          <t>cost / prog_care / cycle 21</t>
        </is>
      </c>
      <c r="B275" s="1" t="n">
        <v>0</v>
      </c>
      <c r="C275" s="1" t="n">
        <v>5000</v>
      </c>
      <c r="D275" s="1" t="n">
        <v>0</v>
      </c>
    </row>
    <row r="276">
      <c r="A276" t="inlineStr">
        <is>
          <t>cost / prog_care / cycle 22</t>
        </is>
      </c>
      <c r="B276" s="1" t="n">
        <v>0</v>
      </c>
      <c r="C276" s="1" t="n">
        <v>5000</v>
      </c>
      <c r="D276" s="1" t="n">
        <v>0</v>
      </c>
    </row>
    <row r="277">
      <c r="A277" t="inlineStr">
        <is>
          <t>cost / prog_care / cycle 23</t>
        </is>
      </c>
      <c r="B277" s="1" t="n">
        <v>0</v>
      </c>
      <c r="C277" s="1" t="n">
        <v>5000</v>
      </c>
      <c r="D277" s="1" t="n">
        <v>0</v>
      </c>
    </row>
    <row r="278">
      <c r="A278" t="inlineStr">
        <is>
          <t>cost / prog_care / cycle 24</t>
        </is>
      </c>
      <c r="B278" s="1" t="n">
        <v>0</v>
      </c>
      <c r="C278" s="1" t="n">
        <v>5000</v>
      </c>
      <c r="D278" s="1" t="n">
        <v>0</v>
      </c>
    </row>
    <row r="279">
      <c r="A279" t="inlineStr">
        <is>
          <t>cost / prog_care / cycle 25</t>
        </is>
      </c>
      <c r="B279" s="1" t="n">
        <v>0</v>
      </c>
      <c r="C279" s="1" t="n">
        <v>5000</v>
      </c>
      <c r="D279" s="1" t="n">
        <v>0</v>
      </c>
    </row>
    <row r="280">
      <c r="A280" t="inlineStr">
        <is>
          <t>cost / prog_care / cycle 26</t>
        </is>
      </c>
      <c r="B280" s="1" t="n">
        <v>0</v>
      </c>
      <c r="C280" s="1" t="n">
        <v>5000</v>
      </c>
      <c r="D280" s="1" t="n">
        <v>0</v>
      </c>
    </row>
    <row r="281">
      <c r="A281" t="inlineStr">
        <is>
          <t>cost / prog_care / cycle 27</t>
        </is>
      </c>
      <c r="B281" s="1" t="n">
        <v>0</v>
      </c>
      <c r="C281" s="1" t="n">
        <v>5000</v>
      </c>
      <c r="D281" s="1" t="n">
        <v>0</v>
      </c>
    </row>
    <row r="282">
      <c r="A282" t="inlineStr">
        <is>
          <t>cost / prog_care / cycle 28</t>
        </is>
      </c>
      <c r="B282" s="1" t="n">
        <v>0</v>
      </c>
      <c r="C282" s="1" t="n">
        <v>5000</v>
      </c>
      <c r="D282" s="1" t="n">
        <v>0</v>
      </c>
    </row>
    <row r="283">
      <c r="A283" t="inlineStr">
        <is>
          <t>cost / prog_care / cycle 29</t>
        </is>
      </c>
      <c r="B283" s="1" t="n">
        <v>0</v>
      </c>
      <c r="C283" s="1" t="n">
        <v>5000</v>
      </c>
      <c r="D283" s="1" t="n">
        <v>0</v>
      </c>
    </row>
    <row r="284">
      <c r="A284" t="inlineStr">
        <is>
          <t>cost / prog_care / cycle 30</t>
        </is>
      </c>
      <c r="B284" s="1" t="n">
        <v>0</v>
      </c>
      <c r="C284" s="1" t="n">
        <v>5000</v>
      </c>
      <c r="D284" s="1" t="n">
        <v>0</v>
      </c>
    </row>
    <row r="285">
      <c r="A285" t="inlineStr">
        <is>
          <t>cost / prog_care / cycle 31</t>
        </is>
      </c>
      <c r="B285" s="1" t="n">
        <v>0</v>
      </c>
      <c r="C285" s="1" t="n">
        <v>5000</v>
      </c>
      <c r="D285" s="1" t="n">
        <v>0</v>
      </c>
    </row>
    <row r="286">
      <c r="A286" t="inlineStr">
        <is>
          <t>cost / prog_care / cycle 32</t>
        </is>
      </c>
      <c r="B286" s="1" t="n">
        <v>0</v>
      </c>
      <c r="C286" s="1" t="n">
        <v>5000</v>
      </c>
      <c r="D286" s="1" t="n">
        <v>0</v>
      </c>
    </row>
    <row r="287">
      <c r="A287" t="inlineStr">
        <is>
          <t>cost / prog_care / cycle 33</t>
        </is>
      </c>
      <c r="B287" s="1" t="n">
        <v>0</v>
      </c>
      <c r="C287" s="1" t="n">
        <v>5000</v>
      </c>
      <c r="D287" s="1" t="n">
        <v>0</v>
      </c>
    </row>
    <row r="288">
      <c r="A288" t="inlineStr">
        <is>
          <t>cost / prog_care / cycle 34</t>
        </is>
      </c>
      <c r="B288" s="1" t="n">
        <v>0</v>
      </c>
      <c r="C288" s="1" t="n">
        <v>5000</v>
      </c>
      <c r="D288" s="1" t="n">
        <v>0</v>
      </c>
    </row>
    <row r="289">
      <c r="A289" t="inlineStr">
        <is>
          <t>cost / prog_care / cycle 35</t>
        </is>
      </c>
      <c r="B289" s="1" t="n">
        <v>0</v>
      </c>
      <c r="C289" s="1" t="n">
        <v>5000</v>
      </c>
      <c r="D289" s="1" t="n">
        <v>0</v>
      </c>
    </row>
    <row r="290">
      <c r="A290" t="inlineStr">
        <is>
          <t>cost / prog_care / cycle 36</t>
        </is>
      </c>
      <c r="B290" s="1" t="n">
        <v>0</v>
      </c>
      <c r="C290" s="1" t="n">
        <v>5000</v>
      </c>
      <c r="D290" s="1" t="n">
        <v>0</v>
      </c>
    </row>
    <row r="291">
      <c r="A291" t="inlineStr">
        <is>
          <t>cost / prog_care / cycle 37</t>
        </is>
      </c>
      <c r="B291" s="1" t="n">
        <v>0</v>
      </c>
      <c r="C291" s="1" t="n">
        <v>5000</v>
      </c>
      <c r="D291" s="1" t="n">
        <v>0</v>
      </c>
    </row>
    <row r="292">
      <c r="A292" t="inlineStr">
        <is>
          <t>cost / prog_care / cycle 38</t>
        </is>
      </c>
      <c r="B292" s="1" t="n">
        <v>0</v>
      </c>
      <c r="C292" s="1" t="n">
        <v>5000</v>
      </c>
      <c r="D292" s="1" t="n">
        <v>0</v>
      </c>
    </row>
    <row r="293">
      <c r="A293" t="inlineStr">
        <is>
          <t>cost / prog_care / cycle 39</t>
        </is>
      </c>
      <c r="B293" s="1" t="n">
        <v>0</v>
      </c>
      <c r="C293" s="1" t="n">
        <v>5000</v>
      </c>
      <c r="D293" s="1" t="n">
        <v>0</v>
      </c>
    </row>
    <row r="294">
      <c r="A294" t="inlineStr">
        <is>
          <t>cost / prog_care / cycle 40</t>
        </is>
      </c>
      <c r="B294" s="1" t="n">
        <v>0</v>
      </c>
      <c r="C294" s="1" t="n">
        <v>5000</v>
      </c>
      <c r="D294" s="1" t="n">
        <v>0</v>
      </c>
    </row>
    <row r="295">
      <c r="A295" t="inlineStr">
        <is>
          <t>cost / prog_care / cycle 41</t>
        </is>
      </c>
      <c r="B295" s="1" t="n">
        <v>0</v>
      </c>
      <c r="C295" s="1" t="n">
        <v>5000</v>
      </c>
      <c r="D295" s="1" t="n">
        <v>0</v>
      </c>
    </row>
    <row r="296">
      <c r="A296" t="inlineStr">
        <is>
          <t>cost / prog_care / cycle 42</t>
        </is>
      </c>
      <c r="B296" s="1" t="n">
        <v>0</v>
      </c>
      <c r="C296" s="1" t="n">
        <v>5000</v>
      </c>
      <c r="D296" s="1" t="n">
        <v>0</v>
      </c>
    </row>
    <row r="297">
      <c r="A297" t="inlineStr">
        <is>
          <t>cost / prog_care / cycle 43</t>
        </is>
      </c>
      <c r="B297" s="1" t="n">
        <v>0</v>
      </c>
      <c r="C297" s="1" t="n">
        <v>5000</v>
      </c>
      <c r="D297" s="1" t="n">
        <v>0</v>
      </c>
    </row>
    <row r="298">
      <c r="A298" t="inlineStr">
        <is>
          <t>cost / prog_care / cycle 44</t>
        </is>
      </c>
      <c r="B298" s="1" t="n">
        <v>0</v>
      </c>
      <c r="C298" s="1" t="n">
        <v>5000</v>
      </c>
      <c r="D298" s="1" t="n">
        <v>0</v>
      </c>
    </row>
    <row r="299">
      <c r="A299" t="inlineStr">
        <is>
          <t>cost / prog_care / cycle 45</t>
        </is>
      </c>
      <c r="B299" s="1" t="n">
        <v>0</v>
      </c>
      <c r="C299" s="1" t="n">
        <v>5000</v>
      </c>
      <c r="D299" s="1" t="n">
        <v>0</v>
      </c>
    </row>
    <row r="300">
      <c r="A300" t="inlineStr">
        <is>
          <t>cost / prog_care / cycle 46</t>
        </is>
      </c>
      <c r="B300" s="1" t="n">
        <v>0</v>
      </c>
      <c r="C300" s="1" t="n">
        <v>5000</v>
      </c>
      <c r="D300" s="1" t="n">
        <v>0</v>
      </c>
    </row>
    <row r="301">
      <c r="A301" t="inlineStr">
        <is>
          <t>cost / prog_care / cycle 47</t>
        </is>
      </c>
      <c r="B301" s="1" t="n">
        <v>0</v>
      </c>
      <c r="C301" s="1" t="n">
        <v>5000</v>
      </c>
      <c r="D301" s="1" t="n">
        <v>0</v>
      </c>
    </row>
    <row r="302">
      <c r="A302" t="inlineStr">
        <is>
          <t>cost / prog_care / cycle 48</t>
        </is>
      </c>
      <c r="B302" s="1" t="n">
        <v>0</v>
      </c>
      <c r="C302" s="1" t="n">
        <v>5000</v>
      </c>
      <c r="D302" s="1" t="n">
        <v>0</v>
      </c>
    </row>
    <row r="303">
      <c r="A303" t="inlineStr">
        <is>
          <t>cost / prog_care / cycle 49</t>
        </is>
      </c>
      <c r="B303" s="1" t="n">
        <v>0</v>
      </c>
      <c r="C303" s="1" t="n">
        <v>5000</v>
      </c>
      <c r="D303" s="1" t="n">
        <v>0</v>
      </c>
    </row>
    <row r="304">
      <c r="A304" t="inlineStr">
        <is>
          <t>cost / prog_care / cycle 50</t>
        </is>
      </c>
      <c r="B304" s="1" t="n">
        <v>0</v>
      </c>
      <c r="C304" s="1" t="n">
        <v>5000</v>
      </c>
      <c r="D304" s="1" t="n">
        <v>0</v>
      </c>
    </row>
    <row r="305">
      <c r="A305" t="inlineStr">
        <is>
          <t>cost / prog_care / cycle 51</t>
        </is>
      </c>
      <c r="B305" s="1" t="n">
        <v>0</v>
      </c>
      <c r="C305" s="1" t="n">
        <v>5000</v>
      </c>
      <c r="D305" s="1" t="n">
        <v>0</v>
      </c>
    </row>
    <row r="306">
      <c r="A306" t="inlineStr">
        <is>
          <t>cost / prog_care / cycle 52</t>
        </is>
      </c>
      <c r="B306" s="1" t="n">
        <v>0</v>
      </c>
      <c r="C306" s="1" t="n">
        <v>5000</v>
      </c>
      <c r="D306" s="1" t="n">
        <v>0</v>
      </c>
    </row>
    <row r="307">
      <c r="A307" t="inlineStr">
        <is>
          <t>cost / prog_care / cycle 53</t>
        </is>
      </c>
      <c r="B307" s="1" t="n">
        <v>0</v>
      </c>
      <c r="C307" s="1" t="n">
        <v>5000</v>
      </c>
      <c r="D307" s="1" t="n">
        <v>0</v>
      </c>
    </row>
    <row r="308">
      <c r="A308" t="inlineStr">
        <is>
          <t>cost / prog_care / cycle 54</t>
        </is>
      </c>
      <c r="B308" s="1" t="n">
        <v>0</v>
      </c>
      <c r="C308" s="1" t="n">
        <v>5000</v>
      </c>
      <c r="D308" s="1" t="n">
        <v>0</v>
      </c>
    </row>
    <row r="309">
      <c r="A309" t="inlineStr">
        <is>
          <t>cost / prog_care / cycle 55</t>
        </is>
      </c>
      <c r="B309" s="1" t="n">
        <v>0</v>
      </c>
      <c r="C309" s="1" t="n">
        <v>5000</v>
      </c>
      <c r="D309" s="1" t="n">
        <v>0</v>
      </c>
    </row>
    <row r="310">
      <c r="A310" t="inlineStr">
        <is>
          <t>cost / prog_care / cycle 56</t>
        </is>
      </c>
      <c r="B310" s="1" t="n">
        <v>0</v>
      </c>
      <c r="C310" s="1" t="n">
        <v>5000</v>
      </c>
      <c r="D310" s="1" t="n">
        <v>0</v>
      </c>
    </row>
    <row r="311">
      <c r="A311" t="inlineStr">
        <is>
          <t>cost / prog_care / cycle 57</t>
        </is>
      </c>
      <c r="B311" s="1" t="n">
        <v>0</v>
      </c>
      <c r="C311" s="1" t="n">
        <v>5000</v>
      </c>
      <c r="D311" s="1" t="n">
        <v>0</v>
      </c>
    </row>
    <row r="312">
      <c r="A312" t="inlineStr">
        <is>
          <t>cost / prog_care / cycle 58</t>
        </is>
      </c>
      <c r="B312" s="1" t="n">
        <v>0</v>
      </c>
      <c r="C312" s="1" t="n">
        <v>5000</v>
      </c>
      <c r="D312" s="1" t="n">
        <v>0</v>
      </c>
    </row>
    <row r="313">
      <c r="A313" t="inlineStr">
        <is>
          <t>cost / prog_care / cycle 59</t>
        </is>
      </c>
      <c r="B313" s="1" t="n">
        <v>0</v>
      </c>
      <c r="C313" s="1" t="n">
        <v>5000</v>
      </c>
      <c r="D313" s="1" t="n">
        <v>0</v>
      </c>
    </row>
    <row r="314">
      <c r="A314" t="inlineStr">
        <is>
          <t>cost / prog_care / cycle 60</t>
        </is>
      </c>
      <c r="B314" s="1" t="n">
        <v>0</v>
      </c>
      <c r="C314" s="1" t="n">
        <v>5000</v>
      </c>
      <c r="D314" s="1" t="n">
        <v>0</v>
      </c>
    </row>
    <row r="315">
      <c r="A315" t="inlineStr">
        <is>
          <t>cost / prog_care / cycle 61</t>
        </is>
      </c>
      <c r="B315" s="1" t="n">
        <v>0</v>
      </c>
      <c r="C315" s="1" t="n">
        <v>5000</v>
      </c>
      <c r="D315" s="1" t="n">
        <v>0</v>
      </c>
    </row>
    <row r="316">
      <c r="A316" t="inlineStr">
        <is>
          <t>cost / prog_care / cycle 62</t>
        </is>
      </c>
      <c r="B316" s="1" t="n">
        <v>0</v>
      </c>
      <c r="C316" s="1" t="n">
        <v>5000</v>
      </c>
      <c r="D316" s="1" t="n">
        <v>0</v>
      </c>
    </row>
    <row r="317">
      <c r="A317" t="inlineStr">
        <is>
          <t>cost / prog_care / cycle 63</t>
        </is>
      </c>
      <c r="B317" s="1" t="n">
        <v>0</v>
      </c>
      <c r="C317" s="1" t="n">
        <v>5000</v>
      </c>
      <c r="D317" s="1" t="n">
        <v>0</v>
      </c>
    </row>
    <row r="318">
      <c r="A318" t="inlineStr">
        <is>
          <t>cost / prog_care / cycle 64</t>
        </is>
      </c>
      <c r="B318" s="1" t="n">
        <v>0</v>
      </c>
      <c r="C318" s="1" t="n">
        <v>5000</v>
      </c>
      <c r="D318" s="1" t="n">
        <v>0</v>
      </c>
    </row>
    <row r="319">
      <c r="A319" t="inlineStr">
        <is>
          <t>cost / prog_care / cycle 65</t>
        </is>
      </c>
      <c r="B319" s="1" t="n">
        <v>0</v>
      </c>
      <c r="C319" s="1" t="n">
        <v>5000</v>
      </c>
      <c r="D319" s="1" t="n">
        <v>0</v>
      </c>
    </row>
    <row r="320">
      <c r="A320" t="inlineStr">
        <is>
          <t>cost / prog_care / cycle 66</t>
        </is>
      </c>
      <c r="B320" s="1" t="n">
        <v>0</v>
      </c>
      <c r="C320" s="1" t="n">
        <v>5000</v>
      </c>
      <c r="D320" s="1" t="n">
        <v>0</v>
      </c>
    </row>
    <row r="321">
      <c r="A321" t="inlineStr">
        <is>
          <t>cost / prog_care / cycle 67</t>
        </is>
      </c>
      <c r="B321" s="1" t="n">
        <v>0</v>
      </c>
      <c r="C321" s="1" t="n">
        <v>5000</v>
      </c>
      <c r="D321" s="1" t="n">
        <v>0</v>
      </c>
    </row>
    <row r="322">
      <c r="A322" t="inlineStr">
        <is>
          <t>cost / prog_care / cycle 68</t>
        </is>
      </c>
      <c r="B322" s="1" t="n">
        <v>0</v>
      </c>
      <c r="C322" s="1" t="n">
        <v>5000</v>
      </c>
      <c r="D322" s="1" t="n">
        <v>0</v>
      </c>
    </row>
    <row r="323">
      <c r="A323" t="inlineStr">
        <is>
          <t>cost / prog_care / cycle 69</t>
        </is>
      </c>
      <c r="B323" s="1" t="n">
        <v>0</v>
      </c>
      <c r="C323" s="1" t="n">
        <v>5000</v>
      </c>
      <c r="D323" s="1" t="n">
        <v>0</v>
      </c>
    </row>
    <row r="324">
      <c r="A324" t="inlineStr">
        <is>
          <t>cost / prog_care / cycle 70</t>
        </is>
      </c>
      <c r="B324" s="1" t="n">
        <v>0</v>
      </c>
      <c r="C324" s="1" t="n">
        <v>5000</v>
      </c>
      <c r="D324" s="1" t="n">
        <v>0</v>
      </c>
    </row>
    <row r="325">
      <c r="A325" t="inlineStr">
        <is>
          <t>cost / prog_care / cycle 71</t>
        </is>
      </c>
      <c r="B325" s="1" t="n">
        <v>0</v>
      </c>
      <c r="C325" s="1" t="n">
        <v>5000</v>
      </c>
      <c r="D325" s="1" t="n">
        <v>0</v>
      </c>
    </row>
    <row r="326">
      <c r="A326" t="inlineStr">
        <is>
          <t>cost / prog_care / cycle 72</t>
        </is>
      </c>
      <c r="B326" s="1" t="n">
        <v>0</v>
      </c>
      <c r="C326" s="1" t="n">
        <v>5000</v>
      </c>
      <c r="D326" s="1" t="n">
        <v>0</v>
      </c>
    </row>
    <row r="327">
      <c r="A327" t="inlineStr">
        <is>
          <t>cost / prog_care / cycle 73</t>
        </is>
      </c>
      <c r="B327" s="1" t="n">
        <v>0</v>
      </c>
      <c r="C327" s="1" t="n">
        <v>5000</v>
      </c>
      <c r="D327" s="1" t="n">
        <v>0</v>
      </c>
    </row>
    <row r="328">
      <c r="A328" t="inlineStr">
        <is>
          <t>cost / prog_care / cycle 74</t>
        </is>
      </c>
      <c r="B328" s="1" t="n">
        <v>0</v>
      </c>
      <c r="C328" s="1" t="n">
        <v>5000</v>
      </c>
      <c r="D328" s="1" t="n">
        <v>0</v>
      </c>
    </row>
    <row r="329">
      <c r="A329" t="inlineStr">
        <is>
          <t>cost / prog_care / cycle 75</t>
        </is>
      </c>
      <c r="B329" s="1" t="n">
        <v>0</v>
      </c>
      <c r="C329" s="1" t="n">
        <v>5000</v>
      </c>
      <c r="D329" s="1" t="n">
        <v>0</v>
      </c>
    </row>
    <row r="330">
      <c r="A330" t="inlineStr">
        <is>
          <t>cost / prog_care / cycle 76</t>
        </is>
      </c>
      <c r="B330" s="1" t="n">
        <v>0</v>
      </c>
      <c r="C330" s="1" t="n">
        <v>5000</v>
      </c>
      <c r="D330" s="1" t="n">
        <v>0</v>
      </c>
    </row>
    <row r="331">
      <c r="A331" t="inlineStr">
        <is>
          <t>cost / prog_care / cycle 77</t>
        </is>
      </c>
      <c r="B331" s="1" t="n">
        <v>0</v>
      </c>
      <c r="C331" s="1" t="n">
        <v>5000</v>
      </c>
      <c r="D331" s="1" t="n">
        <v>0</v>
      </c>
    </row>
    <row r="332">
      <c r="A332" t="inlineStr">
        <is>
          <t>cost / prog_care / cycle 78</t>
        </is>
      </c>
      <c r="B332" s="1" t="n">
        <v>0</v>
      </c>
      <c r="C332" s="1" t="n">
        <v>5000</v>
      </c>
      <c r="D332" s="1" t="n">
        <v>0</v>
      </c>
    </row>
    <row r="333">
      <c r="A333" t="inlineStr">
        <is>
          <t>cost / prog_care / cycle 79</t>
        </is>
      </c>
      <c r="B333" s="1" t="n">
        <v>0</v>
      </c>
      <c r="C333" s="1" t="n">
        <v>5000</v>
      </c>
      <c r="D333" s="1" t="n">
        <v>0</v>
      </c>
    </row>
    <row r="334">
      <c r="A334" t="inlineStr">
        <is>
          <t>cost / prog_care / cycle 80</t>
        </is>
      </c>
      <c r="B334" s="1" t="n">
        <v>0</v>
      </c>
      <c r="C334" s="1" t="n">
        <v>5000</v>
      </c>
      <c r="D334" s="1" t="n">
        <v>0</v>
      </c>
    </row>
    <row r="335">
      <c r="A335" t="inlineStr">
        <is>
          <t>cost / prog_care / cycle 81</t>
        </is>
      </c>
      <c r="B335" s="1" t="n">
        <v>0</v>
      </c>
      <c r="C335" s="1" t="n">
        <v>5000</v>
      </c>
      <c r="D335" s="1" t="n">
        <v>0</v>
      </c>
    </row>
    <row r="336">
      <c r="A336" t="inlineStr">
        <is>
          <t>cost / prog_care / cycle 82</t>
        </is>
      </c>
      <c r="B336" s="1" t="n">
        <v>0</v>
      </c>
      <c r="C336" s="1" t="n">
        <v>5000</v>
      </c>
      <c r="D336" s="1" t="n">
        <v>0</v>
      </c>
    </row>
    <row r="337">
      <c r="A337" t="inlineStr">
        <is>
          <t>cost / prog_care / cycle 83</t>
        </is>
      </c>
      <c r="B337" s="1" t="n">
        <v>0</v>
      </c>
      <c r="C337" s="1" t="n">
        <v>5000</v>
      </c>
      <c r="D337" s="1" t="n">
        <v>0</v>
      </c>
    </row>
    <row r="338">
      <c r="A338" t="inlineStr">
        <is>
          <t>cost / prog_care / cycle 84</t>
        </is>
      </c>
      <c r="B338" s="1" t="n">
        <v>0</v>
      </c>
      <c r="C338" s="1" t="n">
        <v>5000</v>
      </c>
      <c r="D338" s="1" t="n">
        <v>0</v>
      </c>
    </row>
    <row r="339">
      <c r="A339" t="inlineStr">
        <is>
          <t>cost / prog_care / cycle 85</t>
        </is>
      </c>
      <c r="B339" s="1" t="n">
        <v>0</v>
      </c>
      <c r="C339" s="1" t="n">
        <v>5000</v>
      </c>
      <c r="D339" s="1" t="n">
        <v>0</v>
      </c>
    </row>
    <row r="340">
      <c r="A340" t="inlineStr">
        <is>
          <t>cost / prog_care / cycle 86</t>
        </is>
      </c>
      <c r="B340" s="1" t="n">
        <v>0</v>
      </c>
      <c r="C340" s="1" t="n">
        <v>5000</v>
      </c>
      <c r="D340" s="1" t="n">
        <v>0</v>
      </c>
    </row>
    <row r="341">
      <c r="A341" t="inlineStr">
        <is>
          <t>cost / prog_care / cycle 87</t>
        </is>
      </c>
      <c r="B341" s="1" t="n">
        <v>0</v>
      </c>
      <c r="C341" s="1" t="n">
        <v>5000</v>
      </c>
      <c r="D341" s="1" t="n">
        <v>0</v>
      </c>
    </row>
    <row r="342">
      <c r="A342" t="inlineStr">
        <is>
          <t>cost / prog_care / cycle 88</t>
        </is>
      </c>
      <c r="B342" s="1" t="n">
        <v>0</v>
      </c>
      <c r="C342" s="1" t="n">
        <v>5000</v>
      </c>
      <c r="D342" s="1" t="n">
        <v>0</v>
      </c>
    </row>
    <row r="343">
      <c r="A343" t="inlineStr">
        <is>
          <t>cost / prog_care / cycle 89</t>
        </is>
      </c>
      <c r="B343" s="1" t="n">
        <v>0</v>
      </c>
      <c r="C343" s="1" t="n">
        <v>5000</v>
      </c>
      <c r="D343" s="1" t="n">
        <v>0</v>
      </c>
    </row>
    <row r="344">
      <c r="A344" t="inlineStr">
        <is>
          <t>cost / prog_care / cycle 90</t>
        </is>
      </c>
      <c r="B344" s="1" t="n">
        <v>0</v>
      </c>
      <c r="C344" s="1" t="n">
        <v>5000</v>
      </c>
      <c r="D344" s="1" t="n">
        <v>0</v>
      </c>
    </row>
    <row r="345">
      <c r="A345" t="inlineStr">
        <is>
          <t>cost / prog_care / cycle 91</t>
        </is>
      </c>
      <c r="B345" s="1" t="n">
        <v>0</v>
      </c>
      <c r="C345" s="1" t="n">
        <v>5000</v>
      </c>
      <c r="D345" s="1" t="n">
        <v>0</v>
      </c>
    </row>
    <row r="346">
      <c r="A346" t="inlineStr">
        <is>
          <t>cost / prog_care / cycle 92</t>
        </is>
      </c>
      <c r="B346" s="1" t="n">
        <v>0</v>
      </c>
      <c r="C346" s="1" t="n">
        <v>5000</v>
      </c>
      <c r="D346" s="1" t="n">
        <v>0</v>
      </c>
    </row>
    <row r="347">
      <c r="A347" t="inlineStr">
        <is>
          <t>cost / prog_care / cycle 93</t>
        </is>
      </c>
      <c r="B347" s="1" t="n">
        <v>0</v>
      </c>
      <c r="C347" s="1" t="n">
        <v>5000</v>
      </c>
      <c r="D347" s="1" t="n">
        <v>0</v>
      </c>
    </row>
    <row r="348">
      <c r="A348" t="inlineStr">
        <is>
          <t>cost / prog_care / cycle 94</t>
        </is>
      </c>
      <c r="B348" s="1" t="n">
        <v>0</v>
      </c>
      <c r="C348" s="1" t="n">
        <v>5000</v>
      </c>
      <c r="D348" s="1" t="n">
        <v>0</v>
      </c>
    </row>
    <row r="349">
      <c r="A349" t="inlineStr">
        <is>
          <t>cost / prog_care / cycle 95</t>
        </is>
      </c>
      <c r="B349" s="1" t="n">
        <v>0</v>
      </c>
      <c r="C349" s="1" t="n">
        <v>5000</v>
      </c>
      <c r="D349" s="1" t="n">
        <v>0</v>
      </c>
    </row>
    <row r="350">
      <c r="A350" t="inlineStr">
        <is>
          <t>cost / prog_care / cycle 96</t>
        </is>
      </c>
      <c r="B350" s="1" t="n">
        <v>0</v>
      </c>
      <c r="C350" s="1" t="n">
        <v>5000</v>
      </c>
      <c r="D350" s="1" t="n">
        <v>0</v>
      </c>
    </row>
    <row r="351">
      <c r="A351" t="inlineStr">
        <is>
          <t>cost / prog_care / cycle 97</t>
        </is>
      </c>
      <c r="B351" s="1" t="n">
        <v>0</v>
      </c>
      <c r="C351" s="1" t="n">
        <v>5000</v>
      </c>
      <c r="D351" s="1" t="n">
        <v>0</v>
      </c>
    </row>
    <row r="352">
      <c r="A352" t="inlineStr">
        <is>
          <t>cost / prog_care / cycle 98</t>
        </is>
      </c>
      <c r="B352" s="1" t="n">
        <v>0</v>
      </c>
      <c r="C352" s="1" t="n">
        <v>5000</v>
      </c>
      <c r="D352" s="1" t="n">
        <v>0</v>
      </c>
    </row>
    <row r="353">
      <c r="A353" t="inlineStr">
        <is>
          <t>cost / prog_care / cycle 99</t>
        </is>
      </c>
      <c r="B353" s="1" t="n">
        <v>0</v>
      </c>
      <c r="C353" s="1" t="n">
        <v>5000</v>
      </c>
      <c r="D353" s="1" t="n">
        <v>0</v>
      </c>
    </row>
    <row r="354">
      <c r="A354" t="inlineStr">
        <is>
          <t>cost / prog_care / cycle 100</t>
        </is>
      </c>
      <c r="B354" s="1" t="n">
        <v>0</v>
      </c>
      <c r="C354" s="1" t="n">
        <v>5000</v>
      </c>
      <c r="D354" s="1" t="n">
        <v>0</v>
      </c>
    </row>
    <row r="355">
      <c r="A355" t="inlineStr">
        <is>
          <t>cost / prog_care / cycle 101</t>
        </is>
      </c>
      <c r="B355" s="1" t="n">
        <v>0</v>
      </c>
      <c r="C355" s="1" t="n">
        <v>5000</v>
      </c>
      <c r="D355" s="1" t="n">
        <v>0</v>
      </c>
    </row>
    <row r="356">
      <c r="A356" t="inlineStr">
        <is>
          <t>cost / prog_care / cycle 102</t>
        </is>
      </c>
      <c r="B356" s="1" t="n">
        <v>0</v>
      </c>
      <c r="C356" s="1" t="n">
        <v>5000</v>
      </c>
      <c r="D356" s="1" t="n">
        <v>0</v>
      </c>
    </row>
    <row r="357">
      <c r="A357" t="inlineStr">
        <is>
          <t>cost / prog_care / cycle 103</t>
        </is>
      </c>
      <c r="B357" s="1" t="n">
        <v>0</v>
      </c>
      <c r="C357" s="1" t="n">
        <v>5000</v>
      </c>
      <c r="D357" s="1" t="n">
        <v>0</v>
      </c>
    </row>
    <row r="358">
      <c r="A358" t="inlineStr">
        <is>
          <t>cost / prog_care / cycle 104</t>
        </is>
      </c>
      <c r="B358" s="1" t="n">
        <v>0</v>
      </c>
      <c r="C358" s="1" t="n">
        <v>5000</v>
      </c>
      <c r="D358" s="1" t="n">
        <v>0</v>
      </c>
    </row>
    <row r="359">
      <c r="A359" t="inlineStr">
        <is>
          <t>cost / prog_care / cycle 105</t>
        </is>
      </c>
      <c r="B359" s="1" t="n">
        <v>0</v>
      </c>
      <c r="C359" s="1" t="n">
        <v>5000</v>
      </c>
      <c r="D359" s="1" t="n">
        <v>0</v>
      </c>
    </row>
    <row r="360">
      <c r="A360" t="inlineStr">
        <is>
          <t>cost / prog_care / cycle 106</t>
        </is>
      </c>
      <c r="B360" s="1" t="n">
        <v>0</v>
      </c>
      <c r="C360" s="1" t="n">
        <v>5000</v>
      </c>
      <c r="D360" s="1" t="n">
        <v>0</v>
      </c>
    </row>
    <row r="361">
      <c r="A361" t="inlineStr">
        <is>
          <t>cost / prog_care / cycle 107</t>
        </is>
      </c>
      <c r="B361" s="1" t="n">
        <v>0</v>
      </c>
      <c r="C361" s="1" t="n">
        <v>5000</v>
      </c>
      <c r="D361" s="1" t="n">
        <v>0</v>
      </c>
    </row>
    <row r="362">
      <c r="A362" t="inlineStr">
        <is>
          <t>cost / prog_care / cycle 108</t>
        </is>
      </c>
      <c r="B362" s="1" t="n">
        <v>0</v>
      </c>
      <c r="C362" s="1" t="n">
        <v>5000</v>
      </c>
      <c r="D362" s="1" t="n">
        <v>0</v>
      </c>
    </row>
    <row r="363">
      <c r="A363" t="inlineStr">
        <is>
          <t>cost / prog_care / cycle 109</t>
        </is>
      </c>
      <c r="B363" s="1" t="n">
        <v>0</v>
      </c>
      <c r="C363" s="1" t="n">
        <v>5000</v>
      </c>
      <c r="D363" s="1" t="n">
        <v>0</v>
      </c>
    </row>
    <row r="364">
      <c r="A364" t="inlineStr">
        <is>
          <t>cost / prog_care / cycle 110</t>
        </is>
      </c>
      <c r="B364" s="1" t="n">
        <v>0</v>
      </c>
      <c r="C364" s="1" t="n">
        <v>5000</v>
      </c>
      <c r="D364" s="1" t="n">
        <v>0</v>
      </c>
    </row>
    <row r="365">
      <c r="A365" t="inlineStr">
        <is>
          <t>cost / prog_care / cycle 111</t>
        </is>
      </c>
      <c r="B365" s="1" t="n">
        <v>0</v>
      </c>
      <c r="C365" s="1" t="n">
        <v>5000</v>
      </c>
      <c r="D365" s="1" t="n">
        <v>0</v>
      </c>
    </row>
    <row r="366">
      <c r="A366" t="inlineStr">
        <is>
          <t>cost / prog_care / cycle 112</t>
        </is>
      </c>
      <c r="B366" s="1" t="n">
        <v>0</v>
      </c>
      <c r="C366" s="1" t="n">
        <v>5000</v>
      </c>
      <c r="D366" s="1" t="n">
        <v>0</v>
      </c>
    </row>
    <row r="367">
      <c r="A367" t="inlineStr">
        <is>
          <t>cost / prog_care / cycle 113</t>
        </is>
      </c>
      <c r="B367" s="1" t="n">
        <v>0</v>
      </c>
      <c r="C367" s="1" t="n">
        <v>5000</v>
      </c>
      <c r="D367" s="1" t="n">
        <v>0</v>
      </c>
    </row>
    <row r="368">
      <c r="A368" t="inlineStr">
        <is>
          <t>cost / prog_care / cycle 114</t>
        </is>
      </c>
      <c r="B368" s="1" t="n">
        <v>0</v>
      </c>
      <c r="C368" s="1" t="n">
        <v>5000</v>
      </c>
      <c r="D368" s="1" t="n">
        <v>0</v>
      </c>
    </row>
    <row r="369">
      <c r="A369" t="inlineStr">
        <is>
          <t>cost / prog_care / cycle 115</t>
        </is>
      </c>
      <c r="B369" s="1" t="n">
        <v>0</v>
      </c>
      <c r="C369" s="1" t="n">
        <v>5000</v>
      </c>
      <c r="D369" s="1" t="n">
        <v>0</v>
      </c>
    </row>
    <row r="370">
      <c r="A370" t="inlineStr">
        <is>
          <t>cost / prog_care / cycle 116</t>
        </is>
      </c>
      <c r="B370" s="1" t="n">
        <v>0</v>
      </c>
      <c r="C370" s="1" t="n">
        <v>5000</v>
      </c>
      <c r="D370" s="1" t="n">
        <v>0</v>
      </c>
    </row>
    <row r="371">
      <c r="A371" t="inlineStr">
        <is>
          <t>cost / prog_care / cycle 117</t>
        </is>
      </c>
      <c r="B371" s="1" t="n">
        <v>0</v>
      </c>
      <c r="C371" s="1" t="n">
        <v>5000</v>
      </c>
      <c r="D371" s="1" t="n">
        <v>0</v>
      </c>
    </row>
    <row r="372">
      <c r="A372" t="inlineStr">
        <is>
          <t>cost / prog_care / cycle 118</t>
        </is>
      </c>
      <c r="B372" s="1" t="n">
        <v>0</v>
      </c>
      <c r="C372" s="1" t="n">
        <v>5000</v>
      </c>
      <c r="D372" s="1" t="n">
        <v>0</v>
      </c>
    </row>
    <row r="373">
      <c r="A373" t="inlineStr">
        <is>
          <t>cost / prog_care / cycle 119</t>
        </is>
      </c>
      <c r="B373" s="1" t="n">
        <v>0</v>
      </c>
      <c r="C373" s="1" t="n">
        <v>5000</v>
      </c>
      <c r="D373" s="1" t="n">
        <v>0</v>
      </c>
    </row>
    <row r="374">
      <c r="A374" t="inlineStr">
        <is>
          <t>cost / prog_care / cycle 120</t>
        </is>
      </c>
      <c r="B374" s="1" t="n">
        <v>0</v>
      </c>
      <c r="C374" s="1" t="n">
        <v>5000</v>
      </c>
      <c r="D374" s="1" t="n">
        <v>0</v>
      </c>
    </row>
    <row r="375">
      <c r="A375" t="inlineStr">
        <is>
          <t>cost / prog_care / cycle 121</t>
        </is>
      </c>
      <c r="B375" s="1" t="n">
        <v>0</v>
      </c>
      <c r="C375" s="1" t="n">
        <v>5000</v>
      </c>
      <c r="D375" s="1" t="n">
        <v>0</v>
      </c>
    </row>
    <row r="376">
      <c r="A376" t="inlineStr">
        <is>
          <t>cost / prog_care / cycle 122</t>
        </is>
      </c>
      <c r="B376" s="1" t="n">
        <v>0</v>
      </c>
      <c r="C376" s="1" t="n">
        <v>5000</v>
      </c>
      <c r="D376" s="1" t="n">
        <v>0</v>
      </c>
    </row>
    <row r="377">
      <c r="A377" t="inlineStr">
        <is>
          <t>cost / prog_care / cycle 123</t>
        </is>
      </c>
      <c r="B377" s="1" t="n">
        <v>0</v>
      </c>
      <c r="C377" s="1" t="n">
        <v>5000</v>
      </c>
      <c r="D377" s="1" t="n">
        <v>0</v>
      </c>
    </row>
    <row r="378">
      <c r="A378" t="inlineStr">
        <is>
          <t>cost / prog_care / cycle 124</t>
        </is>
      </c>
      <c r="B378" s="1" t="n">
        <v>0</v>
      </c>
      <c r="C378" s="1" t="n">
        <v>5000</v>
      </c>
      <c r="D378" s="1" t="n">
        <v>0</v>
      </c>
    </row>
    <row r="379">
      <c r="A379" t="inlineStr">
        <is>
          <t>cost / prog_care / cycle 125</t>
        </is>
      </c>
      <c r="B379" s="1" t="n">
        <v>0</v>
      </c>
      <c r="C379" s="1" t="n">
        <v>5000</v>
      </c>
      <c r="D379" s="1" t="n">
        <v>0</v>
      </c>
    </row>
    <row r="380">
      <c r="A380" t="inlineStr">
        <is>
          <t>cost / prog_care / cycle 126</t>
        </is>
      </c>
      <c r="B380" s="1" t="n">
        <v>0</v>
      </c>
      <c r="C380" s="1" t="n">
        <v>5000</v>
      </c>
      <c r="D380" s="1" t="n">
        <v>0</v>
      </c>
    </row>
    <row r="381">
      <c r="A381" t="inlineStr">
        <is>
          <t>cost / prog_care / cycle 127</t>
        </is>
      </c>
      <c r="B381" s="1" t="n">
        <v>0</v>
      </c>
      <c r="C381" s="1" t="n">
        <v>5000</v>
      </c>
      <c r="D381" s="1" t="n">
        <v>0</v>
      </c>
    </row>
    <row r="382">
      <c r="A382" t="inlineStr">
        <is>
          <t>cost / prog_care / cycle 128</t>
        </is>
      </c>
      <c r="B382" s="1" t="n">
        <v>0</v>
      </c>
      <c r="C382" s="1" t="n">
        <v>5000</v>
      </c>
      <c r="D382" s="1" t="n">
        <v>0</v>
      </c>
    </row>
    <row r="383">
      <c r="A383" t="inlineStr">
        <is>
          <t>cost / prog_care / cycle 129</t>
        </is>
      </c>
      <c r="B383" s="1" t="n">
        <v>0</v>
      </c>
      <c r="C383" s="1" t="n">
        <v>5000</v>
      </c>
      <c r="D383" s="1" t="n">
        <v>0</v>
      </c>
    </row>
    <row r="384">
      <c r="A384" t="inlineStr">
        <is>
          <t>cost / prog_care / cycle 130</t>
        </is>
      </c>
      <c r="B384" s="1" t="n">
        <v>0</v>
      </c>
      <c r="C384" s="1" t="n">
        <v>5000</v>
      </c>
      <c r="D384" s="1" t="n">
        <v>0</v>
      </c>
    </row>
    <row r="385">
      <c r="A385" t="inlineStr">
        <is>
          <t>cost / prog_care / cycle 131</t>
        </is>
      </c>
      <c r="B385" s="1" t="n">
        <v>0</v>
      </c>
      <c r="C385" s="1" t="n">
        <v>5000</v>
      </c>
      <c r="D385" s="1" t="n">
        <v>0</v>
      </c>
    </row>
    <row r="386">
      <c r="A386" t="inlineStr">
        <is>
          <t>cost / prog_care / cycle 132</t>
        </is>
      </c>
      <c r="B386" s="1" t="n">
        <v>0</v>
      </c>
      <c r="C386" s="1" t="n">
        <v>5000</v>
      </c>
      <c r="D386" s="1" t="n">
        <v>0</v>
      </c>
    </row>
    <row r="387">
      <c r="A387" t="inlineStr">
        <is>
          <t>cost / prog_care / cycle 133</t>
        </is>
      </c>
      <c r="B387" s="1" t="n">
        <v>0</v>
      </c>
      <c r="C387" s="1" t="n">
        <v>5000</v>
      </c>
      <c r="D387" s="1" t="n">
        <v>0</v>
      </c>
    </row>
    <row r="388">
      <c r="A388" t="inlineStr">
        <is>
          <t>cost / prog_care / cycle 134</t>
        </is>
      </c>
      <c r="B388" s="1" t="n">
        <v>0</v>
      </c>
      <c r="C388" s="1" t="n">
        <v>5000</v>
      </c>
      <c r="D388" s="1" t="n">
        <v>0</v>
      </c>
    </row>
    <row r="389">
      <c r="A389" t="inlineStr">
        <is>
          <t>cost / prog_care / cycle 135</t>
        </is>
      </c>
      <c r="B389" s="1" t="n">
        <v>0</v>
      </c>
      <c r="C389" s="1" t="n">
        <v>5000</v>
      </c>
      <c r="D389" s="1" t="n">
        <v>0</v>
      </c>
    </row>
    <row r="390">
      <c r="A390" t="inlineStr">
        <is>
          <t>cost / prog_care / cycle 136</t>
        </is>
      </c>
      <c r="B390" s="1" t="n">
        <v>0</v>
      </c>
      <c r="C390" s="1" t="n">
        <v>5000</v>
      </c>
      <c r="D390" s="1" t="n">
        <v>0</v>
      </c>
    </row>
    <row r="391">
      <c r="A391" t="inlineStr">
        <is>
          <t>cost / prog_care / cycle 137</t>
        </is>
      </c>
      <c r="B391" s="1" t="n">
        <v>0</v>
      </c>
      <c r="C391" s="1" t="n">
        <v>5000</v>
      </c>
      <c r="D391" s="1" t="n">
        <v>0</v>
      </c>
    </row>
    <row r="392">
      <c r="A392" t="inlineStr">
        <is>
          <t>cost / prog_care / cycle 138</t>
        </is>
      </c>
      <c r="B392" s="1" t="n">
        <v>0</v>
      </c>
      <c r="C392" s="1" t="n">
        <v>5000</v>
      </c>
      <c r="D392" s="1" t="n">
        <v>0</v>
      </c>
    </row>
    <row r="393">
      <c r="A393" t="inlineStr">
        <is>
          <t>cost / prog_care / cycle 139</t>
        </is>
      </c>
      <c r="B393" s="1" t="n">
        <v>0</v>
      </c>
      <c r="C393" s="1" t="n">
        <v>5000</v>
      </c>
      <c r="D393" s="1" t="n">
        <v>0</v>
      </c>
    </row>
    <row r="394">
      <c r="A394" t="inlineStr">
        <is>
          <t>cost / prog_care / cycle 140</t>
        </is>
      </c>
      <c r="B394" s="1" t="n">
        <v>0</v>
      </c>
      <c r="C394" s="1" t="n">
        <v>5000</v>
      </c>
      <c r="D394" s="1" t="n">
        <v>0</v>
      </c>
    </row>
    <row r="395">
      <c r="A395" t="inlineStr">
        <is>
          <t>cost / prog_care / cycle 141</t>
        </is>
      </c>
      <c r="B395" s="1" t="n">
        <v>0</v>
      </c>
      <c r="C395" s="1" t="n">
        <v>5000</v>
      </c>
      <c r="D395" s="1" t="n">
        <v>0</v>
      </c>
    </row>
    <row r="396">
      <c r="A396" t="inlineStr">
        <is>
          <t>cost / prog_care / cycle 142</t>
        </is>
      </c>
      <c r="B396" s="1" t="n">
        <v>0</v>
      </c>
      <c r="C396" s="1" t="n">
        <v>5000</v>
      </c>
      <c r="D396" s="1" t="n">
        <v>0</v>
      </c>
    </row>
    <row r="397">
      <c r="A397" t="inlineStr">
        <is>
          <t>cost / prog_care / cycle 143</t>
        </is>
      </c>
      <c r="B397" s="1" t="n">
        <v>0</v>
      </c>
      <c r="C397" s="1" t="n">
        <v>5000</v>
      </c>
      <c r="D397" s="1" t="n">
        <v>0</v>
      </c>
    </row>
    <row r="398">
      <c r="A398" t="inlineStr">
        <is>
          <t>cost / prog_care / cycle 144</t>
        </is>
      </c>
      <c r="B398" s="1" t="n">
        <v>0</v>
      </c>
      <c r="C398" s="1" t="n">
        <v>5000</v>
      </c>
      <c r="D398" s="1" t="n">
        <v>0</v>
      </c>
    </row>
    <row r="399">
      <c r="A399" t="inlineStr">
        <is>
          <t>cost / prog_care / cycle 145</t>
        </is>
      </c>
      <c r="B399" s="1" t="n">
        <v>0</v>
      </c>
      <c r="C399" s="1" t="n">
        <v>5000</v>
      </c>
      <c r="D399" s="1" t="n">
        <v>0</v>
      </c>
    </row>
    <row r="400">
      <c r="A400" t="inlineStr">
        <is>
          <t>cost / prog_care / cycle 146</t>
        </is>
      </c>
      <c r="B400" s="1" t="n">
        <v>0</v>
      </c>
      <c r="C400" s="1" t="n">
        <v>5000</v>
      </c>
      <c r="D400" s="1" t="n">
        <v>0</v>
      </c>
    </row>
    <row r="401">
      <c r="A401" t="inlineStr">
        <is>
          <t>cost / prog_care / cycle 147</t>
        </is>
      </c>
      <c r="B401" s="1" t="n">
        <v>0</v>
      </c>
      <c r="C401" s="1" t="n">
        <v>5000</v>
      </c>
      <c r="D401" s="1" t="n">
        <v>0</v>
      </c>
    </row>
    <row r="402">
      <c r="A402" t="inlineStr">
        <is>
          <t>cost / prog_care / cycle 148</t>
        </is>
      </c>
      <c r="B402" s="1" t="n">
        <v>0</v>
      </c>
      <c r="C402" s="1" t="n">
        <v>5000</v>
      </c>
      <c r="D402" s="1" t="n">
        <v>0</v>
      </c>
    </row>
    <row r="403">
      <c r="A403" t="inlineStr">
        <is>
          <t>cost / prog_care / cycle 149</t>
        </is>
      </c>
      <c r="B403" s="1" t="n">
        <v>0</v>
      </c>
      <c r="C403" s="1" t="n">
        <v>5000</v>
      </c>
      <c r="D403" s="1" t="n">
        <v>0</v>
      </c>
    </row>
    <row r="404">
      <c r="A404" t="inlineStr">
        <is>
          <t>cost / prog_care / cycle 150</t>
        </is>
      </c>
      <c r="B404" s="1" t="n">
        <v>0</v>
      </c>
      <c r="C404" s="1" t="n">
        <v>5000</v>
      </c>
      <c r="D404" s="1" t="n">
        <v>0</v>
      </c>
    </row>
    <row r="405">
      <c r="A405" t="inlineStr">
        <is>
          <t>cost / prog_care / cycle 151</t>
        </is>
      </c>
      <c r="B405" s="1" t="n">
        <v>0</v>
      </c>
      <c r="C405" s="1" t="n">
        <v>5000</v>
      </c>
      <c r="D405" s="1" t="n">
        <v>0</v>
      </c>
    </row>
    <row r="406">
      <c r="A406" t="inlineStr">
        <is>
          <t>cost / prog_care / cycle 152</t>
        </is>
      </c>
      <c r="B406" s="1" t="n">
        <v>0</v>
      </c>
      <c r="C406" s="1" t="n">
        <v>5000</v>
      </c>
      <c r="D406" s="1" t="n">
        <v>0</v>
      </c>
    </row>
    <row r="407">
      <c r="A407" t="inlineStr">
        <is>
          <t>cost / prog_care / cycle 153</t>
        </is>
      </c>
      <c r="B407" s="1" t="n">
        <v>0</v>
      </c>
      <c r="C407" s="1" t="n">
        <v>5000</v>
      </c>
      <c r="D407" s="1" t="n">
        <v>0</v>
      </c>
    </row>
    <row r="408">
      <c r="A408" t="inlineStr">
        <is>
          <t>cost / prog_care / cycle 154</t>
        </is>
      </c>
      <c r="B408" s="1" t="n">
        <v>0</v>
      </c>
      <c r="C408" s="1" t="n">
        <v>5000</v>
      </c>
      <c r="D408" s="1" t="n">
        <v>0</v>
      </c>
    </row>
    <row r="409">
      <c r="A409" t="inlineStr">
        <is>
          <t>cost / prog_care / cycle 155</t>
        </is>
      </c>
      <c r="B409" s="1" t="n">
        <v>0</v>
      </c>
      <c r="C409" s="1" t="n">
        <v>5000</v>
      </c>
      <c r="D409" s="1" t="n">
        <v>0</v>
      </c>
    </row>
    <row r="410">
      <c r="A410" t="inlineStr">
        <is>
          <t>cost / prog_care / cycle 156</t>
        </is>
      </c>
      <c r="B410" s="1" t="n">
        <v>0</v>
      </c>
      <c r="C410" s="1" t="n">
        <v>5000</v>
      </c>
      <c r="D410" s="1" t="n">
        <v>0</v>
      </c>
    </row>
    <row r="411">
      <c r="A411" t="inlineStr">
        <is>
          <t>cost / prog_care / cycle 157</t>
        </is>
      </c>
      <c r="B411" s="1" t="n">
        <v>0</v>
      </c>
      <c r="C411" s="1" t="n">
        <v>5000</v>
      </c>
      <c r="D411" s="1" t="n">
        <v>0</v>
      </c>
    </row>
    <row r="412">
      <c r="A412" t="inlineStr">
        <is>
          <t>cost / prog_care / cycle 158</t>
        </is>
      </c>
      <c r="B412" s="1" t="n">
        <v>0</v>
      </c>
      <c r="C412" s="1" t="n">
        <v>5000</v>
      </c>
      <c r="D412" s="1" t="n">
        <v>0</v>
      </c>
    </row>
    <row r="413">
      <c r="A413" t="inlineStr">
        <is>
          <t>cost / prog_care / cycle 159</t>
        </is>
      </c>
      <c r="B413" s="1" t="n">
        <v>0</v>
      </c>
      <c r="C413" s="1" t="n">
        <v>5000</v>
      </c>
      <c r="D413" s="1" t="n">
        <v>0</v>
      </c>
    </row>
    <row r="414">
      <c r="A414" t="inlineStr">
        <is>
          <t>cost / prog_care / cycle 160</t>
        </is>
      </c>
      <c r="B414" s="1" t="n">
        <v>0</v>
      </c>
      <c r="C414" s="1" t="n">
        <v>5000</v>
      </c>
      <c r="D414" s="1" t="n">
        <v>0</v>
      </c>
    </row>
    <row r="415">
      <c r="A415" t="inlineStr">
        <is>
          <t>cost / prog_care / cycle 161</t>
        </is>
      </c>
      <c r="B415" s="1" t="n">
        <v>0</v>
      </c>
      <c r="C415" s="1" t="n">
        <v>5000</v>
      </c>
      <c r="D415" s="1" t="n">
        <v>0</v>
      </c>
    </row>
    <row r="416">
      <c r="A416" t="inlineStr">
        <is>
          <t>cost / prog_care / cycle 162</t>
        </is>
      </c>
      <c r="B416" s="1" t="n">
        <v>0</v>
      </c>
      <c r="C416" s="1" t="n">
        <v>5000</v>
      </c>
      <c r="D416" s="1" t="n">
        <v>0</v>
      </c>
    </row>
    <row r="417">
      <c r="A417" t="inlineStr">
        <is>
          <t>cost / prog_care / cycle 163</t>
        </is>
      </c>
      <c r="B417" s="1" t="n">
        <v>0</v>
      </c>
      <c r="C417" s="1" t="n">
        <v>5000</v>
      </c>
      <c r="D417" s="1" t="n">
        <v>0</v>
      </c>
    </row>
    <row r="418">
      <c r="A418" t="inlineStr">
        <is>
          <t>cost / prog_care / cycle 164</t>
        </is>
      </c>
      <c r="B418" s="1" t="n">
        <v>0</v>
      </c>
      <c r="C418" s="1" t="n">
        <v>5000</v>
      </c>
      <c r="D418" s="1" t="n">
        <v>0</v>
      </c>
    </row>
    <row r="419">
      <c r="A419" t="inlineStr">
        <is>
          <t>cost / prog_care / cycle 165</t>
        </is>
      </c>
      <c r="B419" s="1" t="n">
        <v>0</v>
      </c>
      <c r="C419" s="1" t="n">
        <v>5000</v>
      </c>
      <c r="D419" s="1" t="n">
        <v>0</v>
      </c>
    </row>
    <row r="420">
      <c r="A420" t="inlineStr">
        <is>
          <t>cost / prog_care / cycle 166</t>
        </is>
      </c>
      <c r="B420" s="1" t="n">
        <v>0</v>
      </c>
      <c r="C420" s="1" t="n">
        <v>5000</v>
      </c>
      <c r="D420" s="1" t="n">
        <v>0</v>
      </c>
    </row>
    <row r="421">
      <c r="A421" t="inlineStr">
        <is>
          <t>cost / prog_care / cycle 167</t>
        </is>
      </c>
      <c r="B421" s="1" t="n">
        <v>0</v>
      </c>
      <c r="C421" s="1" t="n">
        <v>5000</v>
      </c>
      <c r="D421" s="1" t="n">
        <v>0</v>
      </c>
    </row>
    <row r="422">
      <c r="A422" t="inlineStr">
        <is>
          <t>cost / prog_care / cycle 168</t>
        </is>
      </c>
      <c r="B422" s="1" t="n">
        <v>0</v>
      </c>
      <c r="C422" s="1" t="n">
        <v>5000</v>
      </c>
      <c r="D422" s="1" t="n">
        <v>0</v>
      </c>
    </row>
    <row r="423">
      <c r="A423" t="inlineStr">
        <is>
          <t>cost / prog_care / cycle 169</t>
        </is>
      </c>
      <c r="B423" s="1" t="n">
        <v>0</v>
      </c>
      <c r="C423" s="1" t="n">
        <v>5000</v>
      </c>
      <c r="D423" s="1" t="n">
        <v>0</v>
      </c>
    </row>
    <row r="424">
      <c r="A424" t="inlineStr">
        <is>
          <t>cost / prog_care / cycle 170</t>
        </is>
      </c>
      <c r="B424" s="1" t="n">
        <v>0</v>
      </c>
      <c r="C424" s="1" t="n">
        <v>5000</v>
      </c>
      <c r="D424" s="1" t="n">
        <v>0</v>
      </c>
    </row>
    <row r="425">
      <c r="A425" t="inlineStr">
        <is>
          <t>cost / prog_care / cycle 171</t>
        </is>
      </c>
      <c r="B425" s="1" t="n">
        <v>0</v>
      </c>
      <c r="C425" s="1" t="n">
        <v>5000</v>
      </c>
      <c r="D425" s="1" t="n">
        <v>0</v>
      </c>
    </row>
    <row r="426">
      <c r="A426" t="inlineStr">
        <is>
          <t>cost / prog_care / cycle 172</t>
        </is>
      </c>
      <c r="B426" s="1" t="n">
        <v>0</v>
      </c>
      <c r="C426" s="1" t="n">
        <v>5000</v>
      </c>
      <c r="D426" s="1" t="n">
        <v>0</v>
      </c>
    </row>
    <row r="427">
      <c r="A427" t="inlineStr">
        <is>
          <t>cost / prog_care / cycle 173</t>
        </is>
      </c>
      <c r="B427" s="1" t="n">
        <v>0</v>
      </c>
      <c r="C427" s="1" t="n">
        <v>5000</v>
      </c>
      <c r="D427" s="1" t="n">
        <v>0</v>
      </c>
    </row>
    <row r="428">
      <c r="A428" t="inlineStr">
        <is>
          <t>cost / prog_care / cycle 174</t>
        </is>
      </c>
      <c r="B428" s="1" t="n">
        <v>0</v>
      </c>
      <c r="C428" s="1" t="n">
        <v>5000</v>
      </c>
      <c r="D428" s="1" t="n">
        <v>0</v>
      </c>
    </row>
    <row r="429">
      <c r="A429" t="inlineStr">
        <is>
          <t>cost / prog_care / cycle 175</t>
        </is>
      </c>
      <c r="B429" s="1" t="n">
        <v>0</v>
      </c>
      <c r="C429" s="1" t="n">
        <v>5000</v>
      </c>
      <c r="D429" s="1" t="n">
        <v>0</v>
      </c>
    </row>
    <row r="430">
      <c r="A430" t="inlineStr">
        <is>
          <t>cost / prog_care / cycle 176</t>
        </is>
      </c>
      <c r="B430" s="1" t="n">
        <v>0</v>
      </c>
      <c r="C430" s="1" t="n">
        <v>5000</v>
      </c>
      <c r="D430" s="1" t="n">
        <v>0</v>
      </c>
    </row>
    <row r="431">
      <c r="A431" t="inlineStr">
        <is>
          <t>cost / prog_care / cycle 177</t>
        </is>
      </c>
      <c r="B431" s="1" t="n">
        <v>0</v>
      </c>
      <c r="C431" s="1" t="n">
        <v>5000</v>
      </c>
      <c r="D431" s="1" t="n">
        <v>0</v>
      </c>
    </row>
    <row r="432">
      <c r="A432" t="inlineStr">
        <is>
          <t>cost / prog_care / cycle 178</t>
        </is>
      </c>
      <c r="B432" s="1" t="n">
        <v>0</v>
      </c>
      <c r="C432" s="1" t="n">
        <v>5000</v>
      </c>
      <c r="D432" s="1" t="n">
        <v>0</v>
      </c>
    </row>
    <row r="433">
      <c r="A433" t="inlineStr">
        <is>
          <t>cost / prog_care / cycle 179</t>
        </is>
      </c>
      <c r="B433" s="1" t="n">
        <v>0</v>
      </c>
      <c r="C433" s="1" t="n">
        <v>5000</v>
      </c>
      <c r="D433" s="1" t="n">
        <v>0</v>
      </c>
    </row>
    <row r="434">
      <c r="A434" t="inlineStr">
        <is>
          <t>cost / prog_care / cycle 180</t>
        </is>
      </c>
      <c r="B434" s="1" t="n">
        <v>0</v>
      </c>
      <c r="C434" s="1" t="n">
        <v>5000</v>
      </c>
      <c r="D434" s="1" t="n">
        <v>0</v>
      </c>
    </row>
    <row r="435">
      <c r="A435" t="inlineStr">
        <is>
          <t>cost / prog_care / cycle 181</t>
        </is>
      </c>
      <c r="B435" s="1" t="n">
        <v>0</v>
      </c>
      <c r="C435" s="1" t="n">
        <v>5000</v>
      </c>
      <c r="D435" s="1" t="n">
        <v>0</v>
      </c>
    </row>
    <row r="436">
      <c r="A436" t="inlineStr">
        <is>
          <t>cost / prog_care / cycle 182</t>
        </is>
      </c>
      <c r="B436" s="1" t="n">
        <v>0</v>
      </c>
      <c r="C436" s="1" t="n">
        <v>5000</v>
      </c>
      <c r="D436" s="1" t="n">
        <v>0</v>
      </c>
    </row>
    <row r="437">
      <c r="A437" t="inlineStr">
        <is>
          <t>cost / prog_care / cycle 183</t>
        </is>
      </c>
      <c r="B437" s="1" t="n">
        <v>0</v>
      </c>
      <c r="C437" s="1" t="n">
        <v>5000</v>
      </c>
      <c r="D437" s="1" t="n">
        <v>0</v>
      </c>
    </row>
    <row r="438">
      <c r="A438" t="inlineStr">
        <is>
          <t>cost / prog_care / cycle 184</t>
        </is>
      </c>
      <c r="B438" s="1" t="n">
        <v>0</v>
      </c>
      <c r="C438" s="1" t="n">
        <v>5000</v>
      </c>
      <c r="D438" s="1" t="n">
        <v>0</v>
      </c>
    </row>
    <row r="439">
      <c r="A439" t="inlineStr">
        <is>
          <t>cost / prog_care / cycle 185</t>
        </is>
      </c>
      <c r="B439" s="1" t="n">
        <v>0</v>
      </c>
      <c r="C439" s="1" t="n">
        <v>5000</v>
      </c>
      <c r="D439" s="1" t="n">
        <v>0</v>
      </c>
    </row>
    <row r="440">
      <c r="A440" t="inlineStr">
        <is>
          <t>cost / prog_care / cycle 186</t>
        </is>
      </c>
      <c r="B440" s="1" t="n">
        <v>0</v>
      </c>
      <c r="C440" s="1" t="n">
        <v>5000</v>
      </c>
      <c r="D440" s="1" t="n">
        <v>0</v>
      </c>
    </row>
    <row r="441">
      <c r="A441" t="inlineStr">
        <is>
          <t>cost / prog_care / cycle 187</t>
        </is>
      </c>
      <c r="B441" s="1" t="n">
        <v>0</v>
      </c>
      <c r="C441" s="1" t="n">
        <v>5000</v>
      </c>
      <c r="D441" s="1" t="n">
        <v>0</v>
      </c>
    </row>
    <row r="442">
      <c r="A442" t="inlineStr">
        <is>
          <t>cost / prog_care / cycle 188</t>
        </is>
      </c>
      <c r="B442" s="1" t="n">
        <v>0</v>
      </c>
      <c r="C442" s="1" t="n">
        <v>5000</v>
      </c>
      <c r="D442" s="1" t="n">
        <v>0</v>
      </c>
    </row>
    <row r="443">
      <c r="A443" t="inlineStr">
        <is>
          <t>cost / prog_care / cycle 189</t>
        </is>
      </c>
      <c r="B443" s="1" t="n">
        <v>0</v>
      </c>
      <c r="C443" s="1" t="n">
        <v>5000</v>
      </c>
      <c r="D443" s="1" t="n">
        <v>0</v>
      </c>
    </row>
    <row r="444">
      <c r="A444" t="inlineStr">
        <is>
          <t>cost / prog_care / cycle 190</t>
        </is>
      </c>
      <c r="B444" s="1" t="n">
        <v>0</v>
      </c>
      <c r="C444" s="1" t="n">
        <v>5000</v>
      </c>
      <c r="D444" s="1" t="n">
        <v>0</v>
      </c>
    </row>
    <row r="445">
      <c r="A445" t="inlineStr">
        <is>
          <t>cost / prog_care / cycle 191</t>
        </is>
      </c>
      <c r="B445" s="1" t="n">
        <v>0</v>
      </c>
      <c r="C445" s="1" t="n">
        <v>5000</v>
      </c>
      <c r="D445" s="1" t="n">
        <v>0</v>
      </c>
    </row>
    <row r="446">
      <c r="A446" t="inlineStr">
        <is>
          <t>cost / prog_care / cycle 192</t>
        </is>
      </c>
      <c r="B446" s="1" t="n">
        <v>0</v>
      </c>
      <c r="C446" s="1" t="n">
        <v>5000</v>
      </c>
      <c r="D446" s="1" t="n">
        <v>0</v>
      </c>
    </row>
    <row r="447">
      <c r="A447" t="inlineStr">
        <is>
          <t>cost / prog_care / cycle 193</t>
        </is>
      </c>
      <c r="B447" s="1" t="n">
        <v>0</v>
      </c>
      <c r="C447" s="1" t="n">
        <v>5000</v>
      </c>
      <c r="D447" s="1" t="n">
        <v>0</v>
      </c>
    </row>
    <row r="448">
      <c r="A448" t="inlineStr">
        <is>
          <t>cost / prog_care / cycle 194</t>
        </is>
      </c>
      <c r="B448" s="1" t="n">
        <v>0</v>
      </c>
      <c r="C448" s="1" t="n">
        <v>5000</v>
      </c>
      <c r="D448" s="1" t="n">
        <v>0</v>
      </c>
    </row>
    <row r="449">
      <c r="A449" t="inlineStr">
        <is>
          <t>cost / prog_care / cycle 195</t>
        </is>
      </c>
      <c r="B449" s="1" t="n">
        <v>0</v>
      </c>
      <c r="C449" s="1" t="n">
        <v>5000</v>
      </c>
      <c r="D449" s="1" t="n">
        <v>0</v>
      </c>
    </row>
    <row r="450">
      <c r="A450" t="inlineStr">
        <is>
          <t>cost / prog_care / cycle 196</t>
        </is>
      </c>
      <c r="B450" s="1" t="n">
        <v>0</v>
      </c>
      <c r="C450" s="1" t="n">
        <v>5000</v>
      </c>
      <c r="D450" s="1" t="n">
        <v>0</v>
      </c>
    </row>
    <row r="451">
      <c r="A451" t="inlineStr">
        <is>
          <t>cost / prog_care / cycle 197</t>
        </is>
      </c>
      <c r="B451" s="1" t="n">
        <v>0</v>
      </c>
      <c r="C451" s="1" t="n">
        <v>5000</v>
      </c>
      <c r="D451" s="1" t="n">
        <v>0</v>
      </c>
    </row>
    <row r="452">
      <c r="A452" t="inlineStr">
        <is>
          <t>cost / prog_care / cycle 198</t>
        </is>
      </c>
      <c r="B452" s="1" t="n">
        <v>0</v>
      </c>
      <c r="C452" s="1" t="n">
        <v>5000</v>
      </c>
      <c r="D452" s="1" t="n">
        <v>0</v>
      </c>
    </row>
    <row r="453">
      <c r="A453" t="inlineStr">
        <is>
          <t>cost / prog_care / cycle 199</t>
        </is>
      </c>
      <c r="B453" s="1" t="n">
        <v>0</v>
      </c>
      <c r="C453" s="1" t="n">
        <v>5000</v>
      </c>
      <c r="D453" s="1" t="n">
        <v>0</v>
      </c>
    </row>
    <row r="454">
      <c r="A454" t="inlineStr">
        <is>
          <t>cost / prog_care / cycle 200</t>
        </is>
      </c>
      <c r="B454" s="1" t="n">
        <v>0</v>
      </c>
      <c r="C454" s="1" t="n">
        <v>5000</v>
      </c>
      <c r="D454" s="1" t="n">
        <v>0</v>
      </c>
    </row>
    <row r="455">
      <c r="A455" t="inlineStr">
        <is>
          <t>cost / prog_care / cycle 201</t>
        </is>
      </c>
      <c r="B455" s="1" t="n">
        <v>0</v>
      </c>
      <c r="C455" s="1" t="n">
        <v>5000</v>
      </c>
      <c r="D455" s="1" t="n">
        <v>0</v>
      </c>
    </row>
    <row r="456">
      <c r="A456" t="inlineStr">
        <is>
          <t>cost / prog_care / cycle 202</t>
        </is>
      </c>
      <c r="B456" s="1" t="n">
        <v>0</v>
      </c>
      <c r="C456" s="1" t="n">
        <v>5000</v>
      </c>
      <c r="D456" s="1" t="n">
        <v>0</v>
      </c>
    </row>
    <row r="457">
      <c r="A457" t="inlineStr">
        <is>
          <t>cost / prog_care / cycle 203</t>
        </is>
      </c>
      <c r="B457" s="1" t="n">
        <v>0</v>
      </c>
      <c r="C457" s="1" t="n">
        <v>5000</v>
      </c>
      <c r="D457" s="1" t="n">
        <v>0</v>
      </c>
    </row>
    <row r="458">
      <c r="A458" t="inlineStr">
        <is>
          <t>cost / prog_care / cycle 204</t>
        </is>
      </c>
      <c r="B458" s="1" t="n">
        <v>0</v>
      </c>
      <c r="C458" s="1" t="n">
        <v>5000</v>
      </c>
      <c r="D458" s="1" t="n">
        <v>0</v>
      </c>
    </row>
    <row r="459">
      <c r="A459" t="inlineStr">
        <is>
          <t>cost / prog_care / cycle 205</t>
        </is>
      </c>
      <c r="B459" s="1" t="n">
        <v>0</v>
      </c>
      <c r="C459" s="1" t="n">
        <v>5000</v>
      </c>
      <c r="D459" s="1" t="n">
        <v>0</v>
      </c>
    </row>
    <row r="460">
      <c r="A460" t="inlineStr">
        <is>
          <t>cost / prog_care / cycle 206</t>
        </is>
      </c>
      <c r="B460" s="1" t="n">
        <v>0</v>
      </c>
      <c r="C460" s="1" t="n">
        <v>5000</v>
      </c>
      <c r="D460" s="1" t="n">
        <v>0</v>
      </c>
    </row>
    <row r="461">
      <c r="A461" t="inlineStr">
        <is>
          <t>cost / prog_care / cycle 207</t>
        </is>
      </c>
      <c r="B461" s="1" t="n">
        <v>0</v>
      </c>
      <c r="C461" s="1" t="n">
        <v>5000</v>
      </c>
      <c r="D461" s="1" t="n">
        <v>0</v>
      </c>
    </row>
    <row r="462">
      <c r="A462" t="inlineStr">
        <is>
          <t>cost / prog_care / cycle 208</t>
        </is>
      </c>
      <c r="B462" s="1" t="n">
        <v>0</v>
      </c>
      <c r="C462" s="1" t="n">
        <v>5000</v>
      </c>
      <c r="D462" s="1" t="n">
        <v>0</v>
      </c>
    </row>
    <row r="463">
      <c r="A463" t="inlineStr">
        <is>
          <t>cost / prog_care / cycle 209</t>
        </is>
      </c>
      <c r="B463" s="1" t="n">
        <v>0</v>
      </c>
      <c r="C463" s="1" t="n">
        <v>5000</v>
      </c>
      <c r="D463" s="1" t="n">
        <v>0</v>
      </c>
    </row>
    <row r="464">
      <c r="A464" t="inlineStr">
        <is>
          <t>cost / prog_care / cycle 210</t>
        </is>
      </c>
      <c r="B464" s="1" t="n">
        <v>0</v>
      </c>
      <c r="C464" s="1" t="n">
        <v>5000</v>
      </c>
      <c r="D464" s="1" t="n">
        <v>0</v>
      </c>
    </row>
    <row r="465">
      <c r="A465" t="inlineStr">
        <is>
          <t>cost / prog_care / cycle 211</t>
        </is>
      </c>
      <c r="B465" s="1" t="n">
        <v>0</v>
      </c>
      <c r="C465" s="1" t="n">
        <v>5000</v>
      </c>
      <c r="D465" s="1" t="n">
        <v>0</v>
      </c>
    </row>
    <row r="466">
      <c r="A466" t="inlineStr">
        <is>
          <t>cost / prog_care / cycle 212</t>
        </is>
      </c>
      <c r="B466" s="1" t="n">
        <v>0</v>
      </c>
      <c r="C466" s="1" t="n">
        <v>5000</v>
      </c>
      <c r="D466" s="1" t="n">
        <v>0</v>
      </c>
    </row>
    <row r="467">
      <c r="A467" t="inlineStr">
        <is>
          <t>cost / prog_care / cycle 213</t>
        </is>
      </c>
      <c r="B467" s="1" t="n">
        <v>0</v>
      </c>
      <c r="C467" s="1" t="n">
        <v>5000</v>
      </c>
      <c r="D467" s="1" t="n">
        <v>0</v>
      </c>
    </row>
    <row r="468">
      <c r="A468" t="inlineStr">
        <is>
          <t>cost / prog_care / cycle 214</t>
        </is>
      </c>
      <c r="B468" s="1" t="n">
        <v>0</v>
      </c>
      <c r="C468" s="1" t="n">
        <v>5000</v>
      </c>
      <c r="D468" s="1" t="n">
        <v>0</v>
      </c>
    </row>
    <row r="469">
      <c r="A469" t="inlineStr">
        <is>
          <t>cost / prog_care / cycle 215</t>
        </is>
      </c>
      <c r="B469" s="1" t="n">
        <v>0</v>
      </c>
      <c r="C469" s="1" t="n">
        <v>5000</v>
      </c>
      <c r="D469" s="1" t="n">
        <v>0</v>
      </c>
    </row>
    <row r="470">
      <c r="A470" t="inlineStr">
        <is>
          <t>cost / prog_care / cycle 216</t>
        </is>
      </c>
      <c r="B470" s="1" t="n">
        <v>0</v>
      </c>
      <c r="C470" s="1" t="n">
        <v>5000</v>
      </c>
      <c r="D470" s="1" t="n">
        <v>0</v>
      </c>
    </row>
    <row r="471">
      <c r="A471" t="inlineStr">
        <is>
          <t>cost / prog_care / cycle 217</t>
        </is>
      </c>
      <c r="B471" s="1" t="n">
        <v>0</v>
      </c>
      <c r="C471" s="1" t="n">
        <v>5000</v>
      </c>
      <c r="D471" s="1" t="n">
        <v>0</v>
      </c>
    </row>
    <row r="472">
      <c r="A472" t="inlineStr">
        <is>
          <t>cost / prog_care / cycle 218</t>
        </is>
      </c>
      <c r="B472" s="1" t="n">
        <v>0</v>
      </c>
      <c r="C472" s="1" t="n">
        <v>5000</v>
      </c>
      <c r="D472" s="1" t="n">
        <v>0</v>
      </c>
    </row>
    <row r="473">
      <c r="A473" t="inlineStr">
        <is>
          <t>cost / prog_care / cycle 219</t>
        </is>
      </c>
      <c r="B473" s="1" t="n">
        <v>0</v>
      </c>
      <c r="C473" s="1" t="n">
        <v>5000</v>
      </c>
      <c r="D473" s="1" t="n">
        <v>0</v>
      </c>
    </row>
    <row r="474">
      <c r="A474" t="inlineStr">
        <is>
          <t>cost / prog_care / cycle 220</t>
        </is>
      </c>
      <c r="B474" s="1" t="n">
        <v>0</v>
      </c>
      <c r="C474" s="1" t="n">
        <v>5000</v>
      </c>
      <c r="D474" s="1" t="n">
        <v>0</v>
      </c>
    </row>
    <row r="475">
      <c r="A475" t="inlineStr">
        <is>
          <t>cost / prog_care / cycle 221</t>
        </is>
      </c>
      <c r="B475" s="1" t="n">
        <v>0</v>
      </c>
      <c r="C475" s="1" t="n">
        <v>5000</v>
      </c>
      <c r="D475" s="1" t="n">
        <v>0</v>
      </c>
    </row>
    <row r="476">
      <c r="A476" t="inlineStr">
        <is>
          <t>cost / prog_care / cycle 222</t>
        </is>
      </c>
      <c r="B476" s="1" t="n">
        <v>0</v>
      </c>
      <c r="C476" s="1" t="n">
        <v>5000</v>
      </c>
      <c r="D476" s="1" t="n">
        <v>0</v>
      </c>
    </row>
    <row r="477">
      <c r="A477" t="inlineStr">
        <is>
          <t>cost / prog_care / cycle 223</t>
        </is>
      </c>
      <c r="B477" s="1" t="n">
        <v>0</v>
      </c>
      <c r="C477" s="1" t="n">
        <v>5000</v>
      </c>
      <c r="D477" s="1" t="n">
        <v>0</v>
      </c>
    </row>
    <row r="478">
      <c r="A478" t="inlineStr">
        <is>
          <t>cost / prog_care / cycle 224</t>
        </is>
      </c>
      <c r="B478" s="1" t="n">
        <v>0</v>
      </c>
      <c r="C478" s="1" t="n">
        <v>5000</v>
      </c>
      <c r="D478" s="1" t="n">
        <v>0</v>
      </c>
    </row>
    <row r="479">
      <c r="A479" t="inlineStr">
        <is>
          <t>cost / prog_care / cycle 225</t>
        </is>
      </c>
      <c r="B479" s="1" t="n">
        <v>0</v>
      </c>
      <c r="C479" s="1" t="n">
        <v>5000</v>
      </c>
      <c r="D479" s="1" t="n">
        <v>0</v>
      </c>
    </row>
    <row r="480">
      <c r="A480" t="inlineStr">
        <is>
          <t>cost / prog_care / cycle 226</t>
        </is>
      </c>
      <c r="B480" s="1" t="n">
        <v>0</v>
      </c>
      <c r="C480" s="1" t="n">
        <v>5000</v>
      </c>
      <c r="D480" s="1" t="n">
        <v>0</v>
      </c>
    </row>
    <row r="481">
      <c r="A481" t="inlineStr">
        <is>
          <t>cost / prog_care / cycle 227</t>
        </is>
      </c>
      <c r="B481" s="1" t="n">
        <v>0</v>
      </c>
      <c r="C481" s="1" t="n">
        <v>5000</v>
      </c>
      <c r="D481" s="1" t="n">
        <v>0</v>
      </c>
    </row>
    <row r="482">
      <c r="A482" t="inlineStr">
        <is>
          <t>cost / prog_care / cycle 228</t>
        </is>
      </c>
      <c r="B482" s="1" t="n">
        <v>0</v>
      </c>
      <c r="C482" s="1" t="n">
        <v>5000</v>
      </c>
      <c r="D482" s="1" t="n">
        <v>0</v>
      </c>
    </row>
    <row r="483">
      <c r="A483" t="inlineStr">
        <is>
          <t>cost / prog_care / cycle 229</t>
        </is>
      </c>
      <c r="B483" s="1" t="n">
        <v>0</v>
      </c>
      <c r="C483" s="1" t="n">
        <v>5000</v>
      </c>
      <c r="D483" s="1" t="n">
        <v>0</v>
      </c>
    </row>
    <row r="484">
      <c r="A484" t="inlineStr">
        <is>
          <t>cost / prog_care / cycle 230</t>
        </is>
      </c>
      <c r="B484" s="1" t="n">
        <v>0</v>
      </c>
      <c r="C484" s="1" t="n">
        <v>5000</v>
      </c>
      <c r="D484" s="1" t="n">
        <v>0</v>
      </c>
    </row>
    <row r="485">
      <c r="A485" t="inlineStr">
        <is>
          <t>cost / prog_care / cycle 231</t>
        </is>
      </c>
      <c r="B485" s="1" t="n">
        <v>0</v>
      </c>
      <c r="C485" s="1" t="n">
        <v>5000</v>
      </c>
      <c r="D485" s="1" t="n">
        <v>0</v>
      </c>
    </row>
    <row r="486">
      <c r="A486" t="inlineStr">
        <is>
          <t>cost / prog_care / cycle 232</t>
        </is>
      </c>
      <c r="B486" s="1" t="n">
        <v>0</v>
      </c>
      <c r="C486" s="1" t="n">
        <v>5000</v>
      </c>
      <c r="D486" s="1" t="n">
        <v>0</v>
      </c>
    </row>
    <row r="487">
      <c r="A487" t="inlineStr">
        <is>
          <t>cost / prog_care / cycle 233</t>
        </is>
      </c>
      <c r="B487" s="1" t="n">
        <v>0</v>
      </c>
      <c r="C487" s="1" t="n">
        <v>5000</v>
      </c>
      <c r="D487" s="1" t="n">
        <v>0</v>
      </c>
    </row>
    <row r="488">
      <c r="A488" t="inlineStr">
        <is>
          <t>cost / prog_care / cycle 234</t>
        </is>
      </c>
      <c r="B488" s="1" t="n">
        <v>0</v>
      </c>
      <c r="C488" s="1" t="n">
        <v>5000</v>
      </c>
      <c r="D488" s="1" t="n">
        <v>0</v>
      </c>
    </row>
    <row r="489">
      <c r="A489" t="inlineStr">
        <is>
          <t>cost / prog_care / cycle 235</t>
        </is>
      </c>
      <c r="B489" s="1" t="n">
        <v>0</v>
      </c>
      <c r="C489" s="1" t="n">
        <v>5000</v>
      </c>
      <c r="D489" s="1" t="n">
        <v>0</v>
      </c>
    </row>
    <row r="490">
      <c r="A490" t="inlineStr">
        <is>
          <t>cost / prog_care / cycle 236</t>
        </is>
      </c>
      <c r="B490" s="1" t="n">
        <v>0</v>
      </c>
      <c r="C490" s="1" t="n">
        <v>5000</v>
      </c>
      <c r="D490" s="1" t="n">
        <v>0</v>
      </c>
    </row>
    <row r="491">
      <c r="A491" t="inlineStr">
        <is>
          <t>cost / prog_care / cycle 237</t>
        </is>
      </c>
      <c r="B491" s="1" t="n">
        <v>0</v>
      </c>
      <c r="C491" s="1" t="n">
        <v>5000</v>
      </c>
      <c r="D491" s="1" t="n">
        <v>0</v>
      </c>
    </row>
    <row r="492">
      <c r="A492" t="inlineStr">
        <is>
          <t>cost / prog_care / cycle 238</t>
        </is>
      </c>
      <c r="B492" s="1" t="n">
        <v>0</v>
      </c>
      <c r="C492" s="1" t="n">
        <v>5000</v>
      </c>
      <c r="D492" s="1" t="n">
        <v>0</v>
      </c>
    </row>
    <row r="493">
      <c r="A493" t="inlineStr">
        <is>
          <t>cost / prog_care / cycle 239</t>
        </is>
      </c>
      <c r="B493" s="1" t="n">
        <v>0</v>
      </c>
      <c r="C493" s="1" t="n">
        <v>5000</v>
      </c>
      <c r="D493" s="1" t="n">
        <v>0</v>
      </c>
    </row>
    <row r="494">
      <c r="A494" t="inlineStr">
        <is>
          <t>cost / prog_care / cycle 240</t>
        </is>
      </c>
      <c r="B494" s="1" t="n">
        <v>0</v>
      </c>
      <c r="C494" s="1" t="n">
        <v>5000</v>
      </c>
      <c r="D494" s="1" t="n">
        <v>0</v>
      </c>
    </row>
    <row r="495">
      <c r="A495" t="inlineStr">
        <is>
          <t>cost / bsc / cycle 1</t>
        </is>
      </c>
      <c r="B495" s="1" t="n">
        <v>1500</v>
      </c>
      <c r="C495" s="1" t="n">
        <v>1500</v>
      </c>
      <c r="D495" s="1" t="n">
        <v>0</v>
      </c>
    </row>
    <row r="496">
      <c r="A496" t="inlineStr">
        <is>
          <t>cost / bsc / cycle 2</t>
        </is>
      </c>
      <c r="B496" s="1" t="n">
        <v>1500</v>
      </c>
      <c r="C496" s="1" t="n">
        <v>1500</v>
      </c>
      <c r="D496" s="1" t="n">
        <v>0</v>
      </c>
    </row>
    <row r="497">
      <c r="A497" t="inlineStr">
        <is>
          <t>cost / bsc / cycle 3</t>
        </is>
      </c>
      <c r="B497" s="1" t="n">
        <v>1500</v>
      </c>
      <c r="C497" s="1" t="n">
        <v>1500</v>
      </c>
      <c r="D497" s="1" t="n">
        <v>0</v>
      </c>
    </row>
    <row r="498">
      <c r="A498" t="inlineStr">
        <is>
          <t>cost / bsc / cycle 4</t>
        </is>
      </c>
      <c r="B498" s="1" t="n">
        <v>1500</v>
      </c>
      <c r="C498" s="1" t="n">
        <v>1500</v>
      </c>
      <c r="D498" s="1" t="n">
        <v>0</v>
      </c>
    </row>
    <row r="499">
      <c r="A499" t="inlineStr">
        <is>
          <t>cost / bsc / cycle 5</t>
        </is>
      </c>
      <c r="B499" s="1" t="n">
        <v>1500</v>
      </c>
      <c r="C499" s="1" t="n">
        <v>1500</v>
      </c>
      <c r="D499" s="1" t="n">
        <v>0</v>
      </c>
    </row>
    <row r="500">
      <c r="A500" t="inlineStr">
        <is>
          <t>cost / bsc / cycle 6</t>
        </is>
      </c>
      <c r="B500" s="1" t="n">
        <v>1500</v>
      </c>
      <c r="C500" s="1" t="n">
        <v>1500</v>
      </c>
      <c r="D500" s="1" t="n">
        <v>0</v>
      </c>
    </row>
    <row r="501">
      <c r="A501" t="inlineStr">
        <is>
          <t>cost / bsc / cycle 7</t>
        </is>
      </c>
      <c r="B501" s="1" t="n">
        <v>1500</v>
      </c>
      <c r="C501" s="1" t="n">
        <v>1500</v>
      </c>
      <c r="D501" s="1" t="n">
        <v>0</v>
      </c>
    </row>
    <row r="502">
      <c r="A502" t="inlineStr">
        <is>
          <t>cost / bsc / cycle 8</t>
        </is>
      </c>
      <c r="B502" s="1" t="n">
        <v>1500</v>
      </c>
      <c r="C502" s="1" t="n">
        <v>1500</v>
      </c>
      <c r="D502" s="1" t="n">
        <v>0</v>
      </c>
    </row>
    <row r="503">
      <c r="A503" t="inlineStr">
        <is>
          <t>cost / bsc / cycle 9</t>
        </is>
      </c>
      <c r="B503" s="1" t="n">
        <v>1500</v>
      </c>
      <c r="C503" s="1" t="n">
        <v>1500</v>
      </c>
      <c r="D503" s="1" t="n">
        <v>0</v>
      </c>
    </row>
    <row r="504">
      <c r="A504" t="inlineStr">
        <is>
          <t>cost / bsc / cycle 10</t>
        </is>
      </c>
      <c r="B504" s="1" t="n">
        <v>1500</v>
      </c>
      <c r="C504" s="1" t="n">
        <v>1500</v>
      </c>
      <c r="D504" s="1" t="n">
        <v>0</v>
      </c>
    </row>
    <row r="505">
      <c r="A505" t="inlineStr">
        <is>
          <t>cost / bsc / cycle 11</t>
        </is>
      </c>
      <c r="B505" s="1" t="n">
        <v>1500</v>
      </c>
      <c r="C505" s="1" t="n">
        <v>1500</v>
      </c>
      <c r="D505" s="1" t="n">
        <v>0</v>
      </c>
    </row>
    <row r="506">
      <c r="A506" t="inlineStr">
        <is>
          <t>cost / bsc / cycle 12</t>
        </is>
      </c>
      <c r="B506" s="1" t="n">
        <v>1500</v>
      </c>
      <c r="C506" s="1" t="n">
        <v>1500</v>
      </c>
      <c r="D506" s="1" t="n">
        <v>0</v>
      </c>
    </row>
    <row r="507">
      <c r="A507" t="inlineStr">
        <is>
          <t>cost / bsc / cycle 13</t>
        </is>
      </c>
      <c r="B507" s="1" t="n">
        <v>1500</v>
      </c>
      <c r="C507" s="1" t="n">
        <v>1500</v>
      </c>
      <c r="D507" s="1" t="n">
        <v>0</v>
      </c>
    </row>
    <row r="508">
      <c r="A508" t="inlineStr">
        <is>
          <t>cost / bsc / cycle 14</t>
        </is>
      </c>
      <c r="B508" s="1" t="n">
        <v>1500</v>
      </c>
      <c r="C508" s="1" t="n">
        <v>1500</v>
      </c>
      <c r="D508" s="1" t="n">
        <v>0</v>
      </c>
    </row>
    <row r="509">
      <c r="A509" t="inlineStr">
        <is>
          <t>cost / bsc / cycle 15</t>
        </is>
      </c>
      <c r="B509" s="1" t="n">
        <v>1500</v>
      </c>
      <c r="C509" s="1" t="n">
        <v>1500</v>
      </c>
      <c r="D509" s="1" t="n">
        <v>0</v>
      </c>
    </row>
    <row r="510">
      <c r="A510" t="inlineStr">
        <is>
          <t>cost / bsc / cycle 16</t>
        </is>
      </c>
      <c r="B510" s="1" t="n">
        <v>1500</v>
      </c>
      <c r="C510" s="1" t="n">
        <v>1500</v>
      </c>
      <c r="D510" s="1" t="n">
        <v>0</v>
      </c>
    </row>
    <row r="511">
      <c r="A511" t="inlineStr">
        <is>
          <t>cost / bsc / cycle 17</t>
        </is>
      </c>
      <c r="B511" s="1" t="n">
        <v>1500</v>
      </c>
      <c r="C511" s="1" t="n">
        <v>1500</v>
      </c>
      <c r="D511" s="1" t="n">
        <v>0</v>
      </c>
    </row>
    <row r="512">
      <c r="A512" t="inlineStr">
        <is>
          <t>cost / bsc / cycle 18</t>
        </is>
      </c>
      <c r="B512" s="1" t="n">
        <v>1500</v>
      </c>
      <c r="C512" s="1" t="n">
        <v>1500</v>
      </c>
      <c r="D512" s="1" t="n">
        <v>0</v>
      </c>
    </row>
    <row r="513">
      <c r="A513" t="inlineStr">
        <is>
          <t>cost / bsc / cycle 19</t>
        </is>
      </c>
      <c r="B513" s="1" t="n">
        <v>1500</v>
      </c>
      <c r="C513" s="1" t="n">
        <v>1500</v>
      </c>
      <c r="D513" s="1" t="n">
        <v>0</v>
      </c>
    </row>
    <row r="514">
      <c r="A514" t="inlineStr">
        <is>
          <t>cost / bsc / cycle 20</t>
        </is>
      </c>
      <c r="B514" s="1" t="n">
        <v>1500</v>
      </c>
      <c r="C514" s="1" t="n">
        <v>1500</v>
      </c>
      <c r="D514" s="1" t="n">
        <v>0</v>
      </c>
    </row>
    <row r="515">
      <c r="A515" t="inlineStr">
        <is>
          <t>cost / bsc / cycle 21</t>
        </is>
      </c>
      <c r="B515" s="1" t="n">
        <v>1500</v>
      </c>
      <c r="C515" s="1" t="n">
        <v>1500</v>
      </c>
      <c r="D515" s="1" t="n">
        <v>0</v>
      </c>
    </row>
    <row r="516">
      <c r="A516" t="inlineStr">
        <is>
          <t>cost / bsc / cycle 22</t>
        </is>
      </c>
      <c r="B516" s="1" t="n">
        <v>1500</v>
      </c>
      <c r="C516" s="1" t="n">
        <v>1500</v>
      </c>
      <c r="D516" s="1" t="n">
        <v>0</v>
      </c>
    </row>
    <row r="517">
      <c r="A517" t="inlineStr">
        <is>
          <t>cost / bsc / cycle 23</t>
        </is>
      </c>
      <c r="B517" s="1" t="n">
        <v>1500</v>
      </c>
      <c r="C517" s="1" t="n">
        <v>1500</v>
      </c>
      <c r="D517" s="1" t="n">
        <v>0</v>
      </c>
    </row>
    <row r="518">
      <c r="A518" t="inlineStr">
        <is>
          <t>cost / bsc / cycle 24</t>
        </is>
      </c>
      <c r="B518" s="1" t="n">
        <v>1500</v>
      </c>
      <c r="C518" s="1" t="n">
        <v>1500</v>
      </c>
      <c r="D518" s="1" t="n">
        <v>0</v>
      </c>
    </row>
    <row r="519">
      <c r="A519" t="inlineStr">
        <is>
          <t>cost / bsc / cycle 25</t>
        </is>
      </c>
      <c r="B519" s="1" t="n">
        <v>1500</v>
      </c>
      <c r="C519" s="1" t="n">
        <v>1500</v>
      </c>
      <c r="D519" s="1" t="n">
        <v>0</v>
      </c>
    </row>
    <row r="520">
      <c r="A520" t="inlineStr">
        <is>
          <t>cost / bsc / cycle 26</t>
        </is>
      </c>
      <c r="B520" s="1" t="n">
        <v>1500</v>
      </c>
      <c r="C520" s="1" t="n">
        <v>1500</v>
      </c>
      <c r="D520" s="1" t="n">
        <v>0</v>
      </c>
    </row>
    <row r="521">
      <c r="A521" t="inlineStr">
        <is>
          <t>cost / bsc / cycle 27</t>
        </is>
      </c>
      <c r="B521" s="1" t="n">
        <v>1500</v>
      </c>
      <c r="C521" s="1" t="n">
        <v>1500</v>
      </c>
      <c r="D521" s="1" t="n">
        <v>0</v>
      </c>
    </row>
    <row r="522">
      <c r="A522" t="inlineStr">
        <is>
          <t>cost / bsc / cycle 28</t>
        </is>
      </c>
      <c r="B522" s="1" t="n">
        <v>1500</v>
      </c>
      <c r="C522" s="1" t="n">
        <v>1500</v>
      </c>
      <c r="D522" s="1" t="n">
        <v>0</v>
      </c>
    </row>
    <row r="523">
      <c r="A523" t="inlineStr">
        <is>
          <t>cost / bsc / cycle 29</t>
        </is>
      </c>
      <c r="B523" s="1" t="n">
        <v>1500</v>
      </c>
      <c r="C523" s="1" t="n">
        <v>1500</v>
      </c>
      <c r="D523" s="1" t="n">
        <v>0</v>
      </c>
    </row>
    <row r="524">
      <c r="A524" t="inlineStr">
        <is>
          <t>cost / bsc / cycle 30</t>
        </is>
      </c>
      <c r="B524" s="1" t="n">
        <v>1500</v>
      </c>
      <c r="C524" s="1" t="n">
        <v>1500</v>
      </c>
      <c r="D524" s="1" t="n">
        <v>0</v>
      </c>
    </row>
    <row r="525">
      <c r="A525" t="inlineStr">
        <is>
          <t>cost / bsc / cycle 31</t>
        </is>
      </c>
      <c r="B525" s="1" t="n">
        <v>1500</v>
      </c>
      <c r="C525" s="1" t="n">
        <v>1500</v>
      </c>
      <c r="D525" s="1" t="n">
        <v>0</v>
      </c>
    </row>
    <row r="526">
      <c r="A526" t="inlineStr">
        <is>
          <t>cost / bsc / cycle 32</t>
        </is>
      </c>
      <c r="B526" s="1" t="n">
        <v>1500</v>
      </c>
      <c r="C526" s="1" t="n">
        <v>1500</v>
      </c>
      <c r="D526" s="1" t="n">
        <v>0</v>
      </c>
    </row>
    <row r="527">
      <c r="A527" t="inlineStr">
        <is>
          <t>cost / bsc / cycle 33</t>
        </is>
      </c>
      <c r="B527" s="1" t="n">
        <v>1500</v>
      </c>
      <c r="C527" s="1" t="n">
        <v>1500</v>
      </c>
      <c r="D527" s="1" t="n">
        <v>0</v>
      </c>
    </row>
    <row r="528">
      <c r="A528" t="inlineStr">
        <is>
          <t>cost / bsc / cycle 34</t>
        </is>
      </c>
      <c r="B528" s="1" t="n">
        <v>1500</v>
      </c>
      <c r="C528" s="1" t="n">
        <v>1500</v>
      </c>
      <c r="D528" s="1" t="n">
        <v>0</v>
      </c>
    </row>
    <row r="529">
      <c r="A529" t="inlineStr">
        <is>
          <t>cost / bsc / cycle 35</t>
        </is>
      </c>
      <c r="B529" s="1" t="n">
        <v>1500</v>
      </c>
      <c r="C529" s="1" t="n">
        <v>1500</v>
      </c>
      <c r="D529" s="1" t="n">
        <v>0</v>
      </c>
    </row>
    <row r="530">
      <c r="A530" t="inlineStr">
        <is>
          <t>cost / bsc / cycle 36</t>
        </is>
      </c>
      <c r="B530" s="1" t="n">
        <v>1500</v>
      </c>
      <c r="C530" s="1" t="n">
        <v>1500</v>
      </c>
      <c r="D530" s="1" t="n">
        <v>0</v>
      </c>
    </row>
    <row r="531">
      <c r="A531" t="inlineStr">
        <is>
          <t>cost / bsc / cycle 37</t>
        </is>
      </c>
      <c r="B531" s="1" t="n">
        <v>1500</v>
      </c>
      <c r="C531" s="1" t="n">
        <v>1500</v>
      </c>
      <c r="D531" s="1" t="n">
        <v>0</v>
      </c>
    </row>
    <row r="532">
      <c r="A532" t="inlineStr">
        <is>
          <t>cost / bsc / cycle 38</t>
        </is>
      </c>
      <c r="B532" s="1" t="n">
        <v>1500</v>
      </c>
      <c r="C532" s="1" t="n">
        <v>1500</v>
      </c>
      <c r="D532" s="1" t="n">
        <v>0</v>
      </c>
    </row>
    <row r="533">
      <c r="A533" t="inlineStr">
        <is>
          <t>cost / bsc / cycle 39</t>
        </is>
      </c>
      <c r="B533" s="1" t="n">
        <v>1500</v>
      </c>
      <c r="C533" s="1" t="n">
        <v>1500</v>
      </c>
      <c r="D533" s="1" t="n">
        <v>0</v>
      </c>
    </row>
    <row r="534">
      <c r="A534" t="inlineStr">
        <is>
          <t>cost / bsc / cycle 40</t>
        </is>
      </c>
      <c r="B534" s="1" t="n">
        <v>1500</v>
      </c>
      <c r="C534" s="1" t="n">
        <v>1500</v>
      </c>
      <c r="D534" s="1" t="n">
        <v>0</v>
      </c>
    </row>
    <row r="535">
      <c r="A535" t="inlineStr">
        <is>
          <t>cost / bsc / cycle 41</t>
        </is>
      </c>
      <c r="B535" s="1" t="n">
        <v>1500</v>
      </c>
      <c r="C535" s="1" t="n">
        <v>1500</v>
      </c>
      <c r="D535" s="1" t="n">
        <v>0</v>
      </c>
    </row>
    <row r="536">
      <c r="A536" t="inlineStr">
        <is>
          <t>cost / bsc / cycle 42</t>
        </is>
      </c>
      <c r="B536" s="1" t="n">
        <v>1500</v>
      </c>
      <c r="C536" s="1" t="n">
        <v>1500</v>
      </c>
      <c r="D536" s="1" t="n">
        <v>0</v>
      </c>
    </row>
    <row r="537">
      <c r="A537" t="inlineStr">
        <is>
          <t>cost / bsc / cycle 43</t>
        </is>
      </c>
      <c r="B537" s="1" t="n">
        <v>1500</v>
      </c>
      <c r="C537" s="1" t="n">
        <v>1500</v>
      </c>
      <c r="D537" s="1" t="n">
        <v>0</v>
      </c>
    </row>
    <row r="538">
      <c r="A538" t="inlineStr">
        <is>
          <t>cost / bsc / cycle 44</t>
        </is>
      </c>
      <c r="B538" s="1" t="n">
        <v>1500</v>
      </c>
      <c r="C538" s="1" t="n">
        <v>1500</v>
      </c>
      <c r="D538" s="1" t="n">
        <v>0</v>
      </c>
    </row>
    <row r="539">
      <c r="A539" t="inlineStr">
        <is>
          <t>cost / bsc / cycle 45</t>
        </is>
      </c>
      <c r="B539" s="1" t="n">
        <v>1500</v>
      </c>
      <c r="C539" s="1" t="n">
        <v>1500</v>
      </c>
      <c r="D539" s="1" t="n">
        <v>0</v>
      </c>
    </row>
    <row r="540">
      <c r="A540" t="inlineStr">
        <is>
          <t>cost / bsc / cycle 46</t>
        </is>
      </c>
      <c r="B540" s="1" t="n">
        <v>1500</v>
      </c>
      <c r="C540" s="1" t="n">
        <v>1500</v>
      </c>
      <c r="D540" s="1" t="n">
        <v>0</v>
      </c>
    </row>
    <row r="541">
      <c r="A541" t="inlineStr">
        <is>
          <t>cost / bsc / cycle 47</t>
        </is>
      </c>
      <c r="B541" s="1" t="n">
        <v>1500</v>
      </c>
      <c r="C541" s="1" t="n">
        <v>1500</v>
      </c>
      <c r="D541" s="1" t="n">
        <v>0</v>
      </c>
    </row>
    <row r="542">
      <c r="A542" t="inlineStr">
        <is>
          <t>cost / bsc / cycle 48</t>
        </is>
      </c>
      <c r="B542" s="1" t="n">
        <v>1500</v>
      </c>
      <c r="C542" s="1" t="n">
        <v>1500</v>
      </c>
      <c r="D542" s="1" t="n">
        <v>0</v>
      </c>
    </row>
    <row r="543">
      <c r="A543" t="inlineStr">
        <is>
          <t>cost / bsc / cycle 49</t>
        </is>
      </c>
      <c r="B543" s="1" t="n">
        <v>1500</v>
      </c>
      <c r="C543" s="1" t="n">
        <v>1500</v>
      </c>
      <c r="D543" s="1" t="n">
        <v>0</v>
      </c>
    </row>
    <row r="544">
      <c r="A544" t="inlineStr">
        <is>
          <t>cost / bsc / cycle 50</t>
        </is>
      </c>
      <c r="B544" s="1" t="n">
        <v>1500</v>
      </c>
      <c r="C544" s="1" t="n">
        <v>1500</v>
      </c>
      <c r="D544" s="1" t="n">
        <v>0</v>
      </c>
    </row>
    <row r="545">
      <c r="A545" t="inlineStr">
        <is>
          <t>cost / bsc / cycle 51</t>
        </is>
      </c>
      <c r="B545" s="1" t="n">
        <v>1500</v>
      </c>
      <c r="C545" s="1" t="n">
        <v>1500</v>
      </c>
      <c r="D545" s="1" t="n">
        <v>0</v>
      </c>
    </row>
    <row r="546">
      <c r="A546" t="inlineStr">
        <is>
          <t>cost / bsc / cycle 52</t>
        </is>
      </c>
      <c r="B546" s="1" t="n">
        <v>1500</v>
      </c>
      <c r="C546" s="1" t="n">
        <v>1500</v>
      </c>
      <c r="D546" s="1" t="n">
        <v>0</v>
      </c>
    </row>
    <row r="547">
      <c r="A547" t="inlineStr">
        <is>
          <t>cost / bsc / cycle 53</t>
        </is>
      </c>
      <c r="B547" s="1" t="n">
        <v>1500</v>
      </c>
      <c r="C547" s="1" t="n">
        <v>1500</v>
      </c>
      <c r="D547" s="1" t="n">
        <v>0</v>
      </c>
    </row>
    <row r="548">
      <c r="A548" t="inlineStr">
        <is>
          <t>cost / bsc / cycle 54</t>
        </is>
      </c>
      <c r="B548" s="1" t="n">
        <v>1500</v>
      </c>
      <c r="C548" s="1" t="n">
        <v>1500</v>
      </c>
      <c r="D548" s="1" t="n">
        <v>0</v>
      </c>
    </row>
    <row r="549">
      <c r="A549" t="inlineStr">
        <is>
          <t>cost / bsc / cycle 55</t>
        </is>
      </c>
      <c r="B549" s="1" t="n">
        <v>1500</v>
      </c>
      <c r="C549" s="1" t="n">
        <v>1500</v>
      </c>
      <c r="D549" s="1" t="n">
        <v>0</v>
      </c>
    </row>
    <row r="550">
      <c r="A550" t="inlineStr">
        <is>
          <t>cost / bsc / cycle 56</t>
        </is>
      </c>
      <c r="B550" s="1" t="n">
        <v>1500</v>
      </c>
      <c r="C550" s="1" t="n">
        <v>1500</v>
      </c>
      <c r="D550" s="1" t="n">
        <v>0</v>
      </c>
    </row>
    <row r="551">
      <c r="A551" t="inlineStr">
        <is>
          <t>cost / bsc / cycle 57</t>
        </is>
      </c>
      <c r="B551" s="1" t="n">
        <v>1500</v>
      </c>
      <c r="C551" s="1" t="n">
        <v>1500</v>
      </c>
      <c r="D551" s="1" t="n">
        <v>0</v>
      </c>
    </row>
    <row r="552">
      <c r="A552" t="inlineStr">
        <is>
          <t>cost / bsc / cycle 58</t>
        </is>
      </c>
      <c r="B552" s="1" t="n">
        <v>1500</v>
      </c>
      <c r="C552" s="1" t="n">
        <v>1500</v>
      </c>
      <c r="D552" s="1" t="n">
        <v>0</v>
      </c>
    </row>
    <row r="553">
      <c r="A553" t="inlineStr">
        <is>
          <t>cost / bsc / cycle 59</t>
        </is>
      </c>
      <c r="B553" s="1" t="n">
        <v>1500</v>
      </c>
      <c r="C553" s="1" t="n">
        <v>1500</v>
      </c>
      <c r="D553" s="1" t="n">
        <v>0</v>
      </c>
    </row>
    <row r="554">
      <c r="A554" t="inlineStr">
        <is>
          <t>cost / bsc / cycle 60</t>
        </is>
      </c>
      <c r="B554" s="1" t="n">
        <v>1500</v>
      </c>
      <c r="C554" s="1" t="n">
        <v>1500</v>
      </c>
      <c r="D554" s="1" t="n">
        <v>0</v>
      </c>
    </row>
    <row r="555">
      <c r="A555" t="inlineStr">
        <is>
          <t>cost / bsc / cycle 61</t>
        </is>
      </c>
      <c r="B555" s="1" t="n">
        <v>1500</v>
      </c>
      <c r="C555" s="1" t="n">
        <v>1500</v>
      </c>
      <c r="D555" s="1" t="n">
        <v>0</v>
      </c>
    </row>
    <row r="556">
      <c r="A556" t="inlineStr">
        <is>
          <t>cost / bsc / cycle 62</t>
        </is>
      </c>
      <c r="B556" s="1" t="n">
        <v>1500</v>
      </c>
      <c r="C556" s="1" t="n">
        <v>1500</v>
      </c>
      <c r="D556" s="1" t="n">
        <v>0</v>
      </c>
    </row>
    <row r="557">
      <c r="A557" t="inlineStr">
        <is>
          <t>cost / bsc / cycle 63</t>
        </is>
      </c>
      <c r="B557" s="1" t="n">
        <v>1500</v>
      </c>
      <c r="C557" s="1" t="n">
        <v>1500</v>
      </c>
      <c r="D557" s="1" t="n">
        <v>0</v>
      </c>
    </row>
    <row r="558">
      <c r="A558" t="inlineStr">
        <is>
          <t>cost / bsc / cycle 64</t>
        </is>
      </c>
      <c r="B558" s="1" t="n">
        <v>1500</v>
      </c>
      <c r="C558" s="1" t="n">
        <v>1500</v>
      </c>
      <c r="D558" s="1" t="n">
        <v>0</v>
      </c>
    </row>
    <row r="559">
      <c r="A559" t="inlineStr">
        <is>
          <t>cost / bsc / cycle 65</t>
        </is>
      </c>
      <c r="B559" s="1" t="n">
        <v>1500</v>
      </c>
      <c r="C559" s="1" t="n">
        <v>1500</v>
      </c>
      <c r="D559" s="1" t="n">
        <v>0</v>
      </c>
    </row>
    <row r="560">
      <c r="A560" t="inlineStr">
        <is>
          <t>cost / bsc / cycle 66</t>
        </is>
      </c>
      <c r="B560" s="1" t="n">
        <v>1500</v>
      </c>
      <c r="C560" s="1" t="n">
        <v>1500</v>
      </c>
      <c r="D560" s="1" t="n">
        <v>0</v>
      </c>
    </row>
    <row r="561">
      <c r="A561" t="inlineStr">
        <is>
          <t>cost / bsc / cycle 67</t>
        </is>
      </c>
      <c r="B561" s="1" t="n">
        <v>1500</v>
      </c>
      <c r="C561" s="1" t="n">
        <v>1500</v>
      </c>
      <c r="D561" s="1" t="n">
        <v>0</v>
      </c>
    </row>
    <row r="562">
      <c r="A562" t="inlineStr">
        <is>
          <t>cost / bsc / cycle 68</t>
        </is>
      </c>
      <c r="B562" s="1" t="n">
        <v>1500</v>
      </c>
      <c r="C562" s="1" t="n">
        <v>1500</v>
      </c>
      <c r="D562" s="1" t="n">
        <v>0</v>
      </c>
    </row>
    <row r="563">
      <c r="A563" t="inlineStr">
        <is>
          <t>cost / bsc / cycle 69</t>
        </is>
      </c>
      <c r="B563" s="1" t="n">
        <v>1500</v>
      </c>
      <c r="C563" s="1" t="n">
        <v>1500</v>
      </c>
      <c r="D563" s="1" t="n">
        <v>0</v>
      </c>
    </row>
    <row r="564">
      <c r="A564" t="inlineStr">
        <is>
          <t>cost / bsc / cycle 70</t>
        </is>
      </c>
      <c r="B564" s="1" t="n">
        <v>1500</v>
      </c>
      <c r="C564" s="1" t="n">
        <v>1500</v>
      </c>
      <c r="D564" s="1" t="n">
        <v>0</v>
      </c>
    </row>
    <row r="565">
      <c r="A565" t="inlineStr">
        <is>
          <t>cost / bsc / cycle 71</t>
        </is>
      </c>
      <c r="B565" s="1" t="n">
        <v>1500</v>
      </c>
      <c r="C565" s="1" t="n">
        <v>1500</v>
      </c>
      <c r="D565" s="1" t="n">
        <v>0</v>
      </c>
    </row>
    <row r="566">
      <c r="A566" t="inlineStr">
        <is>
          <t>cost / bsc / cycle 72</t>
        </is>
      </c>
      <c r="B566" s="1" t="n">
        <v>1500</v>
      </c>
      <c r="C566" s="1" t="n">
        <v>1500</v>
      </c>
      <c r="D566" s="1" t="n">
        <v>0</v>
      </c>
    </row>
    <row r="567">
      <c r="A567" t="inlineStr">
        <is>
          <t>cost / bsc / cycle 73</t>
        </is>
      </c>
      <c r="B567" s="1" t="n">
        <v>1500</v>
      </c>
      <c r="C567" s="1" t="n">
        <v>1500</v>
      </c>
      <c r="D567" s="1" t="n">
        <v>0</v>
      </c>
    </row>
    <row r="568">
      <c r="A568" t="inlineStr">
        <is>
          <t>cost / bsc / cycle 74</t>
        </is>
      </c>
      <c r="B568" s="1" t="n">
        <v>1500</v>
      </c>
      <c r="C568" s="1" t="n">
        <v>1500</v>
      </c>
      <c r="D568" s="1" t="n">
        <v>0</v>
      </c>
    </row>
    <row r="569">
      <c r="A569" t="inlineStr">
        <is>
          <t>cost / bsc / cycle 75</t>
        </is>
      </c>
      <c r="B569" s="1" t="n">
        <v>1500</v>
      </c>
      <c r="C569" s="1" t="n">
        <v>1500</v>
      </c>
      <c r="D569" s="1" t="n">
        <v>0</v>
      </c>
    </row>
    <row r="570">
      <c r="A570" t="inlineStr">
        <is>
          <t>cost / bsc / cycle 76</t>
        </is>
      </c>
      <c r="B570" s="1" t="n">
        <v>1500</v>
      </c>
      <c r="C570" s="1" t="n">
        <v>1500</v>
      </c>
      <c r="D570" s="1" t="n">
        <v>0</v>
      </c>
    </row>
    <row r="571">
      <c r="A571" t="inlineStr">
        <is>
          <t>cost / bsc / cycle 77</t>
        </is>
      </c>
      <c r="B571" s="1" t="n">
        <v>1500</v>
      </c>
      <c r="C571" s="1" t="n">
        <v>1500</v>
      </c>
      <c r="D571" s="1" t="n">
        <v>0</v>
      </c>
    </row>
    <row r="572">
      <c r="A572" t="inlineStr">
        <is>
          <t>cost / bsc / cycle 78</t>
        </is>
      </c>
      <c r="B572" s="1" t="n">
        <v>1500</v>
      </c>
      <c r="C572" s="1" t="n">
        <v>1500</v>
      </c>
      <c r="D572" s="1" t="n">
        <v>0</v>
      </c>
    </row>
    <row r="573">
      <c r="A573" t="inlineStr">
        <is>
          <t>cost / bsc / cycle 79</t>
        </is>
      </c>
      <c r="B573" s="1" t="n">
        <v>1500</v>
      </c>
      <c r="C573" s="1" t="n">
        <v>1500</v>
      </c>
      <c r="D573" s="1" t="n">
        <v>0</v>
      </c>
    </row>
    <row r="574">
      <c r="A574" t="inlineStr">
        <is>
          <t>cost / bsc / cycle 80</t>
        </is>
      </c>
      <c r="B574" s="1" t="n">
        <v>1500</v>
      </c>
      <c r="C574" s="1" t="n">
        <v>1500</v>
      </c>
      <c r="D574" s="1" t="n">
        <v>0</v>
      </c>
    </row>
    <row r="575">
      <c r="A575" t="inlineStr">
        <is>
          <t>cost / bsc / cycle 81</t>
        </is>
      </c>
      <c r="B575" s="1" t="n">
        <v>1500</v>
      </c>
      <c r="C575" s="1" t="n">
        <v>1500</v>
      </c>
      <c r="D575" s="1" t="n">
        <v>0</v>
      </c>
    </row>
    <row r="576">
      <c r="A576" t="inlineStr">
        <is>
          <t>cost / bsc / cycle 82</t>
        </is>
      </c>
      <c r="B576" s="1" t="n">
        <v>1500</v>
      </c>
      <c r="C576" s="1" t="n">
        <v>1500</v>
      </c>
      <c r="D576" s="1" t="n">
        <v>0</v>
      </c>
    </row>
    <row r="577">
      <c r="A577" t="inlineStr">
        <is>
          <t>cost / bsc / cycle 83</t>
        </is>
      </c>
      <c r="B577" s="1" t="n">
        <v>1500</v>
      </c>
      <c r="C577" s="1" t="n">
        <v>1500</v>
      </c>
      <c r="D577" s="1" t="n">
        <v>0</v>
      </c>
    </row>
    <row r="578">
      <c r="A578" t="inlineStr">
        <is>
          <t>cost / bsc / cycle 84</t>
        </is>
      </c>
      <c r="B578" s="1" t="n">
        <v>1500</v>
      </c>
      <c r="C578" s="1" t="n">
        <v>1500</v>
      </c>
      <c r="D578" s="1" t="n">
        <v>0</v>
      </c>
    </row>
    <row r="579">
      <c r="A579" t="inlineStr">
        <is>
          <t>cost / bsc / cycle 85</t>
        </is>
      </c>
      <c r="B579" s="1" t="n">
        <v>1500</v>
      </c>
      <c r="C579" s="1" t="n">
        <v>1500</v>
      </c>
      <c r="D579" s="1" t="n">
        <v>0</v>
      </c>
    </row>
    <row r="580">
      <c r="A580" t="inlineStr">
        <is>
          <t>cost / bsc / cycle 86</t>
        </is>
      </c>
      <c r="B580" s="1" t="n">
        <v>1500</v>
      </c>
      <c r="C580" s="1" t="n">
        <v>1500</v>
      </c>
      <c r="D580" s="1" t="n">
        <v>0</v>
      </c>
    </row>
    <row r="581">
      <c r="A581" t="inlineStr">
        <is>
          <t>cost / bsc / cycle 87</t>
        </is>
      </c>
      <c r="B581" s="1" t="n">
        <v>1500</v>
      </c>
      <c r="C581" s="1" t="n">
        <v>1500</v>
      </c>
      <c r="D581" s="1" t="n">
        <v>0</v>
      </c>
    </row>
    <row r="582">
      <c r="A582" t="inlineStr">
        <is>
          <t>cost / bsc / cycle 88</t>
        </is>
      </c>
      <c r="B582" s="1" t="n">
        <v>1500</v>
      </c>
      <c r="C582" s="1" t="n">
        <v>1500</v>
      </c>
      <c r="D582" s="1" t="n">
        <v>0</v>
      </c>
    </row>
    <row r="583">
      <c r="A583" t="inlineStr">
        <is>
          <t>cost / bsc / cycle 89</t>
        </is>
      </c>
      <c r="B583" s="1" t="n">
        <v>1500</v>
      </c>
      <c r="C583" s="1" t="n">
        <v>1500</v>
      </c>
      <c r="D583" s="1" t="n">
        <v>0</v>
      </c>
    </row>
    <row r="584">
      <c r="A584" t="inlineStr">
        <is>
          <t>cost / bsc / cycle 90</t>
        </is>
      </c>
      <c r="B584" s="1" t="n">
        <v>1500</v>
      </c>
      <c r="C584" s="1" t="n">
        <v>1500</v>
      </c>
      <c r="D584" s="1" t="n">
        <v>0</v>
      </c>
    </row>
    <row r="585">
      <c r="A585" t="inlineStr">
        <is>
          <t>cost / bsc / cycle 91</t>
        </is>
      </c>
      <c r="B585" s="1" t="n">
        <v>1500</v>
      </c>
      <c r="C585" s="1" t="n">
        <v>1500</v>
      </c>
      <c r="D585" s="1" t="n">
        <v>0</v>
      </c>
    </row>
    <row r="586">
      <c r="A586" t="inlineStr">
        <is>
          <t>cost / bsc / cycle 92</t>
        </is>
      </c>
      <c r="B586" s="1" t="n">
        <v>1500</v>
      </c>
      <c r="C586" s="1" t="n">
        <v>1500</v>
      </c>
      <c r="D586" s="1" t="n">
        <v>0</v>
      </c>
    </row>
    <row r="587">
      <c r="A587" t="inlineStr">
        <is>
          <t>cost / bsc / cycle 93</t>
        </is>
      </c>
      <c r="B587" s="1" t="n">
        <v>1500</v>
      </c>
      <c r="C587" s="1" t="n">
        <v>1500</v>
      </c>
      <c r="D587" s="1" t="n">
        <v>0</v>
      </c>
    </row>
    <row r="588">
      <c r="A588" t="inlineStr">
        <is>
          <t>cost / bsc / cycle 94</t>
        </is>
      </c>
      <c r="B588" s="1" t="n">
        <v>1500</v>
      </c>
      <c r="C588" s="1" t="n">
        <v>1500</v>
      </c>
      <c r="D588" s="1" t="n">
        <v>0</v>
      </c>
    </row>
    <row r="589">
      <c r="A589" t="inlineStr">
        <is>
          <t>cost / bsc / cycle 95</t>
        </is>
      </c>
      <c r="B589" s="1" t="n">
        <v>1500</v>
      </c>
      <c r="C589" s="1" t="n">
        <v>1500</v>
      </c>
      <c r="D589" s="1" t="n">
        <v>0</v>
      </c>
    </row>
    <row r="590">
      <c r="A590" t="inlineStr">
        <is>
          <t>cost / bsc / cycle 96</t>
        </is>
      </c>
      <c r="B590" s="1" t="n">
        <v>1500</v>
      </c>
      <c r="C590" s="1" t="n">
        <v>1500</v>
      </c>
      <c r="D590" s="1" t="n">
        <v>0</v>
      </c>
    </row>
    <row r="591">
      <c r="A591" t="inlineStr">
        <is>
          <t>cost / bsc / cycle 97</t>
        </is>
      </c>
      <c r="B591" s="1" t="n">
        <v>1500</v>
      </c>
      <c r="C591" s="1" t="n">
        <v>1500</v>
      </c>
      <c r="D591" s="1" t="n">
        <v>0</v>
      </c>
    </row>
    <row r="592">
      <c r="A592" t="inlineStr">
        <is>
          <t>cost / bsc / cycle 98</t>
        </is>
      </c>
      <c r="B592" s="1" t="n">
        <v>1500</v>
      </c>
      <c r="C592" s="1" t="n">
        <v>1500</v>
      </c>
      <c r="D592" s="1" t="n">
        <v>0</v>
      </c>
    </row>
    <row r="593">
      <c r="A593" t="inlineStr">
        <is>
          <t>cost / bsc / cycle 99</t>
        </is>
      </c>
      <c r="B593" s="1" t="n">
        <v>1500</v>
      </c>
      <c r="C593" s="1" t="n">
        <v>1500</v>
      </c>
      <c r="D593" s="1" t="n">
        <v>0</v>
      </c>
    </row>
    <row r="594">
      <c r="A594" t="inlineStr">
        <is>
          <t>cost / bsc / cycle 100</t>
        </is>
      </c>
      <c r="B594" s="1" t="n">
        <v>1500</v>
      </c>
      <c r="C594" s="1" t="n">
        <v>1500</v>
      </c>
      <c r="D594" s="1" t="n">
        <v>0</v>
      </c>
    </row>
    <row r="595">
      <c r="A595" t="inlineStr">
        <is>
          <t>cost / bsc / cycle 101</t>
        </is>
      </c>
      <c r="B595" s="1" t="n">
        <v>1500</v>
      </c>
      <c r="C595" s="1" t="n">
        <v>1500</v>
      </c>
      <c r="D595" s="1" t="n">
        <v>0</v>
      </c>
    </row>
    <row r="596">
      <c r="A596" t="inlineStr">
        <is>
          <t>cost / bsc / cycle 102</t>
        </is>
      </c>
      <c r="B596" s="1" t="n">
        <v>1500</v>
      </c>
      <c r="C596" s="1" t="n">
        <v>1500</v>
      </c>
      <c r="D596" s="1" t="n">
        <v>0</v>
      </c>
    </row>
    <row r="597">
      <c r="A597" t="inlineStr">
        <is>
          <t>cost / bsc / cycle 103</t>
        </is>
      </c>
      <c r="B597" s="1" t="n">
        <v>1500</v>
      </c>
      <c r="C597" s="1" t="n">
        <v>1500</v>
      </c>
      <c r="D597" s="1" t="n">
        <v>0</v>
      </c>
    </row>
    <row r="598">
      <c r="A598" t="inlineStr">
        <is>
          <t>cost / bsc / cycle 104</t>
        </is>
      </c>
      <c r="B598" s="1" t="n">
        <v>1500</v>
      </c>
      <c r="C598" s="1" t="n">
        <v>1500</v>
      </c>
      <c r="D598" s="1" t="n">
        <v>0</v>
      </c>
    </row>
    <row r="599">
      <c r="A599" t="inlineStr">
        <is>
          <t>cost / bsc / cycle 105</t>
        </is>
      </c>
      <c r="B599" s="1" t="n">
        <v>1500</v>
      </c>
      <c r="C599" s="1" t="n">
        <v>1500</v>
      </c>
      <c r="D599" s="1" t="n">
        <v>0</v>
      </c>
    </row>
    <row r="600">
      <c r="A600" t="inlineStr">
        <is>
          <t>cost / bsc / cycle 106</t>
        </is>
      </c>
      <c r="B600" s="1" t="n">
        <v>1500</v>
      </c>
      <c r="C600" s="1" t="n">
        <v>1500</v>
      </c>
      <c r="D600" s="1" t="n">
        <v>0</v>
      </c>
    </row>
    <row r="601">
      <c r="A601" t="inlineStr">
        <is>
          <t>cost / bsc / cycle 107</t>
        </is>
      </c>
      <c r="B601" s="1" t="n">
        <v>1500</v>
      </c>
      <c r="C601" s="1" t="n">
        <v>1500</v>
      </c>
      <c r="D601" s="1" t="n">
        <v>0</v>
      </c>
    </row>
    <row r="602">
      <c r="A602" t="inlineStr">
        <is>
          <t>cost / bsc / cycle 108</t>
        </is>
      </c>
      <c r="B602" s="1" t="n">
        <v>1500</v>
      </c>
      <c r="C602" s="1" t="n">
        <v>1500</v>
      </c>
      <c r="D602" s="1" t="n">
        <v>0</v>
      </c>
    </row>
    <row r="603">
      <c r="A603" t="inlineStr">
        <is>
          <t>cost / bsc / cycle 109</t>
        </is>
      </c>
      <c r="B603" s="1" t="n">
        <v>1500</v>
      </c>
      <c r="C603" s="1" t="n">
        <v>1500</v>
      </c>
      <c r="D603" s="1" t="n">
        <v>0</v>
      </c>
    </row>
    <row r="604">
      <c r="A604" t="inlineStr">
        <is>
          <t>cost / bsc / cycle 110</t>
        </is>
      </c>
      <c r="B604" s="1" t="n">
        <v>1500</v>
      </c>
      <c r="C604" s="1" t="n">
        <v>1500</v>
      </c>
      <c r="D604" s="1" t="n">
        <v>0</v>
      </c>
    </row>
    <row r="605">
      <c r="A605" t="inlineStr">
        <is>
          <t>cost / bsc / cycle 111</t>
        </is>
      </c>
      <c r="B605" s="1" t="n">
        <v>1500</v>
      </c>
      <c r="C605" s="1" t="n">
        <v>1500</v>
      </c>
      <c r="D605" s="1" t="n">
        <v>0</v>
      </c>
    </row>
    <row r="606">
      <c r="A606" t="inlineStr">
        <is>
          <t>cost / bsc / cycle 112</t>
        </is>
      </c>
      <c r="B606" s="1" t="n">
        <v>1500</v>
      </c>
      <c r="C606" s="1" t="n">
        <v>1500</v>
      </c>
      <c r="D606" s="1" t="n">
        <v>0</v>
      </c>
    </row>
    <row r="607">
      <c r="A607" t="inlineStr">
        <is>
          <t>cost / bsc / cycle 113</t>
        </is>
      </c>
      <c r="B607" s="1" t="n">
        <v>1500</v>
      </c>
      <c r="C607" s="1" t="n">
        <v>1500</v>
      </c>
      <c r="D607" s="1" t="n">
        <v>0</v>
      </c>
    </row>
    <row r="608">
      <c r="A608" t="inlineStr">
        <is>
          <t>cost / bsc / cycle 114</t>
        </is>
      </c>
      <c r="B608" s="1" t="n">
        <v>1500</v>
      </c>
      <c r="C608" s="1" t="n">
        <v>1500</v>
      </c>
      <c r="D608" s="1" t="n">
        <v>0</v>
      </c>
    </row>
    <row r="609">
      <c r="A609" t="inlineStr">
        <is>
          <t>cost / bsc / cycle 115</t>
        </is>
      </c>
      <c r="B609" s="1" t="n">
        <v>1500</v>
      </c>
      <c r="C609" s="1" t="n">
        <v>1500</v>
      </c>
      <c r="D609" s="1" t="n">
        <v>0</v>
      </c>
    </row>
    <row r="610">
      <c r="A610" t="inlineStr">
        <is>
          <t>cost / bsc / cycle 116</t>
        </is>
      </c>
      <c r="B610" s="1" t="n">
        <v>1500</v>
      </c>
      <c r="C610" s="1" t="n">
        <v>1500</v>
      </c>
      <c r="D610" s="1" t="n">
        <v>0</v>
      </c>
    </row>
    <row r="611">
      <c r="A611" t="inlineStr">
        <is>
          <t>cost / bsc / cycle 117</t>
        </is>
      </c>
      <c r="B611" s="1" t="n">
        <v>1500</v>
      </c>
      <c r="C611" s="1" t="n">
        <v>1500</v>
      </c>
      <c r="D611" s="1" t="n">
        <v>0</v>
      </c>
    </row>
    <row r="612">
      <c r="A612" t="inlineStr">
        <is>
          <t>cost / bsc / cycle 118</t>
        </is>
      </c>
      <c r="B612" s="1" t="n">
        <v>1500</v>
      </c>
      <c r="C612" s="1" t="n">
        <v>1500</v>
      </c>
      <c r="D612" s="1" t="n">
        <v>0</v>
      </c>
    </row>
    <row r="613">
      <c r="A613" t="inlineStr">
        <is>
          <t>cost / bsc / cycle 119</t>
        </is>
      </c>
      <c r="B613" s="1" t="n">
        <v>1500</v>
      </c>
      <c r="C613" s="1" t="n">
        <v>1500</v>
      </c>
      <c r="D613" s="1" t="n">
        <v>0</v>
      </c>
    </row>
    <row r="614">
      <c r="A614" t="inlineStr">
        <is>
          <t>cost / bsc / cycle 120</t>
        </is>
      </c>
      <c r="B614" s="1" t="n">
        <v>1500</v>
      </c>
      <c r="C614" s="1" t="n">
        <v>1500</v>
      </c>
      <c r="D614" s="1" t="n">
        <v>0</v>
      </c>
    </row>
    <row r="615">
      <c r="A615" t="inlineStr">
        <is>
          <t>cost / bsc / cycle 121</t>
        </is>
      </c>
      <c r="B615" s="1" t="n">
        <v>1500</v>
      </c>
      <c r="C615" s="1" t="n">
        <v>1500</v>
      </c>
      <c r="D615" s="1" t="n">
        <v>0</v>
      </c>
    </row>
    <row r="616">
      <c r="A616" t="inlineStr">
        <is>
          <t>cost / bsc / cycle 122</t>
        </is>
      </c>
      <c r="B616" s="1" t="n">
        <v>1500</v>
      </c>
      <c r="C616" s="1" t="n">
        <v>1500</v>
      </c>
      <c r="D616" s="1" t="n">
        <v>0</v>
      </c>
    </row>
    <row r="617">
      <c r="A617" t="inlineStr">
        <is>
          <t>cost / bsc / cycle 123</t>
        </is>
      </c>
      <c r="B617" s="1" t="n">
        <v>1500</v>
      </c>
      <c r="C617" s="1" t="n">
        <v>1500</v>
      </c>
      <c r="D617" s="1" t="n">
        <v>0</v>
      </c>
    </row>
    <row r="618">
      <c r="A618" t="inlineStr">
        <is>
          <t>cost / bsc / cycle 124</t>
        </is>
      </c>
      <c r="B618" s="1" t="n">
        <v>1500</v>
      </c>
      <c r="C618" s="1" t="n">
        <v>1500</v>
      </c>
      <c r="D618" s="1" t="n">
        <v>0</v>
      </c>
    </row>
    <row r="619">
      <c r="A619" t="inlineStr">
        <is>
          <t>cost / bsc / cycle 125</t>
        </is>
      </c>
      <c r="B619" s="1" t="n">
        <v>1500</v>
      </c>
      <c r="C619" s="1" t="n">
        <v>1500</v>
      </c>
      <c r="D619" s="1" t="n">
        <v>0</v>
      </c>
    </row>
    <row r="620">
      <c r="A620" t="inlineStr">
        <is>
          <t>cost / bsc / cycle 126</t>
        </is>
      </c>
      <c r="B620" s="1" t="n">
        <v>1500</v>
      </c>
      <c r="C620" s="1" t="n">
        <v>1500</v>
      </c>
      <c r="D620" s="1" t="n">
        <v>0</v>
      </c>
    </row>
    <row r="621">
      <c r="A621" t="inlineStr">
        <is>
          <t>cost / bsc / cycle 127</t>
        </is>
      </c>
      <c r="B621" s="1" t="n">
        <v>1500</v>
      </c>
      <c r="C621" s="1" t="n">
        <v>1500</v>
      </c>
      <c r="D621" s="1" t="n">
        <v>0</v>
      </c>
    </row>
    <row r="622">
      <c r="A622" t="inlineStr">
        <is>
          <t>cost / bsc / cycle 128</t>
        </is>
      </c>
      <c r="B622" s="1" t="n">
        <v>1500</v>
      </c>
      <c r="C622" s="1" t="n">
        <v>1500</v>
      </c>
      <c r="D622" s="1" t="n">
        <v>0</v>
      </c>
    </row>
    <row r="623">
      <c r="A623" t="inlineStr">
        <is>
          <t>cost / bsc / cycle 129</t>
        </is>
      </c>
      <c r="B623" s="1" t="n">
        <v>1500</v>
      </c>
      <c r="C623" s="1" t="n">
        <v>1500</v>
      </c>
      <c r="D623" s="1" t="n">
        <v>0</v>
      </c>
    </row>
    <row r="624">
      <c r="A624" t="inlineStr">
        <is>
          <t>cost / bsc / cycle 130</t>
        </is>
      </c>
      <c r="B624" s="1" t="n">
        <v>1500</v>
      </c>
      <c r="C624" s="1" t="n">
        <v>1500</v>
      </c>
      <c r="D624" s="1" t="n">
        <v>0</v>
      </c>
    </row>
    <row r="625">
      <c r="A625" t="inlineStr">
        <is>
          <t>cost / bsc / cycle 131</t>
        </is>
      </c>
      <c r="B625" s="1" t="n">
        <v>1500</v>
      </c>
      <c r="C625" s="1" t="n">
        <v>1500</v>
      </c>
      <c r="D625" s="1" t="n">
        <v>0</v>
      </c>
    </row>
    <row r="626">
      <c r="A626" t="inlineStr">
        <is>
          <t>cost / bsc / cycle 132</t>
        </is>
      </c>
      <c r="B626" s="1" t="n">
        <v>1500</v>
      </c>
      <c r="C626" s="1" t="n">
        <v>1500</v>
      </c>
      <c r="D626" s="1" t="n">
        <v>0</v>
      </c>
    </row>
    <row r="627">
      <c r="A627" t="inlineStr">
        <is>
          <t>cost / bsc / cycle 133</t>
        </is>
      </c>
      <c r="B627" s="1" t="n">
        <v>1500</v>
      </c>
      <c r="C627" s="1" t="n">
        <v>1500</v>
      </c>
      <c r="D627" s="1" t="n">
        <v>0</v>
      </c>
    </row>
    <row r="628">
      <c r="A628" t="inlineStr">
        <is>
          <t>cost / bsc / cycle 134</t>
        </is>
      </c>
      <c r="B628" s="1" t="n">
        <v>1500</v>
      </c>
      <c r="C628" s="1" t="n">
        <v>1500</v>
      </c>
      <c r="D628" s="1" t="n">
        <v>0</v>
      </c>
    </row>
    <row r="629">
      <c r="A629" t="inlineStr">
        <is>
          <t>cost / bsc / cycle 135</t>
        </is>
      </c>
      <c r="B629" s="1" t="n">
        <v>1500</v>
      </c>
      <c r="C629" s="1" t="n">
        <v>1500</v>
      </c>
      <c r="D629" s="1" t="n">
        <v>0</v>
      </c>
    </row>
    <row r="630">
      <c r="A630" t="inlineStr">
        <is>
          <t>cost / bsc / cycle 136</t>
        </is>
      </c>
      <c r="B630" s="1" t="n">
        <v>1500</v>
      </c>
      <c r="C630" s="1" t="n">
        <v>1500</v>
      </c>
      <c r="D630" s="1" t="n">
        <v>0</v>
      </c>
    </row>
    <row r="631">
      <c r="A631" t="inlineStr">
        <is>
          <t>cost / bsc / cycle 137</t>
        </is>
      </c>
      <c r="B631" s="1" t="n">
        <v>1500</v>
      </c>
      <c r="C631" s="1" t="n">
        <v>1500</v>
      </c>
      <c r="D631" s="1" t="n">
        <v>0</v>
      </c>
    </row>
    <row r="632">
      <c r="A632" t="inlineStr">
        <is>
          <t>cost / bsc / cycle 138</t>
        </is>
      </c>
      <c r="B632" s="1" t="n">
        <v>1500</v>
      </c>
      <c r="C632" s="1" t="n">
        <v>1500</v>
      </c>
      <c r="D632" s="1" t="n">
        <v>0</v>
      </c>
    </row>
    <row r="633">
      <c r="A633" t="inlineStr">
        <is>
          <t>cost / bsc / cycle 139</t>
        </is>
      </c>
      <c r="B633" s="1" t="n">
        <v>1500</v>
      </c>
      <c r="C633" s="1" t="n">
        <v>1500</v>
      </c>
      <c r="D633" s="1" t="n">
        <v>0</v>
      </c>
    </row>
    <row r="634">
      <c r="A634" t="inlineStr">
        <is>
          <t>cost / bsc / cycle 140</t>
        </is>
      </c>
      <c r="B634" s="1" t="n">
        <v>1500</v>
      </c>
      <c r="C634" s="1" t="n">
        <v>1500</v>
      </c>
      <c r="D634" s="1" t="n">
        <v>0</v>
      </c>
    </row>
    <row r="635">
      <c r="A635" t="inlineStr">
        <is>
          <t>cost / bsc / cycle 141</t>
        </is>
      </c>
      <c r="B635" s="1" t="n">
        <v>1500</v>
      </c>
      <c r="C635" s="1" t="n">
        <v>1500</v>
      </c>
      <c r="D635" s="1" t="n">
        <v>0</v>
      </c>
    </row>
    <row r="636">
      <c r="A636" t="inlineStr">
        <is>
          <t>cost / bsc / cycle 142</t>
        </is>
      </c>
      <c r="B636" s="1" t="n">
        <v>1500</v>
      </c>
      <c r="C636" s="1" t="n">
        <v>1500</v>
      </c>
      <c r="D636" s="1" t="n">
        <v>0</v>
      </c>
    </row>
    <row r="637">
      <c r="A637" t="inlineStr">
        <is>
          <t>cost / bsc / cycle 143</t>
        </is>
      </c>
      <c r="B637" s="1" t="n">
        <v>1500</v>
      </c>
      <c r="C637" s="1" t="n">
        <v>1500</v>
      </c>
      <c r="D637" s="1" t="n">
        <v>0</v>
      </c>
    </row>
    <row r="638">
      <c r="A638" t="inlineStr">
        <is>
          <t>cost / bsc / cycle 144</t>
        </is>
      </c>
      <c r="B638" s="1" t="n">
        <v>1500</v>
      </c>
      <c r="C638" s="1" t="n">
        <v>1500</v>
      </c>
      <c r="D638" s="1" t="n">
        <v>0</v>
      </c>
    </row>
    <row r="639">
      <c r="A639" t="inlineStr">
        <is>
          <t>cost / bsc / cycle 145</t>
        </is>
      </c>
      <c r="B639" s="1" t="n">
        <v>1500</v>
      </c>
      <c r="C639" s="1" t="n">
        <v>1500</v>
      </c>
      <c r="D639" s="1" t="n">
        <v>0</v>
      </c>
    </row>
    <row r="640">
      <c r="A640" t="inlineStr">
        <is>
          <t>cost / bsc / cycle 146</t>
        </is>
      </c>
      <c r="B640" s="1" t="n">
        <v>1500</v>
      </c>
      <c r="C640" s="1" t="n">
        <v>1500</v>
      </c>
      <c r="D640" s="1" t="n">
        <v>0</v>
      </c>
    </row>
    <row r="641">
      <c r="A641" t="inlineStr">
        <is>
          <t>cost / bsc / cycle 147</t>
        </is>
      </c>
      <c r="B641" s="1" t="n">
        <v>1500</v>
      </c>
      <c r="C641" s="1" t="n">
        <v>1500</v>
      </c>
      <c r="D641" s="1" t="n">
        <v>0</v>
      </c>
    </row>
    <row r="642">
      <c r="A642" t="inlineStr">
        <is>
          <t>cost / bsc / cycle 148</t>
        </is>
      </c>
      <c r="B642" s="1" t="n">
        <v>1500</v>
      </c>
      <c r="C642" s="1" t="n">
        <v>1500</v>
      </c>
      <c r="D642" s="1" t="n">
        <v>0</v>
      </c>
    </row>
    <row r="643">
      <c r="A643" t="inlineStr">
        <is>
          <t>cost / bsc / cycle 149</t>
        </is>
      </c>
      <c r="B643" s="1" t="n">
        <v>1500</v>
      </c>
      <c r="C643" s="1" t="n">
        <v>1500</v>
      </c>
      <c r="D643" s="1" t="n">
        <v>0</v>
      </c>
    </row>
    <row r="644">
      <c r="A644" t="inlineStr">
        <is>
          <t>cost / bsc / cycle 150</t>
        </is>
      </c>
      <c r="B644" s="1" t="n">
        <v>1500</v>
      </c>
      <c r="C644" s="1" t="n">
        <v>1500</v>
      </c>
      <c r="D644" s="1" t="n">
        <v>0</v>
      </c>
    </row>
    <row r="645">
      <c r="A645" t="inlineStr">
        <is>
          <t>cost / bsc / cycle 151</t>
        </is>
      </c>
      <c r="B645" s="1" t="n">
        <v>1500</v>
      </c>
      <c r="C645" s="1" t="n">
        <v>1500</v>
      </c>
      <c r="D645" s="1" t="n">
        <v>0</v>
      </c>
    </row>
    <row r="646">
      <c r="A646" t="inlineStr">
        <is>
          <t>cost / bsc / cycle 152</t>
        </is>
      </c>
      <c r="B646" s="1" t="n">
        <v>1500</v>
      </c>
      <c r="C646" s="1" t="n">
        <v>1500</v>
      </c>
      <c r="D646" s="1" t="n">
        <v>0</v>
      </c>
    </row>
    <row r="647">
      <c r="A647" t="inlineStr">
        <is>
          <t>cost / bsc / cycle 153</t>
        </is>
      </c>
      <c r="B647" s="1" t="n">
        <v>1500</v>
      </c>
      <c r="C647" s="1" t="n">
        <v>1500</v>
      </c>
      <c r="D647" s="1" t="n">
        <v>0</v>
      </c>
    </row>
    <row r="648">
      <c r="A648" t="inlineStr">
        <is>
          <t>cost / bsc / cycle 154</t>
        </is>
      </c>
      <c r="B648" s="1" t="n">
        <v>1500</v>
      </c>
      <c r="C648" s="1" t="n">
        <v>1500</v>
      </c>
      <c r="D648" s="1" t="n">
        <v>0</v>
      </c>
    </row>
    <row r="649">
      <c r="A649" t="inlineStr">
        <is>
          <t>cost / bsc / cycle 155</t>
        </is>
      </c>
      <c r="B649" s="1" t="n">
        <v>1500</v>
      </c>
      <c r="C649" s="1" t="n">
        <v>1500</v>
      </c>
      <c r="D649" s="1" t="n">
        <v>0</v>
      </c>
    </row>
    <row r="650">
      <c r="A650" t="inlineStr">
        <is>
          <t>cost / bsc / cycle 156</t>
        </is>
      </c>
      <c r="B650" s="1" t="n">
        <v>1500</v>
      </c>
      <c r="C650" s="1" t="n">
        <v>1500</v>
      </c>
      <c r="D650" s="1" t="n">
        <v>0</v>
      </c>
    </row>
    <row r="651">
      <c r="A651" t="inlineStr">
        <is>
          <t>cost / bsc / cycle 157</t>
        </is>
      </c>
      <c r="B651" s="1" t="n">
        <v>1500</v>
      </c>
      <c r="C651" s="1" t="n">
        <v>1500</v>
      </c>
      <c r="D651" s="1" t="n">
        <v>0</v>
      </c>
    </row>
    <row r="652">
      <c r="A652" t="inlineStr">
        <is>
          <t>cost / bsc / cycle 158</t>
        </is>
      </c>
      <c r="B652" s="1" t="n">
        <v>1500</v>
      </c>
      <c r="C652" s="1" t="n">
        <v>1500</v>
      </c>
      <c r="D652" s="1" t="n">
        <v>0</v>
      </c>
    </row>
    <row r="653">
      <c r="A653" t="inlineStr">
        <is>
          <t>cost / bsc / cycle 159</t>
        </is>
      </c>
      <c r="B653" s="1" t="n">
        <v>1500</v>
      </c>
      <c r="C653" s="1" t="n">
        <v>1500</v>
      </c>
      <c r="D653" s="1" t="n">
        <v>0</v>
      </c>
    </row>
    <row r="654">
      <c r="A654" t="inlineStr">
        <is>
          <t>cost / bsc / cycle 160</t>
        </is>
      </c>
      <c r="B654" s="1" t="n">
        <v>1500</v>
      </c>
      <c r="C654" s="1" t="n">
        <v>1500</v>
      </c>
      <c r="D654" s="1" t="n">
        <v>0</v>
      </c>
    </row>
    <row r="655">
      <c r="A655" t="inlineStr">
        <is>
          <t>cost / bsc / cycle 161</t>
        </is>
      </c>
      <c r="B655" s="1" t="n">
        <v>1500</v>
      </c>
      <c r="C655" s="1" t="n">
        <v>1500</v>
      </c>
      <c r="D655" s="1" t="n">
        <v>0</v>
      </c>
    </row>
    <row r="656">
      <c r="A656" t="inlineStr">
        <is>
          <t>cost / bsc / cycle 162</t>
        </is>
      </c>
      <c r="B656" s="1" t="n">
        <v>1500</v>
      </c>
      <c r="C656" s="1" t="n">
        <v>1500</v>
      </c>
      <c r="D656" s="1" t="n">
        <v>0</v>
      </c>
    </row>
    <row r="657">
      <c r="A657" t="inlineStr">
        <is>
          <t>cost / bsc / cycle 163</t>
        </is>
      </c>
      <c r="B657" s="1" t="n">
        <v>1500</v>
      </c>
      <c r="C657" s="1" t="n">
        <v>1500</v>
      </c>
      <c r="D657" s="1" t="n">
        <v>0</v>
      </c>
    </row>
    <row r="658">
      <c r="A658" t="inlineStr">
        <is>
          <t>cost / bsc / cycle 164</t>
        </is>
      </c>
      <c r="B658" s="1" t="n">
        <v>1500</v>
      </c>
      <c r="C658" s="1" t="n">
        <v>1500</v>
      </c>
      <c r="D658" s="1" t="n">
        <v>0</v>
      </c>
    </row>
    <row r="659">
      <c r="A659" t="inlineStr">
        <is>
          <t>cost / bsc / cycle 165</t>
        </is>
      </c>
      <c r="B659" s="1" t="n">
        <v>1500</v>
      </c>
      <c r="C659" s="1" t="n">
        <v>1500</v>
      </c>
      <c r="D659" s="1" t="n">
        <v>0</v>
      </c>
    </row>
    <row r="660">
      <c r="A660" t="inlineStr">
        <is>
          <t>cost / bsc / cycle 166</t>
        </is>
      </c>
      <c r="B660" s="1" t="n">
        <v>1500</v>
      </c>
      <c r="C660" s="1" t="n">
        <v>1500</v>
      </c>
      <c r="D660" s="1" t="n">
        <v>0</v>
      </c>
    </row>
    <row r="661">
      <c r="A661" t="inlineStr">
        <is>
          <t>cost / bsc / cycle 167</t>
        </is>
      </c>
      <c r="B661" s="1" t="n">
        <v>1500</v>
      </c>
      <c r="C661" s="1" t="n">
        <v>1500</v>
      </c>
      <c r="D661" s="1" t="n">
        <v>0</v>
      </c>
    </row>
    <row r="662">
      <c r="A662" t="inlineStr">
        <is>
          <t>cost / bsc / cycle 168</t>
        </is>
      </c>
      <c r="B662" s="1" t="n">
        <v>1500</v>
      </c>
      <c r="C662" s="1" t="n">
        <v>1500</v>
      </c>
      <c r="D662" s="1" t="n">
        <v>0</v>
      </c>
    </row>
    <row r="663">
      <c r="A663" t="inlineStr">
        <is>
          <t>cost / bsc / cycle 169</t>
        </is>
      </c>
      <c r="B663" s="1" t="n">
        <v>1500</v>
      </c>
      <c r="C663" s="1" t="n">
        <v>1500</v>
      </c>
      <c r="D663" s="1" t="n">
        <v>0</v>
      </c>
    </row>
    <row r="664">
      <c r="A664" t="inlineStr">
        <is>
          <t>cost / bsc / cycle 170</t>
        </is>
      </c>
      <c r="B664" s="1" t="n">
        <v>1500</v>
      </c>
      <c r="C664" s="1" t="n">
        <v>1500</v>
      </c>
      <c r="D664" s="1" t="n">
        <v>0</v>
      </c>
    </row>
    <row r="665">
      <c r="A665" t="inlineStr">
        <is>
          <t>cost / bsc / cycle 171</t>
        </is>
      </c>
      <c r="B665" s="1" t="n">
        <v>1500</v>
      </c>
      <c r="C665" s="1" t="n">
        <v>1500</v>
      </c>
      <c r="D665" s="1" t="n">
        <v>0</v>
      </c>
    </row>
    <row r="666">
      <c r="A666" t="inlineStr">
        <is>
          <t>cost / bsc / cycle 172</t>
        </is>
      </c>
      <c r="B666" s="1" t="n">
        <v>1500</v>
      </c>
      <c r="C666" s="1" t="n">
        <v>1500</v>
      </c>
      <c r="D666" s="1" t="n">
        <v>0</v>
      </c>
    </row>
    <row r="667">
      <c r="A667" t="inlineStr">
        <is>
          <t>cost / bsc / cycle 173</t>
        </is>
      </c>
      <c r="B667" s="1" t="n">
        <v>1500</v>
      </c>
      <c r="C667" s="1" t="n">
        <v>1500</v>
      </c>
      <c r="D667" s="1" t="n">
        <v>0</v>
      </c>
    </row>
    <row r="668">
      <c r="A668" t="inlineStr">
        <is>
          <t>cost / bsc / cycle 174</t>
        </is>
      </c>
      <c r="B668" s="1" t="n">
        <v>1500</v>
      </c>
      <c r="C668" s="1" t="n">
        <v>1500</v>
      </c>
      <c r="D668" s="1" t="n">
        <v>0</v>
      </c>
    </row>
    <row r="669">
      <c r="A669" t="inlineStr">
        <is>
          <t>cost / bsc / cycle 175</t>
        </is>
      </c>
      <c r="B669" s="1" t="n">
        <v>1500</v>
      </c>
      <c r="C669" s="1" t="n">
        <v>1500</v>
      </c>
      <c r="D669" s="1" t="n">
        <v>0</v>
      </c>
    </row>
    <row r="670">
      <c r="A670" t="inlineStr">
        <is>
          <t>cost / bsc / cycle 176</t>
        </is>
      </c>
      <c r="B670" s="1" t="n">
        <v>1500</v>
      </c>
      <c r="C670" s="1" t="n">
        <v>1500</v>
      </c>
      <c r="D670" s="1" t="n">
        <v>0</v>
      </c>
    </row>
    <row r="671">
      <c r="A671" t="inlineStr">
        <is>
          <t>cost / bsc / cycle 177</t>
        </is>
      </c>
      <c r="B671" s="1" t="n">
        <v>1500</v>
      </c>
      <c r="C671" s="1" t="n">
        <v>1500</v>
      </c>
      <c r="D671" s="1" t="n">
        <v>0</v>
      </c>
    </row>
    <row r="672">
      <c r="A672" t="inlineStr">
        <is>
          <t>cost / bsc / cycle 178</t>
        </is>
      </c>
      <c r="B672" s="1" t="n">
        <v>1500</v>
      </c>
      <c r="C672" s="1" t="n">
        <v>1500</v>
      </c>
      <c r="D672" s="1" t="n">
        <v>0</v>
      </c>
    </row>
    <row r="673">
      <c r="A673" t="inlineStr">
        <is>
          <t>cost / bsc / cycle 179</t>
        </is>
      </c>
      <c r="B673" s="1" t="n">
        <v>1500</v>
      </c>
      <c r="C673" s="1" t="n">
        <v>1500</v>
      </c>
      <c r="D673" s="1" t="n">
        <v>0</v>
      </c>
    </row>
    <row r="674">
      <c r="A674" t="inlineStr">
        <is>
          <t>cost / bsc / cycle 180</t>
        </is>
      </c>
      <c r="B674" s="1" t="n">
        <v>1500</v>
      </c>
      <c r="C674" s="1" t="n">
        <v>1500</v>
      </c>
      <c r="D674" s="1" t="n">
        <v>0</v>
      </c>
    </row>
    <row r="675">
      <c r="A675" t="inlineStr">
        <is>
          <t>cost / bsc / cycle 181</t>
        </is>
      </c>
      <c r="B675" s="1" t="n">
        <v>1500</v>
      </c>
      <c r="C675" s="1" t="n">
        <v>1500</v>
      </c>
      <c r="D675" s="1" t="n">
        <v>0</v>
      </c>
    </row>
    <row r="676">
      <c r="A676" t="inlineStr">
        <is>
          <t>cost / bsc / cycle 182</t>
        </is>
      </c>
      <c r="B676" s="1" t="n">
        <v>1500</v>
      </c>
      <c r="C676" s="1" t="n">
        <v>1500</v>
      </c>
      <c r="D676" s="1" t="n">
        <v>0</v>
      </c>
    </row>
    <row r="677">
      <c r="A677" t="inlineStr">
        <is>
          <t>cost / bsc / cycle 183</t>
        </is>
      </c>
      <c r="B677" s="1" t="n">
        <v>1500</v>
      </c>
      <c r="C677" s="1" t="n">
        <v>1500</v>
      </c>
      <c r="D677" s="1" t="n">
        <v>0</v>
      </c>
    </row>
    <row r="678">
      <c r="A678" t="inlineStr">
        <is>
          <t>cost / bsc / cycle 184</t>
        </is>
      </c>
      <c r="B678" s="1" t="n">
        <v>1500</v>
      </c>
      <c r="C678" s="1" t="n">
        <v>1500</v>
      </c>
      <c r="D678" s="1" t="n">
        <v>0</v>
      </c>
    </row>
    <row r="679">
      <c r="A679" t="inlineStr">
        <is>
          <t>cost / bsc / cycle 185</t>
        </is>
      </c>
      <c r="B679" s="1" t="n">
        <v>1500</v>
      </c>
      <c r="C679" s="1" t="n">
        <v>1500</v>
      </c>
      <c r="D679" s="1" t="n">
        <v>0</v>
      </c>
    </row>
    <row r="680">
      <c r="A680" t="inlineStr">
        <is>
          <t>cost / bsc / cycle 186</t>
        </is>
      </c>
      <c r="B680" s="1" t="n">
        <v>1500</v>
      </c>
      <c r="C680" s="1" t="n">
        <v>1500</v>
      </c>
      <c r="D680" s="1" t="n">
        <v>0</v>
      </c>
    </row>
    <row r="681">
      <c r="A681" t="inlineStr">
        <is>
          <t>cost / bsc / cycle 187</t>
        </is>
      </c>
      <c r="B681" s="1" t="n">
        <v>1500</v>
      </c>
      <c r="C681" s="1" t="n">
        <v>1500</v>
      </c>
      <c r="D681" s="1" t="n">
        <v>0</v>
      </c>
    </row>
    <row r="682">
      <c r="A682" t="inlineStr">
        <is>
          <t>cost / bsc / cycle 188</t>
        </is>
      </c>
      <c r="B682" s="1" t="n">
        <v>1500</v>
      </c>
      <c r="C682" s="1" t="n">
        <v>1500</v>
      </c>
      <c r="D682" s="1" t="n">
        <v>0</v>
      </c>
    </row>
    <row r="683">
      <c r="A683" t="inlineStr">
        <is>
          <t>cost / bsc / cycle 189</t>
        </is>
      </c>
      <c r="B683" s="1" t="n">
        <v>1500</v>
      </c>
      <c r="C683" s="1" t="n">
        <v>1500</v>
      </c>
      <c r="D683" s="1" t="n">
        <v>0</v>
      </c>
    </row>
    <row r="684">
      <c r="A684" t="inlineStr">
        <is>
          <t>cost / bsc / cycle 190</t>
        </is>
      </c>
      <c r="B684" s="1" t="n">
        <v>1500</v>
      </c>
      <c r="C684" s="1" t="n">
        <v>1500</v>
      </c>
      <c r="D684" s="1" t="n">
        <v>0</v>
      </c>
    </row>
    <row r="685">
      <c r="A685" t="inlineStr">
        <is>
          <t>cost / bsc / cycle 191</t>
        </is>
      </c>
      <c r="B685" s="1" t="n">
        <v>1500</v>
      </c>
      <c r="C685" s="1" t="n">
        <v>1500</v>
      </c>
      <c r="D685" s="1" t="n">
        <v>0</v>
      </c>
    </row>
    <row r="686">
      <c r="A686" t="inlineStr">
        <is>
          <t>cost / bsc / cycle 192</t>
        </is>
      </c>
      <c r="B686" s="1" t="n">
        <v>1500</v>
      </c>
      <c r="C686" s="1" t="n">
        <v>1500</v>
      </c>
      <c r="D686" s="1" t="n">
        <v>0</v>
      </c>
    </row>
    <row r="687">
      <c r="A687" t="inlineStr">
        <is>
          <t>cost / bsc / cycle 193</t>
        </is>
      </c>
      <c r="B687" s="1" t="n">
        <v>1500</v>
      </c>
      <c r="C687" s="1" t="n">
        <v>1500</v>
      </c>
      <c r="D687" s="1" t="n">
        <v>0</v>
      </c>
    </row>
    <row r="688">
      <c r="A688" t="inlineStr">
        <is>
          <t>cost / bsc / cycle 194</t>
        </is>
      </c>
      <c r="B688" s="1" t="n">
        <v>1500</v>
      </c>
      <c r="C688" s="1" t="n">
        <v>1500</v>
      </c>
      <c r="D688" s="1" t="n">
        <v>0</v>
      </c>
    </row>
    <row r="689">
      <c r="A689" t="inlineStr">
        <is>
          <t>cost / bsc / cycle 195</t>
        </is>
      </c>
      <c r="B689" s="1" t="n">
        <v>1500</v>
      </c>
      <c r="C689" s="1" t="n">
        <v>1500</v>
      </c>
      <c r="D689" s="1" t="n">
        <v>0</v>
      </c>
    </row>
    <row r="690">
      <c r="A690" t="inlineStr">
        <is>
          <t>cost / bsc / cycle 196</t>
        </is>
      </c>
      <c r="B690" s="1" t="n">
        <v>1500</v>
      </c>
      <c r="C690" s="1" t="n">
        <v>1500</v>
      </c>
      <c r="D690" s="1" t="n">
        <v>0</v>
      </c>
    </row>
    <row r="691">
      <c r="A691" t="inlineStr">
        <is>
          <t>cost / bsc / cycle 197</t>
        </is>
      </c>
      <c r="B691" s="1" t="n">
        <v>1500</v>
      </c>
      <c r="C691" s="1" t="n">
        <v>1500</v>
      </c>
      <c r="D691" s="1" t="n">
        <v>0</v>
      </c>
    </row>
    <row r="692">
      <c r="A692" t="inlineStr">
        <is>
          <t>cost / bsc / cycle 198</t>
        </is>
      </c>
      <c r="B692" s="1" t="n">
        <v>1500</v>
      </c>
      <c r="C692" s="1" t="n">
        <v>1500</v>
      </c>
      <c r="D692" s="1" t="n">
        <v>0</v>
      </c>
    </row>
    <row r="693">
      <c r="A693" t="inlineStr">
        <is>
          <t>cost / bsc / cycle 199</t>
        </is>
      </c>
      <c r="B693" s="1" t="n">
        <v>1500</v>
      </c>
      <c r="C693" s="1" t="n">
        <v>1500</v>
      </c>
      <c r="D693" s="1" t="n">
        <v>0</v>
      </c>
    </row>
    <row r="694">
      <c r="A694" t="inlineStr">
        <is>
          <t>cost / bsc / cycle 200</t>
        </is>
      </c>
      <c r="B694" s="1" t="n">
        <v>1500</v>
      </c>
      <c r="C694" s="1" t="n">
        <v>1500</v>
      </c>
      <c r="D694" s="1" t="n">
        <v>0</v>
      </c>
    </row>
    <row r="695">
      <c r="A695" t="inlineStr">
        <is>
          <t>cost / bsc / cycle 201</t>
        </is>
      </c>
      <c r="B695" s="1" t="n">
        <v>1500</v>
      </c>
      <c r="C695" s="1" t="n">
        <v>1500</v>
      </c>
      <c r="D695" s="1" t="n">
        <v>0</v>
      </c>
    </row>
    <row r="696">
      <c r="A696" t="inlineStr">
        <is>
          <t>cost / bsc / cycle 202</t>
        </is>
      </c>
      <c r="B696" s="1" t="n">
        <v>1500</v>
      </c>
      <c r="C696" s="1" t="n">
        <v>1500</v>
      </c>
      <c r="D696" s="1" t="n">
        <v>0</v>
      </c>
    </row>
    <row r="697">
      <c r="A697" t="inlineStr">
        <is>
          <t>cost / bsc / cycle 203</t>
        </is>
      </c>
      <c r="B697" s="1" t="n">
        <v>1500</v>
      </c>
      <c r="C697" s="1" t="n">
        <v>1500</v>
      </c>
      <c r="D697" s="1" t="n">
        <v>0</v>
      </c>
    </row>
    <row r="698">
      <c r="A698" t="inlineStr">
        <is>
          <t>cost / bsc / cycle 204</t>
        </is>
      </c>
      <c r="B698" s="1" t="n">
        <v>1500</v>
      </c>
      <c r="C698" s="1" t="n">
        <v>1500</v>
      </c>
      <c r="D698" s="1" t="n">
        <v>0</v>
      </c>
    </row>
    <row r="699">
      <c r="A699" t="inlineStr">
        <is>
          <t>cost / bsc / cycle 205</t>
        </is>
      </c>
      <c r="B699" s="1" t="n">
        <v>1500</v>
      </c>
      <c r="C699" s="1" t="n">
        <v>1500</v>
      </c>
      <c r="D699" s="1" t="n">
        <v>0</v>
      </c>
    </row>
    <row r="700">
      <c r="A700" t="inlineStr">
        <is>
          <t>cost / bsc / cycle 206</t>
        </is>
      </c>
      <c r="B700" s="1" t="n">
        <v>1500</v>
      </c>
      <c r="C700" s="1" t="n">
        <v>1500</v>
      </c>
      <c r="D700" s="1" t="n">
        <v>0</v>
      </c>
    </row>
    <row r="701">
      <c r="A701" t="inlineStr">
        <is>
          <t>cost / bsc / cycle 207</t>
        </is>
      </c>
      <c r="B701" s="1" t="n">
        <v>1500</v>
      </c>
      <c r="C701" s="1" t="n">
        <v>1500</v>
      </c>
      <c r="D701" s="1" t="n">
        <v>0</v>
      </c>
    </row>
    <row r="702">
      <c r="A702" t="inlineStr">
        <is>
          <t>cost / bsc / cycle 208</t>
        </is>
      </c>
      <c r="B702" s="1" t="n">
        <v>1500</v>
      </c>
      <c r="C702" s="1" t="n">
        <v>1500</v>
      </c>
      <c r="D702" s="1" t="n">
        <v>0</v>
      </c>
    </row>
    <row r="703">
      <c r="A703" t="inlineStr">
        <is>
          <t>cost / bsc / cycle 209</t>
        </is>
      </c>
      <c r="B703" s="1" t="n">
        <v>1500</v>
      </c>
      <c r="C703" s="1" t="n">
        <v>1500</v>
      </c>
      <c r="D703" s="1" t="n">
        <v>0</v>
      </c>
    </row>
    <row r="704">
      <c r="A704" t="inlineStr">
        <is>
          <t>cost / bsc / cycle 210</t>
        </is>
      </c>
      <c r="B704" s="1" t="n">
        <v>1500</v>
      </c>
      <c r="C704" s="1" t="n">
        <v>1500</v>
      </c>
      <c r="D704" s="1" t="n">
        <v>0</v>
      </c>
    </row>
    <row r="705">
      <c r="A705" t="inlineStr">
        <is>
          <t>cost / bsc / cycle 211</t>
        </is>
      </c>
      <c r="B705" s="1" t="n">
        <v>1500</v>
      </c>
      <c r="C705" s="1" t="n">
        <v>1500</v>
      </c>
      <c r="D705" s="1" t="n">
        <v>0</v>
      </c>
    </row>
    <row r="706">
      <c r="A706" t="inlineStr">
        <is>
          <t>cost / bsc / cycle 212</t>
        </is>
      </c>
      <c r="B706" s="1" t="n">
        <v>1500</v>
      </c>
      <c r="C706" s="1" t="n">
        <v>1500</v>
      </c>
      <c r="D706" s="1" t="n">
        <v>0</v>
      </c>
    </row>
    <row r="707">
      <c r="A707" t="inlineStr">
        <is>
          <t>cost / bsc / cycle 213</t>
        </is>
      </c>
      <c r="B707" s="1" t="n">
        <v>1500</v>
      </c>
      <c r="C707" s="1" t="n">
        <v>1500</v>
      </c>
      <c r="D707" s="1" t="n">
        <v>0</v>
      </c>
    </row>
    <row r="708">
      <c r="A708" t="inlineStr">
        <is>
          <t>cost / bsc / cycle 214</t>
        </is>
      </c>
      <c r="B708" s="1" t="n">
        <v>1500</v>
      </c>
      <c r="C708" s="1" t="n">
        <v>1500</v>
      </c>
      <c r="D708" s="1" t="n">
        <v>0</v>
      </c>
    </row>
    <row r="709">
      <c r="A709" t="inlineStr">
        <is>
          <t>cost / bsc / cycle 215</t>
        </is>
      </c>
      <c r="B709" s="1" t="n">
        <v>1500</v>
      </c>
      <c r="C709" s="1" t="n">
        <v>1500</v>
      </c>
      <c r="D709" s="1" t="n">
        <v>0</v>
      </c>
    </row>
    <row r="710">
      <c r="A710" t="inlineStr">
        <is>
          <t>cost / bsc / cycle 216</t>
        </is>
      </c>
      <c r="B710" s="1" t="n">
        <v>1500</v>
      </c>
      <c r="C710" s="1" t="n">
        <v>1500</v>
      </c>
      <c r="D710" s="1" t="n">
        <v>0</v>
      </c>
    </row>
    <row r="711">
      <c r="A711" t="inlineStr">
        <is>
          <t>cost / bsc / cycle 217</t>
        </is>
      </c>
      <c r="B711" s="1" t="n">
        <v>1500</v>
      </c>
      <c r="C711" s="1" t="n">
        <v>1500</v>
      </c>
      <c r="D711" s="1" t="n">
        <v>0</v>
      </c>
    </row>
    <row r="712">
      <c r="A712" t="inlineStr">
        <is>
          <t>cost / bsc / cycle 218</t>
        </is>
      </c>
      <c r="B712" s="1" t="n">
        <v>1500</v>
      </c>
      <c r="C712" s="1" t="n">
        <v>1500</v>
      </c>
      <c r="D712" s="1" t="n">
        <v>0</v>
      </c>
    </row>
    <row r="713">
      <c r="A713" t="inlineStr">
        <is>
          <t>cost / bsc / cycle 219</t>
        </is>
      </c>
      <c r="B713" s="1" t="n">
        <v>1500</v>
      </c>
      <c r="C713" s="1" t="n">
        <v>1500</v>
      </c>
      <c r="D713" s="1" t="n">
        <v>0</v>
      </c>
    </row>
    <row r="714">
      <c r="A714" t="inlineStr">
        <is>
          <t>cost / bsc / cycle 220</t>
        </is>
      </c>
      <c r="B714" s="1" t="n">
        <v>1500</v>
      </c>
      <c r="C714" s="1" t="n">
        <v>1500</v>
      </c>
      <c r="D714" s="1" t="n">
        <v>0</v>
      </c>
    </row>
    <row r="715">
      <c r="A715" t="inlineStr">
        <is>
          <t>cost / bsc / cycle 221</t>
        </is>
      </c>
      <c r="B715" s="1" t="n">
        <v>1500</v>
      </c>
      <c r="C715" s="1" t="n">
        <v>1500</v>
      </c>
      <c r="D715" s="1" t="n">
        <v>0</v>
      </c>
    </row>
    <row r="716">
      <c r="A716" t="inlineStr">
        <is>
          <t>cost / bsc / cycle 222</t>
        </is>
      </c>
      <c r="B716" s="1" t="n">
        <v>1500</v>
      </c>
      <c r="C716" s="1" t="n">
        <v>1500</v>
      </c>
      <c r="D716" s="1" t="n">
        <v>0</v>
      </c>
    </row>
    <row r="717">
      <c r="A717" t="inlineStr">
        <is>
          <t>cost / bsc / cycle 223</t>
        </is>
      </c>
      <c r="B717" s="1" t="n">
        <v>1500</v>
      </c>
      <c r="C717" s="1" t="n">
        <v>1500</v>
      </c>
      <c r="D717" s="1" t="n">
        <v>0</v>
      </c>
    </row>
    <row r="718">
      <c r="A718" t="inlineStr">
        <is>
          <t>cost / bsc / cycle 224</t>
        </is>
      </c>
      <c r="B718" s="1" t="n">
        <v>1500</v>
      </c>
      <c r="C718" s="1" t="n">
        <v>1500</v>
      </c>
      <c r="D718" s="1" t="n">
        <v>0</v>
      </c>
    </row>
    <row r="719">
      <c r="A719" t="inlineStr">
        <is>
          <t>cost / bsc / cycle 225</t>
        </is>
      </c>
      <c r="B719" s="1" t="n">
        <v>1500</v>
      </c>
      <c r="C719" s="1" t="n">
        <v>1500</v>
      </c>
      <c r="D719" s="1" t="n">
        <v>0</v>
      </c>
    </row>
    <row r="720">
      <c r="A720" t="inlineStr">
        <is>
          <t>cost / bsc / cycle 226</t>
        </is>
      </c>
      <c r="B720" s="1" t="n">
        <v>1500</v>
      </c>
      <c r="C720" s="1" t="n">
        <v>1500</v>
      </c>
      <c r="D720" s="1" t="n">
        <v>0</v>
      </c>
    </row>
    <row r="721">
      <c r="A721" t="inlineStr">
        <is>
          <t>cost / bsc / cycle 227</t>
        </is>
      </c>
      <c r="B721" s="1" t="n">
        <v>1500</v>
      </c>
      <c r="C721" s="1" t="n">
        <v>1500</v>
      </c>
      <c r="D721" s="1" t="n">
        <v>0</v>
      </c>
    </row>
    <row r="722">
      <c r="A722" t="inlineStr">
        <is>
          <t>cost / bsc / cycle 228</t>
        </is>
      </c>
      <c r="B722" s="1" t="n">
        <v>1500</v>
      </c>
      <c r="C722" s="1" t="n">
        <v>1500</v>
      </c>
      <c r="D722" s="1" t="n">
        <v>0</v>
      </c>
    </row>
    <row r="723">
      <c r="A723" t="inlineStr">
        <is>
          <t>cost / bsc / cycle 229</t>
        </is>
      </c>
      <c r="B723" s="1" t="n">
        <v>1500</v>
      </c>
      <c r="C723" s="1" t="n">
        <v>1500</v>
      </c>
      <c r="D723" s="1" t="n">
        <v>0</v>
      </c>
    </row>
    <row r="724">
      <c r="A724" t="inlineStr">
        <is>
          <t>cost / bsc / cycle 230</t>
        </is>
      </c>
      <c r="B724" s="1" t="n">
        <v>1500</v>
      </c>
      <c r="C724" s="1" t="n">
        <v>1500</v>
      </c>
      <c r="D724" s="1" t="n">
        <v>0</v>
      </c>
    </row>
    <row r="725">
      <c r="A725" t="inlineStr">
        <is>
          <t>cost / bsc / cycle 231</t>
        </is>
      </c>
      <c r="B725" s="1" t="n">
        <v>1500</v>
      </c>
      <c r="C725" s="1" t="n">
        <v>1500</v>
      </c>
      <c r="D725" s="1" t="n">
        <v>0</v>
      </c>
    </row>
    <row r="726">
      <c r="A726" t="inlineStr">
        <is>
          <t>cost / bsc / cycle 232</t>
        </is>
      </c>
      <c r="B726" s="1" t="n">
        <v>1500</v>
      </c>
      <c r="C726" s="1" t="n">
        <v>1500</v>
      </c>
      <c r="D726" s="1" t="n">
        <v>0</v>
      </c>
    </row>
    <row r="727">
      <c r="A727" t="inlineStr">
        <is>
          <t>cost / bsc / cycle 233</t>
        </is>
      </c>
      <c r="B727" s="1" t="n">
        <v>1500</v>
      </c>
      <c r="C727" s="1" t="n">
        <v>1500</v>
      </c>
      <c r="D727" s="1" t="n">
        <v>0</v>
      </c>
    </row>
    <row r="728">
      <c r="A728" t="inlineStr">
        <is>
          <t>cost / bsc / cycle 234</t>
        </is>
      </c>
      <c r="B728" s="1" t="n">
        <v>1500</v>
      </c>
      <c r="C728" s="1" t="n">
        <v>1500</v>
      </c>
      <c r="D728" s="1" t="n">
        <v>0</v>
      </c>
    </row>
    <row r="729">
      <c r="A729" t="inlineStr">
        <is>
          <t>cost / bsc / cycle 235</t>
        </is>
      </c>
      <c r="B729" s="1" t="n">
        <v>1500</v>
      </c>
      <c r="C729" s="1" t="n">
        <v>1500</v>
      </c>
      <c r="D729" s="1" t="n">
        <v>0</v>
      </c>
    </row>
    <row r="730">
      <c r="A730" t="inlineStr">
        <is>
          <t>cost / bsc / cycle 236</t>
        </is>
      </c>
      <c r="B730" s="1" t="n">
        <v>1500</v>
      </c>
      <c r="C730" s="1" t="n">
        <v>1500</v>
      </c>
      <c r="D730" s="1" t="n">
        <v>0</v>
      </c>
    </row>
    <row r="731">
      <c r="A731" t="inlineStr">
        <is>
          <t>cost / bsc / cycle 237</t>
        </is>
      </c>
      <c r="B731" s="1" t="n">
        <v>1500</v>
      </c>
      <c r="C731" s="1" t="n">
        <v>1500</v>
      </c>
      <c r="D731" s="1" t="n">
        <v>0</v>
      </c>
    </row>
    <row r="732">
      <c r="A732" t="inlineStr">
        <is>
          <t>cost / bsc / cycle 238</t>
        </is>
      </c>
      <c r="B732" s="1" t="n">
        <v>1500</v>
      </c>
      <c r="C732" s="1" t="n">
        <v>1500</v>
      </c>
      <c r="D732" s="1" t="n">
        <v>0</v>
      </c>
    </row>
    <row r="733">
      <c r="A733" t="inlineStr">
        <is>
          <t>cost / bsc / cycle 239</t>
        </is>
      </c>
      <c r="B733" s="1" t="n">
        <v>1500</v>
      </c>
      <c r="C733" s="1" t="n">
        <v>1500</v>
      </c>
      <c r="D733" s="1" t="n">
        <v>0</v>
      </c>
    </row>
    <row r="734">
      <c r="A734" t="inlineStr">
        <is>
          <t>cost / bsc / cycle 240</t>
        </is>
      </c>
      <c r="B734" s="1" t="n">
        <v>1500</v>
      </c>
      <c r="C734" s="1" t="n">
        <v>1500</v>
      </c>
      <c r="D734" s="1" t="n">
        <v>0</v>
      </c>
    </row>
    <row r="735">
      <c r="A735" t="inlineStr">
        <is>
          <t>qaly / health / cycle 1</t>
        </is>
      </c>
      <c r="B735" s="1" t="n">
        <v>0.065</v>
      </c>
      <c r="C735" s="1" t="n">
        <v>0.04583333333333334</v>
      </c>
      <c r="D735" s="1" t="n">
        <v>0</v>
      </c>
    </row>
    <row r="736">
      <c r="A736" t="inlineStr">
        <is>
          <t>qaly / health / cycle 2</t>
        </is>
      </c>
      <c r="B736" s="1" t="n">
        <v>0.065</v>
      </c>
      <c r="C736" s="1" t="n">
        <v>0.04583333333333334</v>
      </c>
      <c r="D736" s="1" t="n">
        <v>0</v>
      </c>
    </row>
    <row r="737">
      <c r="A737" t="inlineStr">
        <is>
          <t>qaly / health / cycle 3</t>
        </is>
      </c>
      <c r="B737" s="1" t="n">
        <v>0.065</v>
      </c>
      <c r="C737" s="1" t="n">
        <v>0.04583333333333334</v>
      </c>
      <c r="D737" s="1" t="n">
        <v>0</v>
      </c>
    </row>
    <row r="738">
      <c r="A738" t="inlineStr">
        <is>
          <t>qaly / health / cycle 4</t>
        </is>
      </c>
      <c r="B738" s="1" t="n">
        <v>0.065</v>
      </c>
      <c r="C738" s="1" t="n">
        <v>0.04583333333333334</v>
      </c>
      <c r="D738" s="1" t="n">
        <v>0</v>
      </c>
    </row>
    <row r="739">
      <c r="A739" t="inlineStr">
        <is>
          <t>qaly / health / cycle 5</t>
        </is>
      </c>
      <c r="B739" s="1" t="n">
        <v>0.065</v>
      </c>
      <c r="C739" s="1" t="n">
        <v>0.04583333333333334</v>
      </c>
      <c r="D739" s="1" t="n">
        <v>0</v>
      </c>
    </row>
    <row r="740">
      <c r="A740" t="inlineStr">
        <is>
          <t>qaly / health / cycle 6</t>
        </is>
      </c>
      <c r="B740" s="1" t="n">
        <v>0.065</v>
      </c>
      <c r="C740" s="1" t="n">
        <v>0.04583333333333334</v>
      </c>
      <c r="D740" s="1" t="n">
        <v>0</v>
      </c>
    </row>
    <row r="741">
      <c r="A741" t="inlineStr">
        <is>
          <t>qaly / health / cycle 7</t>
        </is>
      </c>
      <c r="B741" s="1" t="n">
        <v>0.065</v>
      </c>
      <c r="C741" s="1" t="n">
        <v>0.04583333333333334</v>
      </c>
      <c r="D741" s="1" t="n">
        <v>0</v>
      </c>
    </row>
    <row r="742">
      <c r="A742" t="inlineStr">
        <is>
          <t>qaly / health / cycle 8</t>
        </is>
      </c>
      <c r="B742" s="1" t="n">
        <v>0.065</v>
      </c>
      <c r="C742" s="1" t="n">
        <v>0.04583333333333334</v>
      </c>
      <c r="D742" s="1" t="n">
        <v>0</v>
      </c>
    </row>
    <row r="743">
      <c r="A743" t="inlineStr">
        <is>
          <t>qaly / health / cycle 9</t>
        </is>
      </c>
      <c r="B743" s="1" t="n">
        <v>0.065</v>
      </c>
      <c r="C743" s="1" t="n">
        <v>0.04583333333333334</v>
      </c>
      <c r="D743" s="1" t="n">
        <v>0</v>
      </c>
    </row>
    <row r="744">
      <c r="A744" t="inlineStr">
        <is>
          <t>qaly / health / cycle 10</t>
        </is>
      </c>
      <c r="B744" s="1" t="n">
        <v>0.065</v>
      </c>
      <c r="C744" s="1" t="n">
        <v>0.04583333333333334</v>
      </c>
      <c r="D744" s="1" t="n">
        <v>0</v>
      </c>
    </row>
    <row r="745">
      <c r="A745" t="inlineStr">
        <is>
          <t>qaly / health / cycle 11</t>
        </is>
      </c>
      <c r="B745" s="1" t="n">
        <v>0.065</v>
      </c>
      <c r="C745" s="1" t="n">
        <v>0.04583333333333334</v>
      </c>
      <c r="D745" s="1" t="n">
        <v>0</v>
      </c>
    </row>
    <row r="746">
      <c r="A746" t="inlineStr">
        <is>
          <t>qaly / health / cycle 12</t>
        </is>
      </c>
      <c r="B746" s="1" t="n">
        <v>0.065</v>
      </c>
      <c r="C746" s="1" t="n">
        <v>0.04583333333333334</v>
      </c>
      <c r="D746" s="1" t="n">
        <v>0</v>
      </c>
    </row>
    <row r="747">
      <c r="A747" t="inlineStr">
        <is>
          <t>qaly / health / cycle 13</t>
        </is>
      </c>
      <c r="B747" s="1" t="n">
        <v>0.065</v>
      </c>
      <c r="C747" s="1" t="n">
        <v>0.04583333333333334</v>
      </c>
      <c r="D747" s="1" t="n">
        <v>0</v>
      </c>
    </row>
    <row r="748">
      <c r="A748" t="inlineStr">
        <is>
          <t>qaly / health / cycle 14</t>
        </is>
      </c>
      <c r="B748" s="1" t="n">
        <v>0.065</v>
      </c>
      <c r="C748" s="1" t="n">
        <v>0.04583333333333334</v>
      </c>
      <c r="D748" s="1" t="n">
        <v>0</v>
      </c>
    </row>
    <row r="749">
      <c r="A749" t="inlineStr">
        <is>
          <t>qaly / health / cycle 15</t>
        </is>
      </c>
      <c r="B749" s="1" t="n">
        <v>0.065</v>
      </c>
      <c r="C749" s="1" t="n">
        <v>0.04583333333333334</v>
      </c>
      <c r="D749" s="1" t="n">
        <v>0</v>
      </c>
    </row>
    <row r="750">
      <c r="A750" t="inlineStr">
        <is>
          <t>qaly / health / cycle 16</t>
        </is>
      </c>
      <c r="B750" s="1" t="n">
        <v>0.065</v>
      </c>
      <c r="C750" s="1" t="n">
        <v>0.04583333333333334</v>
      </c>
      <c r="D750" s="1" t="n">
        <v>0</v>
      </c>
    </row>
    <row r="751">
      <c r="A751" t="inlineStr">
        <is>
          <t>qaly / health / cycle 17</t>
        </is>
      </c>
      <c r="B751" s="1" t="n">
        <v>0.065</v>
      </c>
      <c r="C751" s="1" t="n">
        <v>0.04583333333333334</v>
      </c>
      <c r="D751" s="1" t="n">
        <v>0</v>
      </c>
    </row>
    <row r="752">
      <c r="A752" t="inlineStr">
        <is>
          <t>qaly / health / cycle 18</t>
        </is>
      </c>
      <c r="B752" s="1" t="n">
        <v>0.065</v>
      </c>
      <c r="C752" s="1" t="n">
        <v>0.04583333333333334</v>
      </c>
      <c r="D752" s="1" t="n">
        <v>0</v>
      </c>
    </row>
    <row r="753">
      <c r="A753" t="inlineStr">
        <is>
          <t>qaly / health / cycle 19</t>
        </is>
      </c>
      <c r="B753" s="1" t="n">
        <v>0.065</v>
      </c>
      <c r="C753" s="1" t="n">
        <v>0.04583333333333334</v>
      </c>
      <c r="D753" s="1" t="n">
        <v>0</v>
      </c>
    </row>
    <row r="754">
      <c r="A754" t="inlineStr">
        <is>
          <t>qaly / health / cycle 20</t>
        </is>
      </c>
      <c r="B754" s="1" t="n">
        <v>0.065</v>
      </c>
      <c r="C754" s="1" t="n">
        <v>0.04583333333333334</v>
      </c>
      <c r="D754" s="1" t="n">
        <v>0</v>
      </c>
    </row>
    <row r="755">
      <c r="A755" t="inlineStr">
        <is>
          <t>qaly / health / cycle 21</t>
        </is>
      </c>
      <c r="B755" s="1" t="n">
        <v>0.065</v>
      </c>
      <c r="C755" s="1" t="n">
        <v>0.04583333333333334</v>
      </c>
      <c r="D755" s="1" t="n">
        <v>0</v>
      </c>
    </row>
    <row r="756">
      <c r="A756" t="inlineStr">
        <is>
          <t>qaly / health / cycle 22</t>
        </is>
      </c>
      <c r="B756" s="1" t="n">
        <v>0.065</v>
      </c>
      <c r="C756" s="1" t="n">
        <v>0.04583333333333334</v>
      </c>
      <c r="D756" s="1" t="n">
        <v>0</v>
      </c>
    </row>
    <row r="757">
      <c r="A757" t="inlineStr">
        <is>
          <t>qaly / health / cycle 23</t>
        </is>
      </c>
      <c r="B757" s="1" t="n">
        <v>0.065</v>
      </c>
      <c r="C757" s="1" t="n">
        <v>0.04583333333333334</v>
      </c>
      <c r="D757" s="1" t="n">
        <v>0</v>
      </c>
    </row>
    <row r="758">
      <c r="A758" t="inlineStr">
        <is>
          <t>qaly / health / cycle 24</t>
        </is>
      </c>
      <c r="B758" s="1" t="n">
        <v>0.065</v>
      </c>
      <c r="C758" s="1" t="n">
        <v>0.04583333333333334</v>
      </c>
      <c r="D758" s="1" t="n">
        <v>0</v>
      </c>
    </row>
    <row r="759">
      <c r="A759" t="inlineStr">
        <is>
          <t>qaly / health / cycle 25</t>
        </is>
      </c>
      <c r="B759" s="1" t="n">
        <v>0.065</v>
      </c>
      <c r="C759" s="1" t="n">
        <v>0.04583333333333334</v>
      </c>
      <c r="D759" s="1" t="n">
        <v>0</v>
      </c>
    </row>
    <row r="760">
      <c r="A760" t="inlineStr">
        <is>
          <t>qaly / health / cycle 26</t>
        </is>
      </c>
      <c r="B760" s="1" t="n">
        <v>0.065</v>
      </c>
      <c r="C760" s="1" t="n">
        <v>0.04583333333333334</v>
      </c>
      <c r="D760" s="1" t="n">
        <v>0</v>
      </c>
    </row>
    <row r="761">
      <c r="A761" t="inlineStr">
        <is>
          <t>qaly / health / cycle 27</t>
        </is>
      </c>
      <c r="B761" s="1" t="n">
        <v>0.065</v>
      </c>
      <c r="C761" s="1" t="n">
        <v>0.04583333333333334</v>
      </c>
      <c r="D761" s="1" t="n">
        <v>0</v>
      </c>
    </row>
    <row r="762">
      <c r="A762" t="inlineStr">
        <is>
          <t>qaly / health / cycle 28</t>
        </is>
      </c>
      <c r="B762" s="1" t="n">
        <v>0.065</v>
      </c>
      <c r="C762" s="1" t="n">
        <v>0.04583333333333334</v>
      </c>
      <c r="D762" s="1" t="n">
        <v>0</v>
      </c>
    </row>
    <row r="763">
      <c r="A763" t="inlineStr">
        <is>
          <t>qaly / health / cycle 29</t>
        </is>
      </c>
      <c r="B763" s="1" t="n">
        <v>0.065</v>
      </c>
      <c r="C763" s="1" t="n">
        <v>0.04583333333333334</v>
      </c>
      <c r="D763" s="1" t="n">
        <v>0</v>
      </c>
    </row>
    <row r="764">
      <c r="A764" t="inlineStr">
        <is>
          <t>qaly / health / cycle 30</t>
        </is>
      </c>
      <c r="B764" s="1" t="n">
        <v>0.065</v>
      </c>
      <c r="C764" s="1" t="n">
        <v>0.04583333333333334</v>
      </c>
      <c r="D764" s="1" t="n">
        <v>0</v>
      </c>
    </row>
    <row r="765">
      <c r="A765" t="inlineStr">
        <is>
          <t>qaly / health / cycle 31</t>
        </is>
      </c>
      <c r="B765" s="1" t="n">
        <v>0.065</v>
      </c>
      <c r="C765" s="1" t="n">
        <v>0.04583333333333334</v>
      </c>
      <c r="D765" s="1" t="n">
        <v>0</v>
      </c>
    </row>
    <row r="766">
      <c r="A766" t="inlineStr">
        <is>
          <t>qaly / health / cycle 32</t>
        </is>
      </c>
      <c r="B766" s="1" t="n">
        <v>0.065</v>
      </c>
      <c r="C766" s="1" t="n">
        <v>0.04583333333333334</v>
      </c>
      <c r="D766" s="1" t="n">
        <v>0</v>
      </c>
    </row>
    <row r="767">
      <c r="A767" t="inlineStr">
        <is>
          <t>qaly / health / cycle 33</t>
        </is>
      </c>
      <c r="B767" s="1" t="n">
        <v>0.065</v>
      </c>
      <c r="C767" s="1" t="n">
        <v>0.04583333333333334</v>
      </c>
      <c r="D767" s="1" t="n">
        <v>0</v>
      </c>
    </row>
    <row r="768">
      <c r="A768" t="inlineStr">
        <is>
          <t>qaly / health / cycle 34</t>
        </is>
      </c>
      <c r="B768" s="1" t="n">
        <v>0.065</v>
      </c>
      <c r="C768" s="1" t="n">
        <v>0.04583333333333334</v>
      </c>
      <c r="D768" s="1" t="n">
        <v>0</v>
      </c>
    </row>
    <row r="769">
      <c r="A769" t="inlineStr">
        <is>
          <t>qaly / health / cycle 35</t>
        </is>
      </c>
      <c r="B769" s="1" t="n">
        <v>0.065</v>
      </c>
      <c r="C769" s="1" t="n">
        <v>0.04583333333333334</v>
      </c>
      <c r="D769" s="1" t="n">
        <v>0</v>
      </c>
    </row>
    <row r="770">
      <c r="A770" t="inlineStr">
        <is>
          <t>qaly / health / cycle 36</t>
        </is>
      </c>
      <c r="B770" s="1" t="n">
        <v>0.065</v>
      </c>
      <c r="C770" s="1" t="n">
        <v>0.04583333333333334</v>
      </c>
      <c r="D770" s="1" t="n">
        <v>0</v>
      </c>
    </row>
    <row r="771">
      <c r="A771" t="inlineStr">
        <is>
          <t>qaly / health / cycle 37</t>
        </is>
      </c>
      <c r="B771" s="1" t="n">
        <v>0.065</v>
      </c>
      <c r="C771" s="1" t="n">
        <v>0.04583333333333334</v>
      </c>
      <c r="D771" s="1" t="n">
        <v>0</v>
      </c>
    </row>
    <row r="772">
      <c r="A772" t="inlineStr">
        <is>
          <t>qaly / health / cycle 38</t>
        </is>
      </c>
      <c r="B772" s="1" t="n">
        <v>0.065</v>
      </c>
      <c r="C772" s="1" t="n">
        <v>0.04583333333333334</v>
      </c>
      <c r="D772" s="1" t="n">
        <v>0</v>
      </c>
    </row>
    <row r="773">
      <c r="A773" t="inlineStr">
        <is>
          <t>qaly / health / cycle 39</t>
        </is>
      </c>
      <c r="B773" s="1" t="n">
        <v>0.065</v>
      </c>
      <c r="C773" s="1" t="n">
        <v>0.04583333333333334</v>
      </c>
      <c r="D773" s="1" t="n">
        <v>0</v>
      </c>
    </row>
    <row r="774">
      <c r="A774" t="inlineStr">
        <is>
          <t>qaly / health / cycle 40</t>
        </is>
      </c>
      <c r="B774" s="1" t="n">
        <v>0.065</v>
      </c>
      <c r="C774" s="1" t="n">
        <v>0.04583333333333334</v>
      </c>
      <c r="D774" s="1" t="n">
        <v>0</v>
      </c>
    </row>
    <row r="775">
      <c r="A775" t="inlineStr">
        <is>
          <t>qaly / health / cycle 41</t>
        </is>
      </c>
      <c r="B775" s="1" t="n">
        <v>0.065</v>
      </c>
      <c r="C775" s="1" t="n">
        <v>0.04583333333333334</v>
      </c>
      <c r="D775" s="1" t="n">
        <v>0</v>
      </c>
    </row>
    <row r="776">
      <c r="A776" t="inlineStr">
        <is>
          <t>qaly / health / cycle 42</t>
        </is>
      </c>
      <c r="B776" s="1" t="n">
        <v>0.065</v>
      </c>
      <c r="C776" s="1" t="n">
        <v>0.04583333333333334</v>
      </c>
      <c r="D776" s="1" t="n">
        <v>0</v>
      </c>
    </row>
    <row r="777">
      <c r="A777" t="inlineStr">
        <is>
          <t>qaly / health / cycle 43</t>
        </is>
      </c>
      <c r="B777" s="1" t="n">
        <v>0.065</v>
      </c>
      <c r="C777" s="1" t="n">
        <v>0.04583333333333334</v>
      </c>
      <c r="D777" s="1" t="n">
        <v>0</v>
      </c>
    </row>
    <row r="778">
      <c r="A778" t="inlineStr">
        <is>
          <t>qaly / health / cycle 44</t>
        </is>
      </c>
      <c r="B778" s="1" t="n">
        <v>0.065</v>
      </c>
      <c r="C778" s="1" t="n">
        <v>0.04583333333333334</v>
      </c>
      <c r="D778" s="1" t="n">
        <v>0</v>
      </c>
    </row>
    <row r="779">
      <c r="A779" t="inlineStr">
        <is>
          <t>qaly / health / cycle 45</t>
        </is>
      </c>
      <c r="B779" s="1" t="n">
        <v>0.065</v>
      </c>
      <c r="C779" s="1" t="n">
        <v>0.04583333333333334</v>
      </c>
      <c r="D779" s="1" t="n">
        <v>0</v>
      </c>
    </row>
    <row r="780">
      <c r="A780" t="inlineStr">
        <is>
          <t>qaly / health / cycle 46</t>
        </is>
      </c>
      <c r="B780" s="1" t="n">
        <v>0.065</v>
      </c>
      <c r="C780" s="1" t="n">
        <v>0.04583333333333334</v>
      </c>
      <c r="D780" s="1" t="n">
        <v>0</v>
      </c>
    </row>
    <row r="781">
      <c r="A781" t="inlineStr">
        <is>
          <t>qaly / health / cycle 47</t>
        </is>
      </c>
      <c r="B781" s="1" t="n">
        <v>0.065</v>
      </c>
      <c r="C781" s="1" t="n">
        <v>0.04583333333333334</v>
      </c>
      <c r="D781" s="1" t="n">
        <v>0</v>
      </c>
    </row>
    <row r="782">
      <c r="A782" t="inlineStr">
        <is>
          <t>qaly / health / cycle 48</t>
        </is>
      </c>
      <c r="B782" s="1" t="n">
        <v>0.065</v>
      </c>
      <c r="C782" s="1" t="n">
        <v>0.04583333333333334</v>
      </c>
      <c r="D782" s="1" t="n">
        <v>0</v>
      </c>
    </row>
    <row r="783">
      <c r="A783" t="inlineStr">
        <is>
          <t>qaly / health / cycle 49</t>
        </is>
      </c>
      <c r="B783" s="1" t="n">
        <v>0.065</v>
      </c>
      <c r="C783" s="1" t="n">
        <v>0.04583333333333334</v>
      </c>
      <c r="D783" s="1" t="n">
        <v>0</v>
      </c>
    </row>
    <row r="784">
      <c r="A784" t="inlineStr">
        <is>
          <t>qaly / health / cycle 50</t>
        </is>
      </c>
      <c r="B784" s="1" t="n">
        <v>0.065</v>
      </c>
      <c r="C784" s="1" t="n">
        <v>0.04583333333333334</v>
      </c>
      <c r="D784" s="1" t="n">
        <v>0</v>
      </c>
    </row>
    <row r="785">
      <c r="A785" t="inlineStr">
        <is>
          <t>qaly / health / cycle 51</t>
        </is>
      </c>
      <c r="B785" s="1" t="n">
        <v>0.065</v>
      </c>
      <c r="C785" s="1" t="n">
        <v>0.04583333333333334</v>
      </c>
      <c r="D785" s="1" t="n">
        <v>0</v>
      </c>
    </row>
    <row r="786">
      <c r="A786" t="inlineStr">
        <is>
          <t>qaly / health / cycle 52</t>
        </is>
      </c>
      <c r="B786" s="1" t="n">
        <v>0.065</v>
      </c>
      <c r="C786" s="1" t="n">
        <v>0.04583333333333334</v>
      </c>
      <c r="D786" s="1" t="n">
        <v>0</v>
      </c>
    </row>
    <row r="787">
      <c r="A787" t="inlineStr">
        <is>
          <t>qaly / health / cycle 53</t>
        </is>
      </c>
      <c r="B787" s="1" t="n">
        <v>0.065</v>
      </c>
      <c r="C787" s="1" t="n">
        <v>0.04583333333333334</v>
      </c>
      <c r="D787" s="1" t="n">
        <v>0</v>
      </c>
    </row>
    <row r="788">
      <c r="A788" t="inlineStr">
        <is>
          <t>qaly / health / cycle 54</t>
        </is>
      </c>
      <c r="B788" s="1" t="n">
        <v>0.065</v>
      </c>
      <c r="C788" s="1" t="n">
        <v>0.04583333333333334</v>
      </c>
      <c r="D788" s="1" t="n">
        <v>0</v>
      </c>
    </row>
    <row r="789">
      <c r="A789" t="inlineStr">
        <is>
          <t>qaly / health / cycle 55</t>
        </is>
      </c>
      <c r="B789" s="1" t="n">
        <v>0.065</v>
      </c>
      <c r="C789" s="1" t="n">
        <v>0.04583333333333334</v>
      </c>
      <c r="D789" s="1" t="n">
        <v>0</v>
      </c>
    </row>
    <row r="790">
      <c r="A790" t="inlineStr">
        <is>
          <t>qaly / health / cycle 56</t>
        </is>
      </c>
      <c r="B790" s="1" t="n">
        <v>0.065</v>
      </c>
      <c r="C790" s="1" t="n">
        <v>0.04583333333333334</v>
      </c>
      <c r="D790" s="1" t="n">
        <v>0</v>
      </c>
    </row>
    <row r="791">
      <c r="A791" t="inlineStr">
        <is>
          <t>qaly / health / cycle 57</t>
        </is>
      </c>
      <c r="B791" s="1" t="n">
        <v>0.065</v>
      </c>
      <c r="C791" s="1" t="n">
        <v>0.04583333333333334</v>
      </c>
      <c r="D791" s="1" t="n">
        <v>0</v>
      </c>
    </row>
    <row r="792">
      <c r="A792" t="inlineStr">
        <is>
          <t>qaly / health / cycle 58</t>
        </is>
      </c>
      <c r="B792" s="1" t="n">
        <v>0.065</v>
      </c>
      <c r="C792" s="1" t="n">
        <v>0.04583333333333334</v>
      </c>
      <c r="D792" s="1" t="n">
        <v>0</v>
      </c>
    </row>
    <row r="793">
      <c r="A793" t="inlineStr">
        <is>
          <t>qaly / health / cycle 59</t>
        </is>
      </c>
      <c r="B793" s="1" t="n">
        <v>0.065</v>
      </c>
      <c r="C793" s="1" t="n">
        <v>0.04583333333333334</v>
      </c>
      <c r="D793" s="1" t="n">
        <v>0</v>
      </c>
    </row>
    <row r="794">
      <c r="A794" t="inlineStr">
        <is>
          <t>qaly / health / cycle 60</t>
        </is>
      </c>
      <c r="B794" s="1" t="n">
        <v>0.065</v>
      </c>
      <c r="C794" s="1" t="n">
        <v>0.04583333333333334</v>
      </c>
      <c r="D794" s="1" t="n">
        <v>0</v>
      </c>
    </row>
    <row r="795">
      <c r="A795" t="inlineStr">
        <is>
          <t>qaly / health / cycle 61</t>
        </is>
      </c>
      <c r="B795" s="1" t="n">
        <v>0.065</v>
      </c>
      <c r="C795" s="1" t="n">
        <v>0.04583333333333334</v>
      </c>
      <c r="D795" s="1" t="n">
        <v>0</v>
      </c>
    </row>
    <row r="796">
      <c r="A796" t="inlineStr">
        <is>
          <t>qaly / health / cycle 62</t>
        </is>
      </c>
      <c r="B796" s="1" t="n">
        <v>0.065</v>
      </c>
      <c r="C796" s="1" t="n">
        <v>0.04583333333333334</v>
      </c>
      <c r="D796" s="1" t="n">
        <v>0</v>
      </c>
    </row>
    <row r="797">
      <c r="A797" t="inlineStr">
        <is>
          <t>qaly / health / cycle 63</t>
        </is>
      </c>
      <c r="B797" s="1" t="n">
        <v>0.065</v>
      </c>
      <c r="C797" s="1" t="n">
        <v>0.04583333333333334</v>
      </c>
      <c r="D797" s="1" t="n">
        <v>0</v>
      </c>
    </row>
    <row r="798">
      <c r="A798" t="inlineStr">
        <is>
          <t>qaly / health / cycle 64</t>
        </is>
      </c>
      <c r="B798" s="1" t="n">
        <v>0.065</v>
      </c>
      <c r="C798" s="1" t="n">
        <v>0.04583333333333334</v>
      </c>
      <c r="D798" s="1" t="n">
        <v>0</v>
      </c>
    </row>
    <row r="799">
      <c r="A799" t="inlineStr">
        <is>
          <t>qaly / health / cycle 65</t>
        </is>
      </c>
      <c r="B799" s="1" t="n">
        <v>0.065</v>
      </c>
      <c r="C799" s="1" t="n">
        <v>0.04583333333333334</v>
      </c>
      <c r="D799" s="1" t="n">
        <v>0</v>
      </c>
    </row>
    <row r="800">
      <c r="A800" t="inlineStr">
        <is>
          <t>qaly / health / cycle 66</t>
        </is>
      </c>
      <c r="B800" s="1" t="n">
        <v>0.065</v>
      </c>
      <c r="C800" s="1" t="n">
        <v>0.04583333333333334</v>
      </c>
      <c r="D800" s="1" t="n">
        <v>0</v>
      </c>
    </row>
    <row r="801">
      <c r="A801" t="inlineStr">
        <is>
          <t>qaly / health / cycle 67</t>
        </is>
      </c>
      <c r="B801" s="1" t="n">
        <v>0.065</v>
      </c>
      <c r="C801" s="1" t="n">
        <v>0.04583333333333334</v>
      </c>
      <c r="D801" s="1" t="n">
        <v>0</v>
      </c>
    </row>
    <row r="802">
      <c r="A802" t="inlineStr">
        <is>
          <t>qaly / health / cycle 68</t>
        </is>
      </c>
      <c r="B802" s="1" t="n">
        <v>0.065</v>
      </c>
      <c r="C802" s="1" t="n">
        <v>0.04583333333333334</v>
      </c>
      <c r="D802" s="1" t="n">
        <v>0</v>
      </c>
    </row>
    <row r="803">
      <c r="A803" t="inlineStr">
        <is>
          <t>qaly / health / cycle 69</t>
        </is>
      </c>
      <c r="B803" s="1" t="n">
        <v>0.065</v>
      </c>
      <c r="C803" s="1" t="n">
        <v>0.04583333333333334</v>
      </c>
      <c r="D803" s="1" t="n">
        <v>0</v>
      </c>
    </row>
    <row r="804">
      <c r="A804" t="inlineStr">
        <is>
          <t>qaly / health / cycle 70</t>
        </is>
      </c>
      <c r="B804" s="1" t="n">
        <v>0.065</v>
      </c>
      <c r="C804" s="1" t="n">
        <v>0.04583333333333334</v>
      </c>
      <c r="D804" s="1" t="n">
        <v>0</v>
      </c>
    </row>
    <row r="805">
      <c r="A805" t="inlineStr">
        <is>
          <t>qaly / health / cycle 71</t>
        </is>
      </c>
      <c r="B805" s="1" t="n">
        <v>0.065</v>
      </c>
      <c r="C805" s="1" t="n">
        <v>0.04583333333333334</v>
      </c>
      <c r="D805" s="1" t="n">
        <v>0</v>
      </c>
    </row>
    <row r="806">
      <c r="A806" t="inlineStr">
        <is>
          <t>qaly / health / cycle 72</t>
        </is>
      </c>
      <c r="B806" s="1" t="n">
        <v>0.065</v>
      </c>
      <c r="C806" s="1" t="n">
        <v>0.04583333333333334</v>
      </c>
      <c r="D806" s="1" t="n">
        <v>0</v>
      </c>
    </row>
    <row r="807">
      <c r="A807" t="inlineStr">
        <is>
          <t>qaly / health / cycle 73</t>
        </is>
      </c>
      <c r="B807" s="1" t="n">
        <v>0.065</v>
      </c>
      <c r="C807" s="1" t="n">
        <v>0.04583333333333334</v>
      </c>
      <c r="D807" s="1" t="n">
        <v>0</v>
      </c>
    </row>
    <row r="808">
      <c r="A808" t="inlineStr">
        <is>
          <t>qaly / health / cycle 74</t>
        </is>
      </c>
      <c r="B808" s="1" t="n">
        <v>0.065</v>
      </c>
      <c r="C808" s="1" t="n">
        <v>0.04583333333333334</v>
      </c>
      <c r="D808" s="1" t="n">
        <v>0</v>
      </c>
    </row>
    <row r="809">
      <c r="A809" t="inlineStr">
        <is>
          <t>qaly / health / cycle 75</t>
        </is>
      </c>
      <c r="B809" s="1" t="n">
        <v>0.065</v>
      </c>
      <c r="C809" s="1" t="n">
        <v>0.04583333333333334</v>
      </c>
      <c r="D809" s="1" t="n">
        <v>0</v>
      </c>
    </row>
    <row r="810">
      <c r="A810" t="inlineStr">
        <is>
          <t>qaly / health / cycle 76</t>
        </is>
      </c>
      <c r="B810" s="1" t="n">
        <v>0.065</v>
      </c>
      <c r="C810" s="1" t="n">
        <v>0.04583333333333334</v>
      </c>
      <c r="D810" s="1" t="n">
        <v>0</v>
      </c>
    </row>
    <row r="811">
      <c r="A811" t="inlineStr">
        <is>
          <t>qaly / health / cycle 77</t>
        </is>
      </c>
      <c r="B811" s="1" t="n">
        <v>0.065</v>
      </c>
      <c r="C811" s="1" t="n">
        <v>0.04583333333333334</v>
      </c>
      <c r="D811" s="1" t="n">
        <v>0</v>
      </c>
    </row>
    <row r="812">
      <c r="A812" t="inlineStr">
        <is>
          <t>qaly / health / cycle 78</t>
        </is>
      </c>
      <c r="B812" s="1" t="n">
        <v>0.065</v>
      </c>
      <c r="C812" s="1" t="n">
        <v>0.04583333333333334</v>
      </c>
      <c r="D812" s="1" t="n">
        <v>0</v>
      </c>
    </row>
    <row r="813">
      <c r="A813" t="inlineStr">
        <is>
          <t>qaly / health / cycle 79</t>
        </is>
      </c>
      <c r="B813" s="1" t="n">
        <v>0.065</v>
      </c>
      <c r="C813" s="1" t="n">
        <v>0.04583333333333334</v>
      </c>
      <c r="D813" s="1" t="n">
        <v>0</v>
      </c>
    </row>
    <row r="814">
      <c r="A814" t="inlineStr">
        <is>
          <t>qaly / health / cycle 80</t>
        </is>
      </c>
      <c r="B814" s="1" t="n">
        <v>0.065</v>
      </c>
      <c r="C814" s="1" t="n">
        <v>0.04583333333333334</v>
      </c>
      <c r="D814" s="1" t="n">
        <v>0</v>
      </c>
    </row>
    <row r="815">
      <c r="A815" t="inlineStr">
        <is>
          <t>qaly / health / cycle 81</t>
        </is>
      </c>
      <c r="B815" s="1" t="n">
        <v>0.065</v>
      </c>
      <c r="C815" s="1" t="n">
        <v>0.04583333333333334</v>
      </c>
      <c r="D815" s="1" t="n">
        <v>0</v>
      </c>
    </row>
    <row r="816">
      <c r="A816" t="inlineStr">
        <is>
          <t>qaly / health / cycle 82</t>
        </is>
      </c>
      <c r="B816" s="1" t="n">
        <v>0.065</v>
      </c>
      <c r="C816" s="1" t="n">
        <v>0.04583333333333334</v>
      </c>
      <c r="D816" s="1" t="n">
        <v>0</v>
      </c>
    </row>
    <row r="817">
      <c r="A817" t="inlineStr">
        <is>
          <t>qaly / health / cycle 83</t>
        </is>
      </c>
      <c r="B817" s="1" t="n">
        <v>0.065</v>
      </c>
      <c r="C817" s="1" t="n">
        <v>0.04583333333333334</v>
      </c>
      <c r="D817" s="1" t="n">
        <v>0</v>
      </c>
    </row>
    <row r="818">
      <c r="A818" t="inlineStr">
        <is>
          <t>qaly / health / cycle 84</t>
        </is>
      </c>
      <c r="B818" s="1" t="n">
        <v>0.065</v>
      </c>
      <c r="C818" s="1" t="n">
        <v>0.04583333333333334</v>
      </c>
      <c r="D818" s="1" t="n">
        <v>0</v>
      </c>
    </row>
    <row r="819">
      <c r="A819" t="inlineStr">
        <is>
          <t>qaly / health / cycle 85</t>
        </is>
      </c>
      <c r="B819" s="1" t="n">
        <v>0.065</v>
      </c>
      <c r="C819" s="1" t="n">
        <v>0.04583333333333334</v>
      </c>
      <c r="D819" s="1" t="n">
        <v>0</v>
      </c>
    </row>
    <row r="820">
      <c r="A820" t="inlineStr">
        <is>
          <t>qaly / health / cycle 86</t>
        </is>
      </c>
      <c r="B820" s="1" t="n">
        <v>0.065</v>
      </c>
      <c r="C820" s="1" t="n">
        <v>0.04583333333333334</v>
      </c>
      <c r="D820" s="1" t="n">
        <v>0</v>
      </c>
    </row>
    <row r="821">
      <c r="A821" t="inlineStr">
        <is>
          <t>qaly / health / cycle 87</t>
        </is>
      </c>
      <c r="B821" s="1" t="n">
        <v>0.065</v>
      </c>
      <c r="C821" s="1" t="n">
        <v>0.04583333333333334</v>
      </c>
      <c r="D821" s="1" t="n">
        <v>0</v>
      </c>
    </row>
    <row r="822">
      <c r="A822" t="inlineStr">
        <is>
          <t>qaly / health / cycle 88</t>
        </is>
      </c>
      <c r="B822" s="1" t="n">
        <v>0.065</v>
      </c>
      <c r="C822" s="1" t="n">
        <v>0.04583333333333334</v>
      </c>
      <c r="D822" s="1" t="n">
        <v>0</v>
      </c>
    </row>
    <row r="823">
      <c r="A823" t="inlineStr">
        <is>
          <t>qaly / health / cycle 89</t>
        </is>
      </c>
      <c r="B823" s="1" t="n">
        <v>0.065</v>
      </c>
      <c r="C823" s="1" t="n">
        <v>0.04583333333333334</v>
      </c>
      <c r="D823" s="1" t="n">
        <v>0</v>
      </c>
    </row>
    <row r="824">
      <c r="A824" t="inlineStr">
        <is>
          <t>qaly / health / cycle 90</t>
        </is>
      </c>
      <c r="B824" s="1" t="n">
        <v>0.065</v>
      </c>
      <c r="C824" s="1" t="n">
        <v>0.04583333333333334</v>
      </c>
      <c r="D824" s="1" t="n">
        <v>0</v>
      </c>
    </row>
    <row r="825">
      <c r="A825" t="inlineStr">
        <is>
          <t>qaly / health / cycle 91</t>
        </is>
      </c>
      <c r="B825" s="1" t="n">
        <v>0.065</v>
      </c>
      <c r="C825" s="1" t="n">
        <v>0.04583333333333334</v>
      </c>
      <c r="D825" s="1" t="n">
        <v>0</v>
      </c>
    </row>
    <row r="826">
      <c r="A826" t="inlineStr">
        <is>
          <t>qaly / health / cycle 92</t>
        </is>
      </c>
      <c r="B826" s="1" t="n">
        <v>0.065</v>
      </c>
      <c r="C826" s="1" t="n">
        <v>0.04583333333333334</v>
      </c>
      <c r="D826" s="1" t="n">
        <v>0</v>
      </c>
    </row>
    <row r="827">
      <c r="A827" t="inlineStr">
        <is>
          <t>qaly / health / cycle 93</t>
        </is>
      </c>
      <c r="B827" s="1" t="n">
        <v>0.065</v>
      </c>
      <c r="C827" s="1" t="n">
        <v>0.04583333333333334</v>
      </c>
      <c r="D827" s="1" t="n">
        <v>0</v>
      </c>
    </row>
    <row r="828">
      <c r="A828" t="inlineStr">
        <is>
          <t>qaly / health / cycle 94</t>
        </is>
      </c>
      <c r="B828" s="1" t="n">
        <v>0.065</v>
      </c>
      <c r="C828" s="1" t="n">
        <v>0.04583333333333334</v>
      </c>
      <c r="D828" s="1" t="n">
        <v>0</v>
      </c>
    </row>
    <row r="829">
      <c r="A829" t="inlineStr">
        <is>
          <t>qaly / health / cycle 95</t>
        </is>
      </c>
      <c r="B829" s="1" t="n">
        <v>0.065</v>
      </c>
      <c r="C829" s="1" t="n">
        <v>0.04583333333333334</v>
      </c>
      <c r="D829" s="1" t="n">
        <v>0</v>
      </c>
    </row>
    <row r="830">
      <c r="A830" t="inlineStr">
        <is>
          <t>qaly / health / cycle 96</t>
        </is>
      </c>
      <c r="B830" s="1" t="n">
        <v>0.065</v>
      </c>
      <c r="C830" s="1" t="n">
        <v>0.04583333333333334</v>
      </c>
      <c r="D830" s="1" t="n">
        <v>0</v>
      </c>
    </row>
    <row r="831">
      <c r="A831" t="inlineStr">
        <is>
          <t>qaly / health / cycle 97</t>
        </is>
      </c>
      <c r="B831" s="1" t="n">
        <v>0.065</v>
      </c>
      <c r="C831" s="1" t="n">
        <v>0.04583333333333334</v>
      </c>
      <c r="D831" s="1" t="n">
        <v>0</v>
      </c>
    </row>
    <row r="832">
      <c r="A832" t="inlineStr">
        <is>
          <t>qaly / health / cycle 98</t>
        </is>
      </c>
      <c r="B832" s="1" t="n">
        <v>0.065</v>
      </c>
      <c r="C832" s="1" t="n">
        <v>0.04583333333333334</v>
      </c>
      <c r="D832" s="1" t="n">
        <v>0</v>
      </c>
    </row>
    <row r="833">
      <c r="A833" t="inlineStr">
        <is>
          <t>qaly / health / cycle 99</t>
        </is>
      </c>
      <c r="B833" s="1" t="n">
        <v>0.065</v>
      </c>
      <c r="C833" s="1" t="n">
        <v>0.04583333333333334</v>
      </c>
      <c r="D833" s="1" t="n">
        <v>0</v>
      </c>
    </row>
    <row r="834">
      <c r="A834" t="inlineStr">
        <is>
          <t>qaly / health / cycle 100</t>
        </is>
      </c>
      <c r="B834" s="1" t="n">
        <v>0.065</v>
      </c>
      <c r="C834" s="1" t="n">
        <v>0.04583333333333334</v>
      </c>
      <c r="D834" s="1" t="n">
        <v>0</v>
      </c>
    </row>
    <row r="835">
      <c r="A835" t="inlineStr">
        <is>
          <t>qaly / health / cycle 101</t>
        </is>
      </c>
      <c r="B835" s="1" t="n">
        <v>0.065</v>
      </c>
      <c r="C835" s="1" t="n">
        <v>0.04583333333333334</v>
      </c>
      <c r="D835" s="1" t="n">
        <v>0</v>
      </c>
    </row>
    <row r="836">
      <c r="A836" t="inlineStr">
        <is>
          <t>qaly / health / cycle 102</t>
        </is>
      </c>
      <c r="B836" s="1" t="n">
        <v>0.065</v>
      </c>
      <c r="C836" s="1" t="n">
        <v>0.04583333333333334</v>
      </c>
      <c r="D836" s="1" t="n">
        <v>0</v>
      </c>
    </row>
    <row r="837">
      <c r="A837" t="inlineStr">
        <is>
          <t>qaly / health / cycle 103</t>
        </is>
      </c>
      <c r="B837" s="1" t="n">
        <v>0.065</v>
      </c>
      <c r="C837" s="1" t="n">
        <v>0.04583333333333334</v>
      </c>
      <c r="D837" s="1" t="n">
        <v>0</v>
      </c>
    </row>
    <row r="838">
      <c r="A838" t="inlineStr">
        <is>
          <t>qaly / health / cycle 104</t>
        </is>
      </c>
      <c r="B838" s="1" t="n">
        <v>0.065</v>
      </c>
      <c r="C838" s="1" t="n">
        <v>0.04583333333333334</v>
      </c>
      <c r="D838" s="1" t="n">
        <v>0</v>
      </c>
    </row>
    <row r="839">
      <c r="A839" t="inlineStr">
        <is>
          <t>qaly / health / cycle 105</t>
        </is>
      </c>
      <c r="B839" s="1" t="n">
        <v>0.065</v>
      </c>
      <c r="C839" s="1" t="n">
        <v>0.04583333333333334</v>
      </c>
      <c r="D839" s="1" t="n">
        <v>0</v>
      </c>
    </row>
    <row r="840">
      <c r="A840" t="inlineStr">
        <is>
          <t>qaly / health / cycle 106</t>
        </is>
      </c>
      <c r="B840" s="1" t="n">
        <v>0.065</v>
      </c>
      <c r="C840" s="1" t="n">
        <v>0.04583333333333334</v>
      </c>
      <c r="D840" s="1" t="n">
        <v>0</v>
      </c>
    </row>
    <row r="841">
      <c r="A841" t="inlineStr">
        <is>
          <t>qaly / health / cycle 107</t>
        </is>
      </c>
      <c r="B841" s="1" t="n">
        <v>0.065</v>
      </c>
      <c r="C841" s="1" t="n">
        <v>0.04583333333333334</v>
      </c>
      <c r="D841" s="1" t="n">
        <v>0</v>
      </c>
    </row>
    <row r="842">
      <c r="A842" t="inlineStr">
        <is>
          <t>qaly / health / cycle 108</t>
        </is>
      </c>
      <c r="B842" s="1" t="n">
        <v>0.065</v>
      </c>
      <c r="C842" s="1" t="n">
        <v>0.04583333333333334</v>
      </c>
      <c r="D842" s="1" t="n">
        <v>0</v>
      </c>
    </row>
    <row r="843">
      <c r="A843" t="inlineStr">
        <is>
          <t>qaly / health / cycle 109</t>
        </is>
      </c>
      <c r="B843" s="1" t="n">
        <v>0.065</v>
      </c>
      <c r="C843" s="1" t="n">
        <v>0.04583333333333334</v>
      </c>
      <c r="D843" s="1" t="n">
        <v>0</v>
      </c>
    </row>
    <row r="844">
      <c r="A844" t="inlineStr">
        <is>
          <t>qaly / health / cycle 110</t>
        </is>
      </c>
      <c r="B844" s="1" t="n">
        <v>0.065</v>
      </c>
      <c r="C844" s="1" t="n">
        <v>0.04583333333333334</v>
      </c>
      <c r="D844" s="1" t="n">
        <v>0</v>
      </c>
    </row>
    <row r="845">
      <c r="A845" t="inlineStr">
        <is>
          <t>qaly / health / cycle 111</t>
        </is>
      </c>
      <c r="B845" s="1" t="n">
        <v>0.065</v>
      </c>
      <c r="C845" s="1" t="n">
        <v>0.04583333333333334</v>
      </c>
      <c r="D845" s="1" t="n">
        <v>0</v>
      </c>
    </row>
    <row r="846">
      <c r="A846" t="inlineStr">
        <is>
          <t>qaly / health / cycle 112</t>
        </is>
      </c>
      <c r="B846" s="1" t="n">
        <v>0.065</v>
      </c>
      <c r="C846" s="1" t="n">
        <v>0.04583333333333334</v>
      </c>
      <c r="D846" s="1" t="n">
        <v>0</v>
      </c>
    </row>
    <row r="847">
      <c r="A847" t="inlineStr">
        <is>
          <t>qaly / health / cycle 113</t>
        </is>
      </c>
      <c r="B847" s="1" t="n">
        <v>0.065</v>
      </c>
      <c r="C847" s="1" t="n">
        <v>0.04583333333333334</v>
      </c>
      <c r="D847" s="1" t="n">
        <v>0</v>
      </c>
    </row>
    <row r="848">
      <c r="A848" t="inlineStr">
        <is>
          <t>qaly / health / cycle 114</t>
        </is>
      </c>
      <c r="B848" s="1" t="n">
        <v>0.065</v>
      </c>
      <c r="C848" s="1" t="n">
        <v>0.04583333333333334</v>
      </c>
      <c r="D848" s="1" t="n">
        <v>0</v>
      </c>
    </row>
    <row r="849">
      <c r="A849" t="inlineStr">
        <is>
          <t>qaly / health / cycle 115</t>
        </is>
      </c>
      <c r="B849" s="1" t="n">
        <v>0.065</v>
      </c>
      <c r="C849" s="1" t="n">
        <v>0.04583333333333334</v>
      </c>
      <c r="D849" s="1" t="n">
        <v>0</v>
      </c>
    </row>
    <row r="850">
      <c r="A850" t="inlineStr">
        <is>
          <t>qaly / health / cycle 116</t>
        </is>
      </c>
      <c r="B850" s="1" t="n">
        <v>0.065</v>
      </c>
      <c r="C850" s="1" t="n">
        <v>0.04583333333333334</v>
      </c>
      <c r="D850" s="1" t="n">
        <v>0</v>
      </c>
    </row>
    <row r="851">
      <c r="A851" t="inlineStr">
        <is>
          <t>qaly / health / cycle 117</t>
        </is>
      </c>
      <c r="B851" s="1" t="n">
        <v>0.065</v>
      </c>
      <c r="C851" s="1" t="n">
        <v>0.04583333333333334</v>
      </c>
      <c r="D851" s="1" t="n">
        <v>0</v>
      </c>
    </row>
    <row r="852">
      <c r="A852" t="inlineStr">
        <is>
          <t>qaly / health / cycle 118</t>
        </is>
      </c>
      <c r="B852" s="1" t="n">
        <v>0.065</v>
      </c>
      <c r="C852" s="1" t="n">
        <v>0.04583333333333334</v>
      </c>
      <c r="D852" s="1" t="n">
        <v>0</v>
      </c>
    </row>
    <row r="853">
      <c r="A853" t="inlineStr">
        <is>
          <t>qaly / health / cycle 119</t>
        </is>
      </c>
      <c r="B853" s="1" t="n">
        <v>0.065</v>
      </c>
      <c r="C853" s="1" t="n">
        <v>0.04583333333333334</v>
      </c>
      <c r="D853" s="1" t="n">
        <v>0</v>
      </c>
    </row>
    <row r="854">
      <c r="A854" t="inlineStr">
        <is>
          <t>qaly / health / cycle 120</t>
        </is>
      </c>
      <c r="B854" s="1" t="n">
        <v>0.065</v>
      </c>
      <c r="C854" s="1" t="n">
        <v>0.04583333333333334</v>
      </c>
      <c r="D854" s="1" t="n">
        <v>0</v>
      </c>
    </row>
    <row r="855">
      <c r="A855" t="inlineStr">
        <is>
          <t>qaly / health / cycle 121</t>
        </is>
      </c>
      <c r="B855" s="1" t="n">
        <v>0.065</v>
      </c>
      <c r="C855" s="1" t="n">
        <v>0.04583333333333334</v>
      </c>
      <c r="D855" s="1" t="n">
        <v>0</v>
      </c>
    </row>
    <row r="856">
      <c r="A856" t="inlineStr">
        <is>
          <t>qaly / health / cycle 122</t>
        </is>
      </c>
      <c r="B856" s="1" t="n">
        <v>0.065</v>
      </c>
      <c r="C856" s="1" t="n">
        <v>0.04583333333333334</v>
      </c>
      <c r="D856" s="1" t="n">
        <v>0</v>
      </c>
    </row>
    <row r="857">
      <c r="A857" t="inlineStr">
        <is>
          <t>qaly / health / cycle 123</t>
        </is>
      </c>
      <c r="B857" s="1" t="n">
        <v>0.065</v>
      </c>
      <c r="C857" s="1" t="n">
        <v>0.04583333333333334</v>
      </c>
      <c r="D857" s="1" t="n">
        <v>0</v>
      </c>
    </row>
    <row r="858">
      <c r="A858" t="inlineStr">
        <is>
          <t>qaly / health / cycle 124</t>
        </is>
      </c>
      <c r="B858" s="1" t="n">
        <v>0.065</v>
      </c>
      <c r="C858" s="1" t="n">
        <v>0.04583333333333334</v>
      </c>
      <c r="D858" s="1" t="n">
        <v>0</v>
      </c>
    </row>
    <row r="859">
      <c r="A859" t="inlineStr">
        <is>
          <t>qaly / health / cycle 125</t>
        </is>
      </c>
      <c r="B859" s="1" t="n">
        <v>0.065</v>
      </c>
      <c r="C859" s="1" t="n">
        <v>0.04583333333333334</v>
      </c>
      <c r="D859" s="1" t="n">
        <v>0</v>
      </c>
    </row>
    <row r="860">
      <c r="A860" t="inlineStr">
        <is>
          <t>qaly / health / cycle 126</t>
        </is>
      </c>
      <c r="B860" s="1" t="n">
        <v>0.065</v>
      </c>
      <c r="C860" s="1" t="n">
        <v>0.04583333333333334</v>
      </c>
      <c r="D860" s="1" t="n">
        <v>0</v>
      </c>
    </row>
    <row r="861">
      <c r="A861" t="inlineStr">
        <is>
          <t>qaly / health / cycle 127</t>
        </is>
      </c>
      <c r="B861" s="1" t="n">
        <v>0.065</v>
      </c>
      <c r="C861" s="1" t="n">
        <v>0.04583333333333334</v>
      </c>
      <c r="D861" s="1" t="n">
        <v>0</v>
      </c>
    </row>
    <row r="862">
      <c r="A862" t="inlineStr">
        <is>
          <t>qaly / health / cycle 128</t>
        </is>
      </c>
      <c r="B862" s="1" t="n">
        <v>0.065</v>
      </c>
      <c r="C862" s="1" t="n">
        <v>0.04583333333333334</v>
      </c>
      <c r="D862" s="1" t="n">
        <v>0</v>
      </c>
    </row>
    <row r="863">
      <c r="A863" t="inlineStr">
        <is>
          <t>qaly / health / cycle 129</t>
        </is>
      </c>
      <c r="B863" s="1" t="n">
        <v>0.065</v>
      </c>
      <c r="C863" s="1" t="n">
        <v>0.04583333333333334</v>
      </c>
      <c r="D863" s="1" t="n">
        <v>0</v>
      </c>
    </row>
    <row r="864">
      <c r="A864" t="inlineStr">
        <is>
          <t>qaly / health / cycle 130</t>
        </is>
      </c>
      <c r="B864" s="1" t="n">
        <v>0.065</v>
      </c>
      <c r="C864" s="1" t="n">
        <v>0.04583333333333334</v>
      </c>
      <c r="D864" s="1" t="n">
        <v>0</v>
      </c>
    </row>
    <row r="865">
      <c r="A865" t="inlineStr">
        <is>
          <t>qaly / health / cycle 131</t>
        </is>
      </c>
      <c r="B865" s="1" t="n">
        <v>0.065</v>
      </c>
      <c r="C865" s="1" t="n">
        <v>0.04583333333333334</v>
      </c>
      <c r="D865" s="1" t="n">
        <v>0</v>
      </c>
    </row>
    <row r="866">
      <c r="A866" t="inlineStr">
        <is>
          <t>qaly / health / cycle 132</t>
        </is>
      </c>
      <c r="B866" s="1" t="n">
        <v>0.065</v>
      </c>
      <c r="C866" s="1" t="n">
        <v>0.04583333333333334</v>
      </c>
      <c r="D866" s="1" t="n">
        <v>0</v>
      </c>
    </row>
    <row r="867">
      <c r="A867" t="inlineStr">
        <is>
          <t>qaly / health / cycle 133</t>
        </is>
      </c>
      <c r="B867" s="1" t="n">
        <v>0.065</v>
      </c>
      <c r="C867" s="1" t="n">
        <v>0.04583333333333334</v>
      </c>
      <c r="D867" s="1" t="n">
        <v>0</v>
      </c>
    </row>
    <row r="868">
      <c r="A868" t="inlineStr">
        <is>
          <t>qaly / health / cycle 134</t>
        </is>
      </c>
      <c r="B868" s="1" t="n">
        <v>0.065</v>
      </c>
      <c r="C868" s="1" t="n">
        <v>0.04583333333333334</v>
      </c>
      <c r="D868" s="1" t="n">
        <v>0</v>
      </c>
    </row>
    <row r="869">
      <c r="A869" t="inlineStr">
        <is>
          <t>qaly / health / cycle 135</t>
        </is>
      </c>
      <c r="B869" s="1" t="n">
        <v>0.065</v>
      </c>
      <c r="C869" s="1" t="n">
        <v>0.04583333333333334</v>
      </c>
      <c r="D869" s="1" t="n">
        <v>0</v>
      </c>
    </row>
    <row r="870">
      <c r="A870" t="inlineStr">
        <is>
          <t>qaly / health / cycle 136</t>
        </is>
      </c>
      <c r="B870" s="1" t="n">
        <v>0.065</v>
      </c>
      <c r="C870" s="1" t="n">
        <v>0.04583333333333334</v>
      </c>
      <c r="D870" s="1" t="n">
        <v>0</v>
      </c>
    </row>
    <row r="871">
      <c r="A871" t="inlineStr">
        <is>
          <t>qaly / health / cycle 137</t>
        </is>
      </c>
      <c r="B871" s="1" t="n">
        <v>0.065</v>
      </c>
      <c r="C871" s="1" t="n">
        <v>0.04583333333333334</v>
      </c>
      <c r="D871" s="1" t="n">
        <v>0</v>
      </c>
    </row>
    <row r="872">
      <c r="A872" t="inlineStr">
        <is>
          <t>qaly / health / cycle 138</t>
        </is>
      </c>
      <c r="B872" s="1" t="n">
        <v>0.065</v>
      </c>
      <c r="C872" s="1" t="n">
        <v>0.04583333333333334</v>
      </c>
      <c r="D872" s="1" t="n">
        <v>0</v>
      </c>
    </row>
    <row r="873">
      <c r="A873" t="inlineStr">
        <is>
          <t>qaly / health / cycle 139</t>
        </is>
      </c>
      <c r="B873" s="1" t="n">
        <v>0.065</v>
      </c>
      <c r="C873" s="1" t="n">
        <v>0.04583333333333334</v>
      </c>
      <c r="D873" s="1" t="n">
        <v>0</v>
      </c>
    </row>
    <row r="874">
      <c r="A874" t="inlineStr">
        <is>
          <t>qaly / health / cycle 140</t>
        </is>
      </c>
      <c r="B874" s="1" t="n">
        <v>0.065</v>
      </c>
      <c r="C874" s="1" t="n">
        <v>0.04583333333333334</v>
      </c>
      <c r="D874" s="1" t="n">
        <v>0</v>
      </c>
    </row>
    <row r="875">
      <c r="A875" t="inlineStr">
        <is>
          <t>qaly / health / cycle 141</t>
        </is>
      </c>
      <c r="B875" s="1" t="n">
        <v>0.065</v>
      </c>
      <c r="C875" s="1" t="n">
        <v>0.04583333333333334</v>
      </c>
      <c r="D875" s="1" t="n">
        <v>0</v>
      </c>
    </row>
    <row r="876">
      <c r="A876" t="inlineStr">
        <is>
          <t>qaly / health / cycle 142</t>
        </is>
      </c>
      <c r="B876" s="1" t="n">
        <v>0.065</v>
      </c>
      <c r="C876" s="1" t="n">
        <v>0.04583333333333334</v>
      </c>
      <c r="D876" s="1" t="n">
        <v>0</v>
      </c>
    </row>
    <row r="877">
      <c r="A877" t="inlineStr">
        <is>
          <t>qaly / health / cycle 143</t>
        </is>
      </c>
      <c r="B877" s="1" t="n">
        <v>0.065</v>
      </c>
      <c r="C877" s="1" t="n">
        <v>0.04583333333333334</v>
      </c>
      <c r="D877" s="1" t="n">
        <v>0</v>
      </c>
    </row>
    <row r="878">
      <c r="A878" t="inlineStr">
        <is>
          <t>qaly / health / cycle 144</t>
        </is>
      </c>
      <c r="B878" s="1" t="n">
        <v>0.065</v>
      </c>
      <c r="C878" s="1" t="n">
        <v>0.04583333333333334</v>
      </c>
      <c r="D878" s="1" t="n">
        <v>0</v>
      </c>
    </row>
    <row r="879">
      <c r="A879" t="inlineStr">
        <is>
          <t>qaly / health / cycle 145</t>
        </is>
      </c>
      <c r="B879" s="1" t="n">
        <v>0.065</v>
      </c>
      <c r="C879" s="1" t="n">
        <v>0.04583333333333334</v>
      </c>
      <c r="D879" s="1" t="n">
        <v>0</v>
      </c>
    </row>
    <row r="880">
      <c r="A880" t="inlineStr">
        <is>
          <t>qaly / health / cycle 146</t>
        </is>
      </c>
      <c r="B880" s="1" t="n">
        <v>0.065</v>
      </c>
      <c r="C880" s="1" t="n">
        <v>0.04583333333333334</v>
      </c>
      <c r="D880" s="1" t="n">
        <v>0</v>
      </c>
    </row>
    <row r="881">
      <c r="A881" t="inlineStr">
        <is>
          <t>qaly / health / cycle 147</t>
        </is>
      </c>
      <c r="B881" s="1" t="n">
        <v>0.065</v>
      </c>
      <c r="C881" s="1" t="n">
        <v>0.04583333333333334</v>
      </c>
      <c r="D881" s="1" t="n">
        <v>0</v>
      </c>
    </row>
    <row r="882">
      <c r="A882" t="inlineStr">
        <is>
          <t>qaly / health / cycle 148</t>
        </is>
      </c>
      <c r="B882" s="1" t="n">
        <v>0.065</v>
      </c>
      <c r="C882" s="1" t="n">
        <v>0.04583333333333334</v>
      </c>
      <c r="D882" s="1" t="n">
        <v>0</v>
      </c>
    </row>
    <row r="883">
      <c r="A883" t="inlineStr">
        <is>
          <t>qaly / health / cycle 149</t>
        </is>
      </c>
      <c r="B883" s="1" t="n">
        <v>0.065</v>
      </c>
      <c r="C883" s="1" t="n">
        <v>0.04583333333333334</v>
      </c>
      <c r="D883" s="1" t="n">
        <v>0</v>
      </c>
    </row>
    <row r="884">
      <c r="A884" t="inlineStr">
        <is>
          <t>qaly / health / cycle 150</t>
        </is>
      </c>
      <c r="B884" s="1" t="n">
        <v>0.065</v>
      </c>
      <c r="C884" s="1" t="n">
        <v>0.04583333333333334</v>
      </c>
      <c r="D884" s="1" t="n">
        <v>0</v>
      </c>
    </row>
    <row r="885">
      <c r="A885" t="inlineStr">
        <is>
          <t>qaly / health / cycle 151</t>
        </is>
      </c>
      <c r="B885" s="1" t="n">
        <v>0.065</v>
      </c>
      <c r="C885" s="1" t="n">
        <v>0.04583333333333334</v>
      </c>
      <c r="D885" s="1" t="n">
        <v>0</v>
      </c>
    </row>
    <row r="886">
      <c r="A886" t="inlineStr">
        <is>
          <t>qaly / health / cycle 152</t>
        </is>
      </c>
      <c r="B886" s="1" t="n">
        <v>0.065</v>
      </c>
      <c r="C886" s="1" t="n">
        <v>0.04583333333333334</v>
      </c>
      <c r="D886" s="1" t="n">
        <v>0</v>
      </c>
    </row>
    <row r="887">
      <c r="A887" t="inlineStr">
        <is>
          <t>qaly / health / cycle 153</t>
        </is>
      </c>
      <c r="B887" s="1" t="n">
        <v>0.065</v>
      </c>
      <c r="C887" s="1" t="n">
        <v>0.04583333333333334</v>
      </c>
      <c r="D887" s="1" t="n">
        <v>0</v>
      </c>
    </row>
    <row r="888">
      <c r="A888" t="inlineStr">
        <is>
          <t>qaly / health / cycle 154</t>
        </is>
      </c>
      <c r="B888" s="1" t="n">
        <v>0.065</v>
      </c>
      <c r="C888" s="1" t="n">
        <v>0.04583333333333334</v>
      </c>
      <c r="D888" s="1" t="n">
        <v>0</v>
      </c>
    </row>
    <row r="889">
      <c r="A889" t="inlineStr">
        <is>
          <t>qaly / health / cycle 155</t>
        </is>
      </c>
      <c r="B889" s="1" t="n">
        <v>0.065</v>
      </c>
      <c r="C889" s="1" t="n">
        <v>0.04583333333333334</v>
      </c>
      <c r="D889" s="1" t="n">
        <v>0</v>
      </c>
    </row>
    <row r="890">
      <c r="A890" t="inlineStr">
        <is>
          <t>qaly / health / cycle 156</t>
        </is>
      </c>
      <c r="B890" s="1" t="n">
        <v>0.065</v>
      </c>
      <c r="C890" s="1" t="n">
        <v>0.04583333333333334</v>
      </c>
      <c r="D890" s="1" t="n">
        <v>0</v>
      </c>
    </row>
    <row r="891">
      <c r="A891" t="inlineStr">
        <is>
          <t>qaly / health / cycle 157</t>
        </is>
      </c>
      <c r="B891" s="1" t="n">
        <v>0.065</v>
      </c>
      <c r="C891" s="1" t="n">
        <v>0.04583333333333334</v>
      </c>
      <c r="D891" s="1" t="n">
        <v>0</v>
      </c>
    </row>
    <row r="892">
      <c r="A892" t="inlineStr">
        <is>
          <t>qaly / health / cycle 158</t>
        </is>
      </c>
      <c r="B892" s="1" t="n">
        <v>0.065</v>
      </c>
      <c r="C892" s="1" t="n">
        <v>0.04583333333333334</v>
      </c>
      <c r="D892" s="1" t="n">
        <v>0</v>
      </c>
    </row>
    <row r="893">
      <c r="A893" t="inlineStr">
        <is>
          <t>qaly / health / cycle 159</t>
        </is>
      </c>
      <c r="B893" s="1" t="n">
        <v>0.065</v>
      </c>
      <c r="C893" s="1" t="n">
        <v>0.04583333333333334</v>
      </c>
      <c r="D893" s="1" t="n">
        <v>0</v>
      </c>
    </row>
    <row r="894">
      <c r="A894" t="inlineStr">
        <is>
          <t>qaly / health / cycle 160</t>
        </is>
      </c>
      <c r="B894" s="1" t="n">
        <v>0.065</v>
      </c>
      <c r="C894" s="1" t="n">
        <v>0.04583333333333334</v>
      </c>
      <c r="D894" s="1" t="n">
        <v>0</v>
      </c>
    </row>
    <row r="895">
      <c r="A895" t="inlineStr">
        <is>
          <t>qaly / health / cycle 161</t>
        </is>
      </c>
      <c r="B895" s="1" t="n">
        <v>0.065</v>
      </c>
      <c r="C895" s="1" t="n">
        <v>0.04583333333333334</v>
      </c>
      <c r="D895" s="1" t="n">
        <v>0</v>
      </c>
    </row>
    <row r="896">
      <c r="A896" t="inlineStr">
        <is>
          <t>qaly / health / cycle 162</t>
        </is>
      </c>
      <c r="B896" s="1" t="n">
        <v>0.065</v>
      </c>
      <c r="C896" s="1" t="n">
        <v>0.04583333333333334</v>
      </c>
      <c r="D896" s="1" t="n">
        <v>0</v>
      </c>
    </row>
    <row r="897">
      <c r="A897" t="inlineStr">
        <is>
          <t>qaly / health / cycle 163</t>
        </is>
      </c>
      <c r="B897" s="1" t="n">
        <v>0.065</v>
      </c>
      <c r="C897" s="1" t="n">
        <v>0.04583333333333334</v>
      </c>
      <c r="D897" s="1" t="n">
        <v>0</v>
      </c>
    </row>
    <row r="898">
      <c r="A898" t="inlineStr">
        <is>
          <t>qaly / health / cycle 164</t>
        </is>
      </c>
      <c r="B898" s="1" t="n">
        <v>0.065</v>
      </c>
      <c r="C898" s="1" t="n">
        <v>0.04583333333333334</v>
      </c>
      <c r="D898" s="1" t="n">
        <v>0</v>
      </c>
    </row>
    <row r="899">
      <c r="A899" t="inlineStr">
        <is>
          <t>qaly / health / cycle 165</t>
        </is>
      </c>
      <c r="B899" s="1" t="n">
        <v>0.065</v>
      </c>
      <c r="C899" s="1" t="n">
        <v>0.04583333333333334</v>
      </c>
      <c r="D899" s="1" t="n">
        <v>0</v>
      </c>
    </row>
    <row r="900">
      <c r="A900" t="inlineStr">
        <is>
          <t>qaly / health / cycle 166</t>
        </is>
      </c>
      <c r="B900" s="1" t="n">
        <v>0.065</v>
      </c>
      <c r="C900" s="1" t="n">
        <v>0.04583333333333334</v>
      </c>
      <c r="D900" s="1" t="n">
        <v>0</v>
      </c>
    </row>
    <row r="901">
      <c r="A901" t="inlineStr">
        <is>
          <t>qaly / health / cycle 167</t>
        </is>
      </c>
      <c r="B901" s="1" t="n">
        <v>0.065</v>
      </c>
      <c r="C901" s="1" t="n">
        <v>0.04583333333333334</v>
      </c>
      <c r="D901" s="1" t="n">
        <v>0</v>
      </c>
    </row>
    <row r="902">
      <c r="A902" t="inlineStr">
        <is>
          <t>qaly / health / cycle 168</t>
        </is>
      </c>
      <c r="B902" s="1" t="n">
        <v>0.065</v>
      </c>
      <c r="C902" s="1" t="n">
        <v>0.04583333333333334</v>
      </c>
      <c r="D902" s="1" t="n">
        <v>0</v>
      </c>
    </row>
    <row r="903">
      <c r="A903" t="inlineStr">
        <is>
          <t>qaly / health / cycle 169</t>
        </is>
      </c>
      <c r="B903" s="1" t="n">
        <v>0.065</v>
      </c>
      <c r="C903" s="1" t="n">
        <v>0.04583333333333334</v>
      </c>
      <c r="D903" s="1" t="n">
        <v>0</v>
      </c>
    </row>
    <row r="904">
      <c r="A904" t="inlineStr">
        <is>
          <t>qaly / health / cycle 170</t>
        </is>
      </c>
      <c r="B904" s="1" t="n">
        <v>0.065</v>
      </c>
      <c r="C904" s="1" t="n">
        <v>0.04583333333333334</v>
      </c>
      <c r="D904" s="1" t="n">
        <v>0</v>
      </c>
    </row>
    <row r="905">
      <c r="A905" t="inlineStr">
        <is>
          <t>qaly / health / cycle 171</t>
        </is>
      </c>
      <c r="B905" s="1" t="n">
        <v>0.065</v>
      </c>
      <c r="C905" s="1" t="n">
        <v>0.04583333333333334</v>
      </c>
      <c r="D905" s="1" t="n">
        <v>0</v>
      </c>
    </row>
    <row r="906">
      <c r="A906" t="inlineStr">
        <is>
          <t>qaly / health / cycle 172</t>
        </is>
      </c>
      <c r="B906" s="1" t="n">
        <v>0.065</v>
      </c>
      <c r="C906" s="1" t="n">
        <v>0.04583333333333334</v>
      </c>
      <c r="D906" s="1" t="n">
        <v>0</v>
      </c>
    </row>
    <row r="907">
      <c r="A907" t="inlineStr">
        <is>
          <t>qaly / health / cycle 173</t>
        </is>
      </c>
      <c r="B907" s="1" t="n">
        <v>0.065</v>
      </c>
      <c r="C907" s="1" t="n">
        <v>0.04583333333333334</v>
      </c>
      <c r="D907" s="1" t="n">
        <v>0</v>
      </c>
    </row>
    <row r="908">
      <c r="A908" t="inlineStr">
        <is>
          <t>qaly / health / cycle 174</t>
        </is>
      </c>
      <c r="B908" s="1" t="n">
        <v>0.065</v>
      </c>
      <c r="C908" s="1" t="n">
        <v>0.04583333333333334</v>
      </c>
      <c r="D908" s="1" t="n">
        <v>0</v>
      </c>
    </row>
    <row r="909">
      <c r="A909" t="inlineStr">
        <is>
          <t>qaly / health / cycle 175</t>
        </is>
      </c>
      <c r="B909" s="1" t="n">
        <v>0.065</v>
      </c>
      <c r="C909" s="1" t="n">
        <v>0.04583333333333334</v>
      </c>
      <c r="D909" s="1" t="n">
        <v>0</v>
      </c>
    </row>
    <row r="910">
      <c r="A910" t="inlineStr">
        <is>
          <t>qaly / health / cycle 176</t>
        </is>
      </c>
      <c r="B910" s="1" t="n">
        <v>0.065</v>
      </c>
      <c r="C910" s="1" t="n">
        <v>0.04583333333333334</v>
      </c>
      <c r="D910" s="1" t="n">
        <v>0</v>
      </c>
    </row>
    <row r="911">
      <c r="A911" t="inlineStr">
        <is>
          <t>qaly / health / cycle 177</t>
        </is>
      </c>
      <c r="B911" s="1" t="n">
        <v>0.065</v>
      </c>
      <c r="C911" s="1" t="n">
        <v>0.04583333333333334</v>
      </c>
      <c r="D911" s="1" t="n">
        <v>0</v>
      </c>
    </row>
    <row r="912">
      <c r="A912" t="inlineStr">
        <is>
          <t>qaly / health / cycle 178</t>
        </is>
      </c>
      <c r="B912" s="1" t="n">
        <v>0.065</v>
      </c>
      <c r="C912" s="1" t="n">
        <v>0.04583333333333334</v>
      </c>
      <c r="D912" s="1" t="n">
        <v>0</v>
      </c>
    </row>
    <row r="913">
      <c r="A913" t="inlineStr">
        <is>
          <t>qaly / health / cycle 179</t>
        </is>
      </c>
      <c r="B913" s="1" t="n">
        <v>0.065</v>
      </c>
      <c r="C913" s="1" t="n">
        <v>0.04583333333333334</v>
      </c>
      <c r="D913" s="1" t="n">
        <v>0</v>
      </c>
    </row>
    <row r="914">
      <c r="A914" t="inlineStr">
        <is>
          <t>qaly / health / cycle 180</t>
        </is>
      </c>
      <c r="B914" s="1" t="n">
        <v>0.065</v>
      </c>
      <c r="C914" s="1" t="n">
        <v>0.04583333333333334</v>
      </c>
      <c r="D914" s="1" t="n">
        <v>0</v>
      </c>
    </row>
    <row r="915">
      <c r="A915" t="inlineStr">
        <is>
          <t>qaly / health / cycle 181</t>
        </is>
      </c>
      <c r="B915" s="1" t="n">
        <v>0.065</v>
      </c>
      <c r="C915" s="1" t="n">
        <v>0.04583333333333334</v>
      </c>
      <c r="D915" s="1" t="n">
        <v>0</v>
      </c>
    </row>
    <row r="916">
      <c r="A916" t="inlineStr">
        <is>
          <t>qaly / health / cycle 182</t>
        </is>
      </c>
      <c r="B916" s="1" t="n">
        <v>0.065</v>
      </c>
      <c r="C916" s="1" t="n">
        <v>0.04583333333333334</v>
      </c>
      <c r="D916" s="1" t="n">
        <v>0</v>
      </c>
    </row>
    <row r="917">
      <c r="A917" t="inlineStr">
        <is>
          <t>qaly / health / cycle 183</t>
        </is>
      </c>
      <c r="B917" s="1" t="n">
        <v>0.065</v>
      </c>
      <c r="C917" s="1" t="n">
        <v>0.04583333333333334</v>
      </c>
      <c r="D917" s="1" t="n">
        <v>0</v>
      </c>
    </row>
    <row r="918">
      <c r="A918" t="inlineStr">
        <is>
          <t>qaly / health / cycle 184</t>
        </is>
      </c>
      <c r="B918" s="1" t="n">
        <v>0.065</v>
      </c>
      <c r="C918" s="1" t="n">
        <v>0.04583333333333334</v>
      </c>
      <c r="D918" s="1" t="n">
        <v>0</v>
      </c>
    </row>
    <row r="919">
      <c r="A919" t="inlineStr">
        <is>
          <t>qaly / health / cycle 185</t>
        </is>
      </c>
      <c r="B919" s="1" t="n">
        <v>0.065</v>
      </c>
      <c r="C919" s="1" t="n">
        <v>0.04583333333333334</v>
      </c>
      <c r="D919" s="1" t="n">
        <v>0</v>
      </c>
    </row>
    <row r="920">
      <c r="A920" t="inlineStr">
        <is>
          <t>qaly / health / cycle 186</t>
        </is>
      </c>
      <c r="B920" s="1" t="n">
        <v>0.065</v>
      </c>
      <c r="C920" s="1" t="n">
        <v>0.04583333333333334</v>
      </c>
      <c r="D920" s="1" t="n">
        <v>0</v>
      </c>
    </row>
    <row r="921">
      <c r="A921" t="inlineStr">
        <is>
          <t>qaly / health / cycle 187</t>
        </is>
      </c>
      <c r="B921" s="1" t="n">
        <v>0.065</v>
      </c>
      <c r="C921" s="1" t="n">
        <v>0.04583333333333334</v>
      </c>
      <c r="D921" s="1" t="n">
        <v>0</v>
      </c>
    </row>
    <row r="922">
      <c r="A922" t="inlineStr">
        <is>
          <t>qaly / health / cycle 188</t>
        </is>
      </c>
      <c r="B922" s="1" t="n">
        <v>0.065</v>
      </c>
      <c r="C922" s="1" t="n">
        <v>0.04583333333333334</v>
      </c>
      <c r="D922" s="1" t="n">
        <v>0</v>
      </c>
    </row>
    <row r="923">
      <c r="A923" t="inlineStr">
        <is>
          <t>qaly / health / cycle 189</t>
        </is>
      </c>
      <c r="B923" s="1" t="n">
        <v>0.065</v>
      </c>
      <c r="C923" s="1" t="n">
        <v>0.04583333333333334</v>
      </c>
      <c r="D923" s="1" t="n">
        <v>0</v>
      </c>
    </row>
    <row r="924">
      <c r="A924" t="inlineStr">
        <is>
          <t>qaly / health / cycle 190</t>
        </is>
      </c>
      <c r="B924" s="1" t="n">
        <v>0.065</v>
      </c>
      <c r="C924" s="1" t="n">
        <v>0.04583333333333334</v>
      </c>
      <c r="D924" s="1" t="n">
        <v>0</v>
      </c>
    </row>
    <row r="925">
      <c r="A925" t="inlineStr">
        <is>
          <t>qaly / health / cycle 191</t>
        </is>
      </c>
      <c r="B925" s="1" t="n">
        <v>0.065</v>
      </c>
      <c r="C925" s="1" t="n">
        <v>0.04583333333333334</v>
      </c>
      <c r="D925" s="1" t="n">
        <v>0</v>
      </c>
    </row>
    <row r="926">
      <c r="A926" t="inlineStr">
        <is>
          <t>qaly / health / cycle 192</t>
        </is>
      </c>
      <c r="B926" s="1" t="n">
        <v>0.065</v>
      </c>
      <c r="C926" s="1" t="n">
        <v>0.04583333333333334</v>
      </c>
      <c r="D926" s="1" t="n">
        <v>0</v>
      </c>
    </row>
    <row r="927">
      <c r="A927" t="inlineStr">
        <is>
          <t>qaly / health / cycle 193</t>
        </is>
      </c>
      <c r="B927" s="1" t="n">
        <v>0.065</v>
      </c>
      <c r="C927" s="1" t="n">
        <v>0.04583333333333334</v>
      </c>
      <c r="D927" s="1" t="n">
        <v>0</v>
      </c>
    </row>
    <row r="928">
      <c r="A928" t="inlineStr">
        <is>
          <t>qaly / health / cycle 194</t>
        </is>
      </c>
      <c r="B928" s="1" t="n">
        <v>0.065</v>
      </c>
      <c r="C928" s="1" t="n">
        <v>0.04583333333333334</v>
      </c>
      <c r="D928" s="1" t="n">
        <v>0</v>
      </c>
    </row>
    <row r="929">
      <c r="A929" t="inlineStr">
        <is>
          <t>qaly / health / cycle 195</t>
        </is>
      </c>
      <c r="B929" s="1" t="n">
        <v>0.065</v>
      </c>
      <c r="C929" s="1" t="n">
        <v>0.04583333333333334</v>
      </c>
      <c r="D929" s="1" t="n">
        <v>0</v>
      </c>
    </row>
    <row r="930">
      <c r="A930" t="inlineStr">
        <is>
          <t>qaly / health / cycle 196</t>
        </is>
      </c>
      <c r="B930" s="1" t="n">
        <v>0.065</v>
      </c>
      <c r="C930" s="1" t="n">
        <v>0.04583333333333334</v>
      </c>
      <c r="D930" s="1" t="n">
        <v>0</v>
      </c>
    </row>
    <row r="931">
      <c r="A931" t="inlineStr">
        <is>
          <t>qaly / health / cycle 197</t>
        </is>
      </c>
      <c r="B931" s="1" t="n">
        <v>0.065</v>
      </c>
      <c r="C931" s="1" t="n">
        <v>0.04583333333333334</v>
      </c>
      <c r="D931" s="1" t="n">
        <v>0</v>
      </c>
    </row>
    <row r="932">
      <c r="A932" t="inlineStr">
        <is>
          <t>qaly / health / cycle 198</t>
        </is>
      </c>
      <c r="B932" s="1" t="n">
        <v>0.065</v>
      </c>
      <c r="C932" s="1" t="n">
        <v>0.04583333333333334</v>
      </c>
      <c r="D932" s="1" t="n">
        <v>0</v>
      </c>
    </row>
    <row r="933">
      <c r="A933" t="inlineStr">
        <is>
          <t>qaly / health / cycle 199</t>
        </is>
      </c>
      <c r="B933" s="1" t="n">
        <v>0.065</v>
      </c>
      <c r="C933" s="1" t="n">
        <v>0.04583333333333334</v>
      </c>
      <c r="D933" s="1" t="n">
        <v>0</v>
      </c>
    </row>
    <row r="934">
      <c r="A934" t="inlineStr">
        <is>
          <t>qaly / health / cycle 200</t>
        </is>
      </c>
      <c r="B934" s="1" t="n">
        <v>0.065</v>
      </c>
      <c r="C934" s="1" t="n">
        <v>0.04583333333333334</v>
      </c>
      <c r="D934" s="1" t="n">
        <v>0</v>
      </c>
    </row>
    <row r="935">
      <c r="A935" t="inlineStr">
        <is>
          <t>qaly / health / cycle 201</t>
        </is>
      </c>
      <c r="B935" s="1" t="n">
        <v>0.065</v>
      </c>
      <c r="C935" s="1" t="n">
        <v>0.04583333333333334</v>
      </c>
      <c r="D935" s="1" t="n">
        <v>0</v>
      </c>
    </row>
    <row r="936">
      <c r="A936" t="inlineStr">
        <is>
          <t>qaly / health / cycle 202</t>
        </is>
      </c>
      <c r="B936" s="1" t="n">
        <v>0.065</v>
      </c>
      <c r="C936" s="1" t="n">
        <v>0.04583333333333334</v>
      </c>
      <c r="D936" s="1" t="n">
        <v>0</v>
      </c>
    </row>
    <row r="937">
      <c r="A937" t="inlineStr">
        <is>
          <t>qaly / health / cycle 203</t>
        </is>
      </c>
      <c r="B937" s="1" t="n">
        <v>0.065</v>
      </c>
      <c r="C937" s="1" t="n">
        <v>0.04583333333333334</v>
      </c>
      <c r="D937" s="1" t="n">
        <v>0</v>
      </c>
    </row>
    <row r="938">
      <c r="A938" t="inlineStr">
        <is>
          <t>qaly / health / cycle 204</t>
        </is>
      </c>
      <c r="B938" s="1" t="n">
        <v>0.065</v>
      </c>
      <c r="C938" s="1" t="n">
        <v>0.04583333333333334</v>
      </c>
      <c r="D938" s="1" t="n">
        <v>0</v>
      </c>
    </row>
    <row r="939">
      <c r="A939" t="inlineStr">
        <is>
          <t>qaly / health / cycle 205</t>
        </is>
      </c>
      <c r="B939" s="1" t="n">
        <v>0.065</v>
      </c>
      <c r="C939" s="1" t="n">
        <v>0.04583333333333334</v>
      </c>
      <c r="D939" s="1" t="n">
        <v>0</v>
      </c>
    </row>
    <row r="940">
      <c r="A940" t="inlineStr">
        <is>
          <t>qaly / health / cycle 206</t>
        </is>
      </c>
      <c r="B940" s="1" t="n">
        <v>0.065</v>
      </c>
      <c r="C940" s="1" t="n">
        <v>0.04583333333333334</v>
      </c>
      <c r="D940" s="1" t="n">
        <v>0</v>
      </c>
    </row>
    <row r="941">
      <c r="A941" t="inlineStr">
        <is>
          <t>qaly / health / cycle 207</t>
        </is>
      </c>
      <c r="B941" s="1" t="n">
        <v>0.065</v>
      </c>
      <c r="C941" s="1" t="n">
        <v>0.04583333333333334</v>
      </c>
      <c r="D941" s="1" t="n">
        <v>0</v>
      </c>
    </row>
    <row r="942">
      <c r="A942" t="inlineStr">
        <is>
          <t>qaly / health / cycle 208</t>
        </is>
      </c>
      <c r="B942" s="1" t="n">
        <v>0.065</v>
      </c>
      <c r="C942" s="1" t="n">
        <v>0.04583333333333334</v>
      </c>
      <c r="D942" s="1" t="n">
        <v>0</v>
      </c>
    </row>
    <row r="943">
      <c r="A943" t="inlineStr">
        <is>
          <t>qaly / health / cycle 209</t>
        </is>
      </c>
      <c r="B943" s="1" t="n">
        <v>0.065</v>
      </c>
      <c r="C943" s="1" t="n">
        <v>0.04583333333333334</v>
      </c>
      <c r="D943" s="1" t="n">
        <v>0</v>
      </c>
    </row>
    <row r="944">
      <c r="A944" t="inlineStr">
        <is>
          <t>qaly / health / cycle 210</t>
        </is>
      </c>
      <c r="B944" s="1" t="n">
        <v>0.065</v>
      </c>
      <c r="C944" s="1" t="n">
        <v>0.04583333333333334</v>
      </c>
      <c r="D944" s="1" t="n">
        <v>0</v>
      </c>
    </row>
    <row r="945">
      <c r="A945" t="inlineStr">
        <is>
          <t>qaly / health / cycle 211</t>
        </is>
      </c>
      <c r="B945" s="1" t="n">
        <v>0.065</v>
      </c>
      <c r="C945" s="1" t="n">
        <v>0.04583333333333334</v>
      </c>
      <c r="D945" s="1" t="n">
        <v>0</v>
      </c>
    </row>
    <row r="946">
      <c r="A946" t="inlineStr">
        <is>
          <t>qaly / health / cycle 212</t>
        </is>
      </c>
      <c r="B946" s="1" t="n">
        <v>0.065</v>
      </c>
      <c r="C946" s="1" t="n">
        <v>0.04583333333333334</v>
      </c>
      <c r="D946" s="1" t="n">
        <v>0</v>
      </c>
    </row>
    <row r="947">
      <c r="A947" t="inlineStr">
        <is>
          <t>qaly / health / cycle 213</t>
        </is>
      </c>
      <c r="B947" s="1" t="n">
        <v>0.065</v>
      </c>
      <c r="C947" s="1" t="n">
        <v>0.04583333333333334</v>
      </c>
      <c r="D947" s="1" t="n">
        <v>0</v>
      </c>
    </row>
    <row r="948">
      <c r="A948" t="inlineStr">
        <is>
          <t>qaly / health / cycle 214</t>
        </is>
      </c>
      <c r="B948" s="1" t="n">
        <v>0.065</v>
      </c>
      <c r="C948" s="1" t="n">
        <v>0.04583333333333334</v>
      </c>
      <c r="D948" s="1" t="n">
        <v>0</v>
      </c>
    </row>
    <row r="949">
      <c r="A949" t="inlineStr">
        <is>
          <t>qaly / health / cycle 215</t>
        </is>
      </c>
      <c r="B949" s="1" t="n">
        <v>0.065</v>
      </c>
      <c r="C949" s="1" t="n">
        <v>0.04583333333333334</v>
      </c>
      <c r="D949" s="1" t="n">
        <v>0</v>
      </c>
    </row>
    <row r="950">
      <c r="A950" t="inlineStr">
        <is>
          <t>qaly / health / cycle 216</t>
        </is>
      </c>
      <c r="B950" s="1" t="n">
        <v>0.065</v>
      </c>
      <c r="C950" s="1" t="n">
        <v>0.04583333333333334</v>
      </c>
      <c r="D950" s="1" t="n">
        <v>0</v>
      </c>
    </row>
    <row r="951">
      <c r="A951" t="inlineStr">
        <is>
          <t>qaly / health / cycle 217</t>
        </is>
      </c>
      <c r="B951" s="1" t="n">
        <v>0.065</v>
      </c>
      <c r="C951" s="1" t="n">
        <v>0.04583333333333334</v>
      </c>
      <c r="D951" s="1" t="n">
        <v>0</v>
      </c>
    </row>
    <row r="952">
      <c r="A952" t="inlineStr">
        <is>
          <t>qaly / health / cycle 218</t>
        </is>
      </c>
      <c r="B952" s="1" t="n">
        <v>0.065</v>
      </c>
      <c r="C952" s="1" t="n">
        <v>0.04583333333333334</v>
      </c>
      <c r="D952" s="1" t="n">
        <v>0</v>
      </c>
    </row>
    <row r="953">
      <c r="A953" t="inlineStr">
        <is>
          <t>qaly / health / cycle 219</t>
        </is>
      </c>
      <c r="B953" s="1" t="n">
        <v>0.065</v>
      </c>
      <c r="C953" s="1" t="n">
        <v>0.04583333333333334</v>
      </c>
      <c r="D953" s="1" t="n">
        <v>0</v>
      </c>
    </row>
    <row r="954">
      <c r="A954" t="inlineStr">
        <is>
          <t>qaly / health / cycle 220</t>
        </is>
      </c>
      <c r="B954" s="1" t="n">
        <v>0.065</v>
      </c>
      <c r="C954" s="1" t="n">
        <v>0.04583333333333334</v>
      </c>
      <c r="D954" s="1" t="n">
        <v>0</v>
      </c>
    </row>
    <row r="955">
      <c r="A955" t="inlineStr">
        <is>
          <t>qaly / health / cycle 221</t>
        </is>
      </c>
      <c r="B955" s="1" t="n">
        <v>0.065</v>
      </c>
      <c r="C955" s="1" t="n">
        <v>0.04583333333333334</v>
      </c>
      <c r="D955" s="1" t="n">
        <v>0</v>
      </c>
    </row>
    <row r="956">
      <c r="A956" t="inlineStr">
        <is>
          <t>qaly / health / cycle 222</t>
        </is>
      </c>
      <c r="B956" s="1" t="n">
        <v>0.065</v>
      </c>
      <c r="C956" s="1" t="n">
        <v>0.04583333333333334</v>
      </c>
      <c r="D956" s="1" t="n">
        <v>0</v>
      </c>
    </row>
    <row r="957">
      <c r="A957" t="inlineStr">
        <is>
          <t>qaly / health / cycle 223</t>
        </is>
      </c>
      <c r="B957" s="1" t="n">
        <v>0.065</v>
      </c>
      <c r="C957" s="1" t="n">
        <v>0.04583333333333334</v>
      </c>
      <c r="D957" s="1" t="n">
        <v>0</v>
      </c>
    </row>
    <row r="958">
      <c r="A958" t="inlineStr">
        <is>
          <t>qaly / health / cycle 224</t>
        </is>
      </c>
      <c r="B958" s="1" t="n">
        <v>0.065</v>
      </c>
      <c r="C958" s="1" t="n">
        <v>0.04583333333333334</v>
      </c>
      <c r="D958" s="1" t="n">
        <v>0</v>
      </c>
    </row>
    <row r="959">
      <c r="A959" t="inlineStr">
        <is>
          <t>qaly / health / cycle 225</t>
        </is>
      </c>
      <c r="B959" s="1" t="n">
        <v>0.065</v>
      </c>
      <c r="C959" s="1" t="n">
        <v>0.04583333333333334</v>
      </c>
      <c r="D959" s="1" t="n">
        <v>0</v>
      </c>
    </row>
    <row r="960">
      <c r="A960" t="inlineStr">
        <is>
          <t>qaly / health / cycle 226</t>
        </is>
      </c>
      <c r="B960" s="1" t="n">
        <v>0.065</v>
      </c>
      <c r="C960" s="1" t="n">
        <v>0.04583333333333334</v>
      </c>
      <c r="D960" s="1" t="n">
        <v>0</v>
      </c>
    </row>
    <row r="961">
      <c r="A961" t="inlineStr">
        <is>
          <t>qaly / health / cycle 227</t>
        </is>
      </c>
      <c r="B961" s="1" t="n">
        <v>0.065</v>
      </c>
      <c r="C961" s="1" t="n">
        <v>0.04583333333333334</v>
      </c>
      <c r="D961" s="1" t="n">
        <v>0</v>
      </c>
    </row>
    <row r="962">
      <c r="A962" t="inlineStr">
        <is>
          <t>qaly / health / cycle 228</t>
        </is>
      </c>
      <c r="B962" s="1" t="n">
        <v>0.065</v>
      </c>
      <c r="C962" s="1" t="n">
        <v>0.04583333333333334</v>
      </c>
      <c r="D962" s="1" t="n">
        <v>0</v>
      </c>
    </row>
    <row r="963">
      <c r="A963" t="inlineStr">
        <is>
          <t>qaly / health / cycle 229</t>
        </is>
      </c>
      <c r="B963" s="1" t="n">
        <v>0.065</v>
      </c>
      <c r="C963" s="1" t="n">
        <v>0.04583333333333334</v>
      </c>
      <c r="D963" s="1" t="n">
        <v>0</v>
      </c>
    </row>
    <row r="964">
      <c r="A964" t="inlineStr">
        <is>
          <t>qaly / health / cycle 230</t>
        </is>
      </c>
      <c r="B964" s="1" t="n">
        <v>0.065</v>
      </c>
      <c r="C964" s="1" t="n">
        <v>0.04583333333333334</v>
      </c>
      <c r="D964" s="1" t="n">
        <v>0</v>
      </c>
    </row>
    <row r="965">
      <c r="A965" t="inlineStr">
        <is>
          <t>qaly / health / cycle 231</t>
        </is>
      </c>
      <c r="B965" s="1" t="n">
        <v>0.065</v>
      </c>
      <c r="C965" s="1" t="n">
        <v>0.04583333333333334</v>
      </c>
      <c r="D965" s="1" t="n">
        <v>0</v>
      </c>
    </row>
    <row r="966">
      <c r="A966" t="inlineStr">
        <is>
          <t>qaly / health / cycle 232</t>
        </is>
      </c>
      <c r="B966" s="1" t="n">
        <v>0.065</v>
      </c>
      <c r="C966" s="1" t="n">
        <v>0.04583333333333334</v>
      </c>
      <c r="D966" s="1" t="n">
        <v>0</v>
      </c>
    </row>
    <row r="967">
      <c r="A967" t="inlineStr">
        <is>
          <t>qaly / health / cycle 233</t>
        </is>
      </c>
      <c r="B967" s="1" t="n">
        <v>0.065</v>
      </c>
      <c r="C967" s="1" t="n">
        <v>0.04583333333333334</v>
      </c>
      <c r="D967" s="1" t="n">
        <v>0</v>
      </c>
    </row>
    <row r="968">
      <c r="A968" t="inlineStr">
        <is>
          <t>qaly / health / cycle 234</t>
        </is>
      </c>
      <c r="B968" s="1" t="n">
        <v>0.065</v>
      </c>
      <c r="C968" s="1" t="n">
        <v>0.04583333333333334</v>
      </c>
      <c r="D968" s="1" t="n">
        <v>0</v>
      </c>
    </row>
    <row r="969">
      <c r="A969" t="inlineStr">
        <is>
          <t>qaly / health / cycle 235</t>
        </is>
      </c>
      <c r="B969" s="1" t="n">
        <v>0.065</v>
      </c>
      <c r="C969" s="1" t="n">
        <v>0.04583333333333334</v>
      </c>
      <c r="D969" s="1" t="n">
        <v>0</v>
      </c>
    </row>
    <row r="970">
      <c r="A970" t="inlineStr">
        <is>
          <t>qaly / health / cycle 236</t>
        </is>
      </c>
      <c r="B970" s="1" t="n">
        <v>0.065</v>
      </c>
      <c r="C970" s="1" t="n">
        <v>0.04583333333333334</v>
      </c>
      <c r="D970" s="1" t="n">
        <v>0</v>
      </c>
    </row>
    <row r="971">
      <c r="A971" t="inlineStr">
        <is>
          <t>qaly / health / cycle 237</t>
        </is>
      </c>
      <c r="B971" s="1" t="n">
        <v>0.065</v>
      </c>
      <c r="C971" s="1" t="n">
        <v>0.04583333333333334</v>
      </c>
      <c r="D971" s="1" t="n">
        <v>0</v>
      </c>
    </row>
    <row r="972">
      <c r="A972" t="inlineStr">
        <is>
          <t>qaly / health / cycle 238</t>
        </is>
      </c>
      <c r="B972" s="1" t="n">
        <v>0.065</v>
      </c>
      <c r="C972" s="1" t="n">
        <v>0.04583333333333334</v>
      </c>
      <c r="D972" s="1" t="n">
        <v>0</v>
      </c>
    </row>
    <row r="973">
      <c r="A973" t="inlineStr">
        <is>
          <t>qaly / health / cycle 239</t>
        </is>
      </c>
      <c r="B973" s="1" t="n">
        <v>0.065</v>
      </c>
      <c r="C973" s="1" t="n">
        <v>0.04583333333333334</v>
      </c>
      <c r="D973" s="1" t="n">
        <v>0</v>
      </c>
    </row>
    <row r="974">
      <c r="A974" t="inlineStr">
        <is>
          <t>qaly / health / cycle 240</t>
        </is>
      </c>
      <c r="B974" s="1" t="n">
        <v>0.065</v>
      </c>
      <c r="C974" s="1" t="n">
        <v>0.04583333333333334</v>
      </c>
      <c r="D974" s="1" t="n">
        <v>0</v>
      </c>
    </row>
    <row r="975">
      <c r="A975" t="inlineStr">
        <is>
          <t>Starting cost / ae</t>
        </is>
      </c>
      <c r="B975" s="1" t="n">
        <v>0</v>
      </c>
    </row>
    <row r="978">
      <c r="A978" t="inlineStr">
        <is>
          <t>Boundary</t>
        </is>
      </c>
      <c r="B978" t="inlineStr">
        <is>
          <t>PFS</t>
        </is>
      </c>
      <c r="C978" t="inlineStr">
        <is>
          <t>Progressed</t>
        </is>
      </c>
      <c r="D978" t="inlineStr">
        <is>
          <t>Dead</t>
        </is>
      </c>
    </row>
    <row r="979">
      <c r="A979" t="n">
        <v>0</v>
      </c>
      <c r="B979">
        <f>F979</f>
        <v/>
      </c>
      <c r="C979">
        <f>G979-F979</f>
        <v/>
      </c>
      <c r="D979">
        <f>1-G979</f>
        <v/>
      </c>
      <c r="F979">
        <f>EXP(-$B$11*(A979*$B$12))</f>
        <v/>
      </c>
      <c r="G979">
        <f>EXP(-$B$13*(A979*$B$14))</f>
        <v/>
      </c>
    </row>
    <row r="980">
      <c r="A980" t="n">
        <v>1</v>
      </c>
      <c r="B980">
        <f>F980</f>
        <v/>
      </c>
      <c r="C980">
        <f>G980-F980</f>
        <v/>
      </c>
      <c r="D980">
        <f>1-G980</f>
        <v/>
      </c>
      <c r="F980">
        <f>EXP(-$B$11*(A980*$B$12))</f>
        <v/>
      </c>
      <c r="G980">
        <f>EXP(-$B$13*(A980*$B$14))</f>
        <v/>
      </c>
    </row>
    <row r="981">
      <c r="A981" t="n">
        <v>2</v>
      </c>
      <c r="B981">
        <f>F981</f>
        <v/>
      </c>
      <c r="C981">
        <f>G981-F981</f>
        <v/>
      </c>
      <c r="D981">
        <f>1-G981</f>
        <v/>
      </c>
      <c r="F981">
        <f>EXP(-$B$11*(A981*$B$12))</f>
        <v/>
      </c>
      <c r="G981">
        <f>EXP(-$B$13*(A981*$B$14))</f>
        <v/>
      </c>
    </row>
    <row r="982">
      <c r="A982" t="n">
        <v>3</v>
      </c>
      <c r="B982">
        <f>F982</f>
        <v/>
      </c>
      <c r="C982">
        <f>G982-F982</f>
        <v/>
      </c>
      <c r="D982">
        <f>1-G982</f>
        <v/>
      </c>
      <c r="F982">
        <f>EXP(-$B$11*(A982*$B$12))</f>
        <v/>
      </c>
      <c r="G982">
        <f>EXP(-$B$13*(A982*$B$14))</f>
        <v/>
      </c>
    </row>
    <row r="983">
      <c r="A983" t="n">
        <v>4</v>
      </c>
      <c r="B983">
        <f>F983</f>
        <v/>
      </c>
      <c r="C983">
        <f>G983-F983</f>
        <v/>
      </c>
      <c r="D983">
        <f>1-G983</f>
        <v/>
      </c>
      <c r="F983">
        <f>EXP(-$B$11*(A983*$B$12))</f>
        <v/>
      </c>
      <c r="G983">
        <f>EXP(-$B$13*(A983*$B$14))</f>
        <v/>
      </c>
    </row>
    <row r="984">
      <c r="A984" t="n">
        <v>5</v>
      </c>
      <c r="B984">
        <f>F984</f>
        <v/>
      </c>
      <c r="C984">
        <f>G984-F984</f>
        <v/>
      </c>
      <c r="D984">
        <f>1-G984</f>
        <v/>
      </c>
      <c r="F984">
        <f>EXP(-$B$11*(A984*$B$12))</f>
        <v/>
      </c>
      <c r="G984">
        <f>EXP(-$B$13*(A984*$B$14))</f>
        <v/>
      </c>
    </row>
    <row r="985">
      <c r="A985" t="n">
        <v>6</v>
      </c>
      <c r="B985">
        <f>F985</f>
        <v/>
      </c>
      <c r="C985">
        <f>G985-F985</f>
        <v/>
      </c>
      <c r="D985">
        <f>1-G985</f>
        <v/>
      </c>
      <c r="F985">
        <f>EXP(-$B$11*(A985*$B$12))</f>
        <v/>
      </c>
      <c r="G985">
        <f>EXP(-$B$13*(A985*$B$14))</f>
        <v/>
      </c>
    </row>
    <row r="986">
      <c r="A986" t="n">
        <v>7</v>
      </c>
      <c r="B986">
        <f>F986</f>
        <v/>
      </c>
      <c r="C986">
        <f>G986-F986</f>
        <v/>
      </c>
      <c r="D986">
        <f>1-G986</f>
        <v/>
      </c>
      <c r="F986">
        <f>EXP(-$B$11*(A986*$B$12))</f>
        <v/>
      </c>
      <c r="G986">
        <f>EXP(-$B$13*(A986*$B$14))</f>
        <v/>
      </c>
    </row>
    <row r="987">
      <c r="A987" t="n">
        <v>8</v>
      </c>
      <c r="B987">
        <f>F987</f>
        <v/>
      </c>
      <c r="C987">
        <f>G987-F987</f>
        <v/>
      </c>
      <c r="D987">
        <f>1-G987</f>
        <v/>
      </c>
      <c r="F987">
        <f>EXP(-$B$11*(A987*$B$12))</f>
        <v/>
      </c>
      <c r="G987">
        <f>EXP(-$B$13*(A987*$B$14))</f>
        <v/>
      </c>
    </row>
    <row r="988">
      <c r="A988" t="n">
        <v>9</v>
      </c>
      <c r="B988">
        <f>F988</f>
        <v/>
      </c>
      <c r="C988">
        <f>G988-F988</f>
        <v/>
      </c>
      <c r="D988">
        <f>1-G988</f>
        <v/>
      </c>
      <c r="F988">
        <f>EXP(-$B$11*(A988*$B$12))</f>
        <v/>
      </c>
      <c r="G988">
        <f>EXP(-$B$13*(A988*$B$14))</f>
        <v/>
      </c>
    </row>
    <row r="989">
      <c r="A989" t="n">
        <v>10</v>
      </c>
      <c r="B989">
        <f>F989</f>
        <v/>
      </c>
      <c r="C989">
        <f>G989-F989</f>
        <v/>
      </c>
      <c r="D989">
        <f>1-G989</f>
        <v/>
      </c>
      <c r="F989">
        <f>EXP(-$B$11*(A989*$B$12))</f>
        <v/>
      </c>
      <c r="G989">
        <f>EXP(-$B$13*(A989*$B$14))</f>
        <v/>
      </c>
    </row>
    <row r="990">
      <c r="A990" t="n">
        <v>11</v>
      </c>
      <c r="B990">
        <f>F990</f>
        <v/>
      </c>
      <c r="C990">
        <f>G990-F990</f>
        <v/>
      </c>
      <c r="D990">
        <f>1-G990</f>
        <v/>
      </c>
      <c r="F990">
        <f>EXP(-$B$11*(A990*$B$12))</f>
        <v/>
      </c>
      <c r="G990">
        <f>EXP(-$B$13*(A990*$B$14))</f>
        <v/>
      </c>
    </row>
    <row r="991">
      <c r="A991" t="n">
        <v>12</v>
      </c>
      <c r="B991">
        <f>F991</f>
        <v/>
      </c>
      <c r="C991">
        <f>G991-F991</f>
        <v/>
      </c>
      <c r="D991">
        <f>1-G991</f>
        <v/>
      </c>
      <c r="F991">
        <f>EXP(-$B$11*(A991*$B$12))</f>
        <v/>
      </c>
      <c r="G991">
        <f>EXP(-$B$13*(A991*$B$14))</f>
        <v/>
      </c>
    </row>
    <row r="992">
      <c r="A992" t="n">
        <v>13</v>
      </c>
      <c r="B992">
        <f>F992</f>
        <v/>
      </c>
      <c r="C992">
        <f>G992-F992</f>
        <v/>
      </c>
      <c r="D992">
        <f>1-G992</f>
        <v/>
      </c>
      <c r="F992">
        <f>EXP(-$B$11*(A992*$B$12))</f>
        <v/>
      </c>
      <c r="G992">
        <f>EXP(-$B$13*(A992*$B$14))</f>
        <v/>
      </c>
    </row>
    <row r="993">
      <c r="A993" t="n">
        <v>14</v>
      </c>
      <c r="B993">
        <f>F993</f>
        <v/>
      </c>
      <c r="C993">
        <f>G993-F993</f>
        <v/>
      </c>
      <c r="D993">
        <f>1-G993</f>
        <v/>
      </c>
      <c r="F993">
        <f>EXP(-$B$11*(A993*$B$12))</f>
        <v/>
      </c>
      <c r="G993">
        <f>EXP(-$B$13*(A993*$B$14))</f>
        <v/>
      </c>
    </row>
    <row r="994">
      <c r="A994" t="n">
        <v>15</v>
      </c>
      <c r="B994">
        <f>F994</f>
        <v/>
      </c>
      <c r="C994">
        <f>G994-F994</f>
        <v/>
      </c>
      <c r="D994">
        <f>1-G994</f>
        <v/>
      </c>
      <c r="F994">
        <f>EXP(-$B$11*(A994*$B$12))</f>
        <v/>
      </c>
      <c r="G994">
        <f>EXP(-$B$13*(A994*$B$14))</f>
        <v/>
      </c>
    </row>
    <row r="995">
      <c r="A995" t="n">
        <v>16</v>
      </c>
      <c r="B995">
        <f>F995</f>
        <v/>
      </c>
      <c r="C995">
        <f>G995-F995</f>
        <v/>
      </c>
      <c r="D995">
        <f>1-G995</f>
        <v/>
      </c>
      <c r="F995">
        <f>EXP(-$B$11*(A995*$B$12))</f>
        <v/>
      </c>
      <c r="G995">
        <f>EXP(-$B$13*(A995*$B$14))</f>
        <v/>
      </c>
    </row>
    <row r="996">
      <c r="A996" t="n">
        <v>17</v>
      </c>
      <c r="B996">
        <f>F996</f>
        <v/>
      </c>
      <c r="C996">
        <f>G996-F996</f>
        <v/>
      </c>
      <c r="D996">
        <f>1-G996</f>
        <v/>
      </c>
      <c r="F996">
        <f>EXP(-$B$11*(A996*$B$12))</f>
        <v/>
      </c>
      <c r="G996">
        <f>EXP(-$B$13*(A996*$B$14))</f>
        <v/>
      </c>
    </row>
    <row r="997">
      <c r="A997" t="n">
        <v>18</v>
      </c>
      <c r="B997">
        <f>F997</f>
        <v/>
      </c>
      <c r="C997">
        <f>G997-F997</f>
        <v/>
      </c>
      <c r="D997">
        <f>1-G997</f>
        <v/>
      </c>
      <c r="F997">
        <f>EXP(-$B$11*(A997*$B$12))</f>
        <v/>
      </c>
      <c r="G997">
        <f>EXP(-$B$13*(A997*$B$14))</f>
        <v/>
      </c>
    </row>
    <row r="998">
      <c r="A998" t="n">
        <v>19</v>
      </c>
      <c r="B998">
        <f>F998</f>
        <v/>
      </c>
      <c r="C998">
        <f>G998-F998</f>
        <v/>
      </c>
      <c r="D998">
        <f>1-G998</f>
        <v/>
      </c>
      <c r="F998">
        <f>EXP(-$B$11*(A998*$B$12))</f>
        <v/>
      </c>
      <c r="G998">
        <f>EXP(-$B$13*(A998*$B$14))</f>
        <v/>
      </c>
    </row>
    <row r="999">
      <c r="A999" t="n">
        <v>20</v>
      </c>
      <c r="B999">
        <f>F999</f>
        <v/>
      </c>
      <c r="C999">
        <f>G999-F999</f>
        <v/>
      </c>
      <c r="D999">
        <f>1-G999</f>
        <v/>
      </c>
      <c r="F999">
        <f>EXP(-$B$11*(A999*$B$12))</f>
        <v/>
      </c>
      <c r="G999">
        <f>EXP(-$B$13*(A999*$B$14))</f>
        <v/>
      </c>
    </row>
    <row r="1000">
      <c r="A1000" t="n">
        <v>21</v>
      </c>
      <c r="B1000">
        <f>F1000</f>
        <v/>
      </c>
      <c r="C1000">
        <f>G1000-F1000</f>
        <v/>
      </c>
      <c r="D1000">
        <f>1-G1000</f>
        <v/>
      </c>
      <c r="F1000">
        <f>EXP(-$B$11*(A1000*$B$12))</f>
        <v/>
      </c>
      <c r="G1000">
        <f>EXP(-$B$13*(A1000*$B$14))</f>
        <v/>
      </c>
    </row>
    <row r="1001">
      <c r="A1001" t="n">
        <v>22</v>
      </c>
      <c r="B1001">
        <f>F1001</f>
        <v/>
      </c>
      <c r="C1001">
        <f>G1001-F1001</f>
        <v/>
      </c>
      <c r="D1001">
        <f>1-G1001</f>
        <v/>
      </c>
      <c r="F1001">
        <f>EXP(-$B$11*(A1001*$B$12))</f>
        <v/>
      </c>
      <c r="G1001">
        <f>EXP(-$B$13*(A1001*$B$14))</f>
        <v/>
      </c>
    </row>
    <row r="1002">
      <c r="A1002" t="n">
        <v>23</v>
      </c>
      <c r="B1002">
        <f>F1002</f>
        <v/>
      </c>
      <c r="C1002">
        <f>G1002-F1002</f>
        <v/>
      </c>
      <c r="D1002">
        <f>1-G1002</f>
        <v/>
      </c>
      <c r="F1002">
        <f>EXP(-$B$11*(A1002*$B$12))</f>
        <v/>
      </c>
      <c r="G1002">
        <f>EXP(-$B$13*(A1002*$B$14))</f>
        <v/>
      </c>
    </row>
    <row r="1003">
      <c r="A1003" t="n">
        <v>24</v>
      </c>
      <c r="B1003">
        <f>F1003</f>
        <v/>
      </c>
      <c r="C1003">
        <f>G1003-F1003</f>
        <v/>
      </c>
      <c r="D1003">
        <f>1-G1003</f>
        <v/>
      </c>
      <c r="F1003">
        <f>EXP(-$B$11*(A1003*$B$12))</f>
        <v/>
      </c>
      <c r="G1003">
        <f>EXP(-$B$13*(A1003*$B$14))</f>
        <v/>
      </c>
    </row>
    <row r="1004">
      <c r="A1004" t="n">
        <v>25</v>
      </c>
      <c r="B1004">
        <f>F1004</f>
        <v/>
      </c>
      <c r="C1004">
        <f>G1004-F1004</f>
        <v/>
      </c>
      <c r="D1004">
        <f>1-G1004</f>
        <v/>
      </c>
      <c r="F1004">
        <f>EXP(-$B$11*(A1004*$B$12))</f>
        <v/>
      </c>
      <c r="G1004">
        <f>EXP(-$B$13*(A1004*$B$14))</f>
        <v/>
      </c>
    </row>
    <row r="1005">
      <c r="A1005" t="n">
        <v>26</v>
      </c>
      <c r="B1005">
        <f>F1005</f>
        <v/>
      </c>
      <c r="C1005">
        <f>G1005-F1005</f>
        <v/>
      </c>
      <c r="D1005">
        <f>1-G1005</f>
        <v/>
      </c>
      <c r="F1005">
        <f>EXP(-$B$11*(A1005*$B$12))</f>
        <v/>
      </c>
      <c r="G1005">
        <f>EXP(-$B$13*(A1005*$B$14))</f>
        <v/>
      </c>
    </row>
    <row r="1006">
      <c r="A1006" t="n">
        <v>27</v>
      </c>
      <c r="B1006">
        <f>F1006</f>
        <v/>
      </c>
      <c r="C1006">
        <f>G1006-F1006</f>
        <v/>
      </c>
      <c r="D1006">
        <f>1-G1006</f>
        <v/>
      </c>
      <c r="F1006">
        <f>EXP(-$B$11*(A1006*$B$12))</f>
        <v/>
      </c>
      <c r="G1006">
        <f>EXP(-$B$13*(A1006*$B$14))</f>
        <v/>
      </c>
    </row>
    <row r="1007">
      <c r="A1007" t="n">
        <v>28</v>
      </c>
      <c r="B1007">
        <f>F1007</f>
        <v/>
      </c>
      <c r="C1007">
        <f>G1007-F1007</f>
        <v/>
      </c>
      <c r="D1007">
        <f>1-G1007</f>
        <v/>
      </c>
      <c r="F1007">
        <f>EXP(-$B$11*(A1007*$B$12))</f>
        <v/>
      </c>
      <c r="G1007">
        <f>EXP(-$B$13*(A1007*$B$14))</f>
        <v/>
      </c>
    </row>
    <row r="1008">
      <c r="A1008" t="n">
        <v>29</v>
      </c>
      <c r="B1008">
        <f>F1008</f>
        <v/>
      </c>
      <c r="C1008">
        <f>G1008-F1008</f>
        <v/>
      </c>
      <c r="D1008">
        <f>1-G1008</f>
        <v/>
      </c>
      <c r="F1008">
        <f>EXP(-$B$11*(A1008*$B$12))</f>
        <v/>
      </c>
      <c r="G1008">
        <f>EXP(-$B$13*(A1008*$B$14))</f>
        <v/>
      </c>
    </row>
    <row r="1009">
      <c r="A1009" t="n">
        <v>30</v>
      </c>
      <c r="B1009">
        <f>F1009</f>
        <v/>
      </c>
      <c r="C1009">
        <f>G1009-F1009</f>
        <v/>
      </c>
      <c r="D1009">
        <f>1-G1009</f>
        <v/>
      </c>
      <c r="F1009">
        <f>EXP(-$B$11*(A1009*$B$12))</f>
        <v/>
      </c>
      <c r="G1009">
        <f>EXP(-$B$13*(A1009*$B$14))</f>
        <v/>
      </c>
    </row>
    <row r="1010">
      <c r="A1010" t="n">
        <v>31</v>
      </c>
      <c r="B1010">
        <f>F1010</f>
        <v/>
      </c>
      <c r="C1010">
        <f>G1010-F1010</f>
        <v/>
      </c>
      <c r="D1010">
        <f>1-G1010</f>
        <v/>
      </c>
      <c r="F1010">
        <f>EXP(-$B$11*(A1010*$B$12))</f>
        <v/>
      </c>
      <c r="G1010">
        <f>EXP(-$B$13*(A1010*$B$14))</f>
        <v/>
      </c>
    </row>
    <row r="1011">
      <c r="A1011" t="n">
        <v>32</v>
      </c>
      <c r="B1011">
        <f>F1011</f>
        <v/>
      </c>
      <c r="C1011">
        <f>G1011-F1011</f>
        <v/>
      </c>
      <c r="D1011">
        <f>1-G1011</f>
        <v/>
      </c>
      <c r="F1011">
        <f>EXP(-$B$11*(A1011*$B$12))</f>
        <v/>
      </c>
      <c r="G1011">
        <f>EXP(-$B$13*(A1011*$B$14))</f>
        <v/>
      </c>
    </row>
    <row r="1012">
      <c r="A1012" t="n">
        <v>33</v>
      </c>
      <c r="B1012">
        <f>F1012</f>
        <v/>
      </c>
      <c r="C1012">
        <f>G1012-F1012</f>
        <v/>
      </c>
      <c r="D1012">
        <f>1-G1012</f>
        <v/>
      </c>
      <c r="F1012">
        <f>EXP(-$B$11*(A1012*$B$12))</f>
        <v/>
      </c>
      <c r="G1012">
        <f>EXP(-$B$13*(A1012*$B$14))</f>
        <v/>
      </c>
    </row>
    <row r="1013">
      <c r="A1013" t="n">
        <v>34</v>
      </c>
      <c r="B1013">
        <f>F1013</f>
        <v/>
      </c>
      <c r="C1013">
        <f>G1013-F1013</f>
        <v/>
      </c>
      <c r="D1013">
        <f>1-G1013</f>
        <v/>
      </c>
      <c r="F1013">
        <f>EXP(-$B$11*(A1013*$B$12))</f>
        <v/>
      </c>
      <c r="G1013">
        <f>EXP(-$B$13*(A1013*$B$14))</f>
        <v/>
      </c>
    </row>
    <row r="1014">
      <c r="A1014" t="n">
        <v>35</v>
      </c>
      <c r="B1014">
        <f>F1014</f>
        <v/>
      </c>
      <c r="C1014">
        <f>G1014-F1014</f>
        <v/>
      </c>
      <c r="D1014">
        <f>1-G1014</f>
        <v/>
      </c>
      <c r="F1014">
        <f>EXP(-$B$11*(A1014*$B$12))</f>
        <v/>
      </c>
      <c r="G1014">
        <f>EXP(-$B$13*(A1014*$B$14))</f>
        <v/>
      </c>
    </row>
    <row r="1015">
      <c r="A1015" t="n">
        <v>36</v>
      </c>
      <c r="B1015">
        <f>F1015</f>
        <v/>
      </c>
      <c r="C1015">
        <f>G1015-F1015</f>
        <v/>
      </c>
      <c r="D1015">
        <f>1-G1015</f>
        <v/>
      </c>
      <c r="F1015">
        <f>EXP(-$B$11*(A1015*$B$12))</f>
        <v/>
      </c>
      <c r="G1015">
        <f>EXP(-$B$13*(A1015*$B$14))</f>
        <v/>
      </c>
    </row>
    <row r="1016">
      <c r="A1016" t="n">
        <v>37</v>
      </c>
      <c r="B1016">
        <f>F1016</f>
        <v/>
      </c>
      <c r="C1016">
        <f>G1016-F1016</f>
        <v/>
      </c>
      <c r="D1016">
        <f>1-G1016</f>
        <v/>
      </c>
      <c r="F1016">
        <f>EXP(-$B$11*(A1016*$B$12))</f>
        <v/>
      </c>
      <c r="G1016">
        <f>EXP(-$B$13*(A1016*$B$14))</f>
        <v/>
      </c>
    </row>
    <row r="1017">
      <c r="A1017" t="n">
        <v>38</v>
      </c>
      <c r="B1017">
        <f>F1017</f>
        <v/>
      </c>
      <c r="C1017">
        <f>G1017-F1017</f>
        <v/>
      </c>
      <c r="D1017">
        <f>1-G1017</f>
        <v/>
      </c>
      <c r="F1017">
        <f>EXP(-$B$11*(A1017*$B$12))</f>
        <v/>
      </c>
      <c r="G1017">
        <f>EXP(-$B$13*(A1017*$B$14))</f>
        <v/>
      </c>
    </row>
    <row r="1018">
      <c r="A1018" t="n">
        <v>39</v>
      </c>
      <c r="B1018">
        <f>F1018</f>
        <v/>
      </c>
      <c r="C1018">
        <f>G1018-F1018</f>
        <v/>
      </c>
      <c r="D1018">
        <f>1-G1018</f>
        <v/>
      </c>
      <c r="F1018">
        <f>EXP(-$B$11*(A1018*$B$12))</f>
        <v/>
      </c>
      <c r="G1018">
        <f>EXP(-$B$13*(A1018*$B$14))</f>
        <v/>
      </c>
    </row>
    <row r="1019">
      <c r="A1019" t="n">
        <v>40</v>
      </c>
      <c r="B1019">
        <f>F1019</f>
        <v/>
      </c>
      <c r="C1019">
        <f>G1019-F1019</f>
        <v/>
      </c>
      <c r="D1019">
        <f>1-G1019</f>
        <v/>
      </c>
      <c r="F1019">
        <f>EXP(-$B$11*(A1019*$B$12))</f>
        <v/>
      </c>
      <c r="G1019">
        <f>EXP(-$B$13*(A1019*$B$14))</f>
        <v/>
      </c>
    </row>
    <row r="1020">
      <c r="A1020" t="n">
        <v>41</v>
      </c>
      <c r="B1020">
        <f>F1020</f>
        <v/>
      </c>
      <c r="C1020">
        <f>G1020-F1020</f>
        <v/>
      </c>
      <c r="D1020">
        <f>1-G1020</f>
        <v/>
      </c>
      <c r="F1020">
        <f>EXP(-$B$11*(A1020*$B$12))</f>
        <v/>
      </c>
      <c r="G1020">
        <f>EXP(-$B$13*(A1020*$B$14))</f>
        <v/>
      </c>
    </row>
    <row r="1021">
      <c r="A1021" t="n">
        <v>42</v>
      </c>
      <c r="B1021">
        <f>F1021</f>
        <v/>
      </c>
      <c r="C1021">
        <f>G1021-F1021</f>
        <v/>
      </c>
      <c r="D1021">
        <f>1-G1021</f>
        <v/>
      </c>
      <c r="F1021">
        <f>EXP(-$B$11*(A1021*$B$12))</f>
        <v/>
      </c>
      <c r="G1021">
        <f>EXP(-$B$13*(A1021*$B$14))</f>
        <v/>
      </c>
    </row>
    <row r="1022">
      <c r="A1022" t="n">
        <v>43</v>
      </c>
      <c r="B1022">
        <f>F1022</f>
        <v/>
      </c>
      <c r="C1022">
        <f>G1022-F1022</f>
        <v/>
      </c>
      <c r="D1022">
        <f>1-G1022</f>
        <v/>
      </c>
      <c r="F1022">
        <f>EXP(-$B$11*(A1022*$B$12))</f>
        <v/>
      </c>
      <c r="G1022">
        <f>EXP(-$B$13*(A1022*$B$14))</f>
        <v/>
      </c>
    </row>
    <row r="1023">
      <c r="A1023" t="n">
        <v>44</v>
      </c>
      <c r="B1023">
        <f>F1023</f>
        <v/>
      </c>
      <c r="C1023">
        <f>G1023-F1023</f>
        <v/>
      </c>
      <c r="D1023">
        <f>1-G1023</f>
        <v/>
      </c>
      <c r="F1023">
        <f>EXP(-$B$11*(A1023*$B$12))</f>
        <v/>
      </c>
      <c r="G1023">
        <f>EXP(-$B$13*(A1023*$B$14))</f>
        <v/>
      </c>
    </row>
    <row r="1024">
      <c r="A1024" t="n">
        <v>45</v>
      </c>
      <c r="B1024">
        <f>F1024</f>
        <v/>
      </c>
      <c r="C1024">
        <f>G1024-F1024</f>
        <v/>
      </c>
      <c r="D1024">
        <f>1-G1024</f>
        <v/>
      </c>
      <c r="F1024">
        <f>EXP(-$B$11*(A1024*$B$12))</f>
        <v/>
      </c>
      <c r="G1024">
        <f>EXP(-$B$13*(A1024*$B$14))</f>
        <v/>
      </c>
    </row>
    <row r="1025">
      <c r="A1025" t="n">
        <v>46</v>
      </c>
      <c r="B1025">
        <f>F1025</f>
        <v/>
      </c>
      <c r="C1025">
        <f>G1025-F1025</f>
        <v/>
      </c>
      <c r="D1025">
        <f>1-G1025</f>
        <v/>
      </c>
      <c r="F1025">
        <f>EXP(-$B$11*(A1025*$B$12))</f>
        <v/>
      </c>
      <c r="G1025">
        <f>EXP(-$B$13*(A1025*$B$14))</f>
        <v/>
      </c>
    </row>
    <row r="1026">
      <c r="A1026" t="n">
        <v>47</v>
      </c>
      <c r="B1026">
        <f>F1026</f>
        <v/>
      </c>
      <c r="C1026">
        <f>G1026-F1026</f>
        <v/>
      </c>
      <c r="D1026">
        <f>1-G1026</f>
        <v/>
      </c>
      <c r="F1026">
        <f>EXP(-$B$11*(A1026*$B$12))</f>
        <v/>
      </c>
      <c r="G1026">
        <f>EXP(-$B$13*(A1026*$B$14))</f>
        <v/>
      </c>
    </row>
    <row r="1027">
      <c r="A1027" t="n">
        <v>48</v>
      </c>
      <c r="B1027">
        <f>F1027</f>
        <v/>
      </c>
      <c r="C1027">
        <f>G1027-F1027</f>
        <v/>
      </c>
      <c r="D1027">
        <f>1-G1027</f>
        <v/>
      </c>
      <c r="F1027">
        <f>EXP(-$B$11*(A1027*$B$12))</f>
        <v/>
      </c>
      <c r="G1027">
        <f>EXP(-$B$13*(A1027*$B$14))</f>
        <v/>
      </c>
    </row>
    <row r="1028">
      <c r="A1028" t="n">
        <v>49</v>
      </c>
      <c r="B1028">
        <f>F1028</f>
        <v/>
      </c>
      <c r="C1028">
        <f>G1028-F1028</f>
        <v/>
      </c>
      <c r="D1028">
        <f>1-G1028</f>
        <v/>
      </c>
      <c r="F1028">
        <f>EXP(-$B$11*(A1028*$B$12))</f>
        <v/>
      </c>
      <c r="G1028">
        <f>EXP(-$B$13*(A1028*$B$14))</f>
        <v/>
      </c>
    </row>
    <row r="1029">
      <c r="A1029" t="n">
        <v>50</v>
      </c>
      <c r="B1029">
        <f>F1029</f>
        <v/>
      </c>
      <c r="C1029">
        <f>G1029-F1029</f>
        <v/>
      </c>
      <c r="D1029">
        <f>1-G1029</f>
        <v/>
      </c>
      <c r="F1029">
        <f>EXP(-$B$11*(A1029*$B$12))</f>
        <v/>
      </c>
      <c r="G1029">
        <f>EXP(-$B$13*(A1029*$B$14))</f>
        <v/>
      </c>
    </row>
    <row r="1030">
      <c r="A1030" t="n">
        <v>51</v>
      </c>
      <c r="B1030">
        <f>F1030</f>
        <v/>
      </c>
      <c r="C1030">
        <f>G1030-F1030</f>
        <v/>
      </c>
      <c r="D1030">
        <f>1-G1030</f>
        <v/>
      </c>
      <c r="F1030">
        <f>EXP(-$B$11*(A1030*$B$12))</f>
        <v/>
      </c>
      <c r="G1030">
        <f>EXP(-$B$13*(A1030*$B$14))</f>
        <v/>
      </c>
    </row>
    <row r="1031">
      <c r="A1031" t="n">
        <v>52</v>
      </c>
      <c r="B1031">
        <f>F1031</f>
        <v/>
      </c>
      <c r="C1031">
        <f>G1031-F1031</f>
        <v/>
      </c>
      <c r="D1031">
        <f>1-G1031</f>
        <v/>
      </c>
      <c r="F1031">
        <f>EXP(-$B$11*(A1031*$B$12))</f>
        <v/>
      </c>
      <c r="G1031">
        <f>EXP(-$B$13*(A1031*$B$14))</f>
        <v/>
      </c>
    </row>
    <row r="1032">
      <c r="A1032" t="n">
        <v>53</v>
      </c>
      <c r="B1032">
        <f>F1032</f>
        <v/>
      </c>
      <c r="C1032">
        <f>G1032-F1032</f>
        <v/>
      </c>
      <c r="D1032">
        <f>1-G1032</f>
        <v/>
      </c>
      <c r="F1032">
        <f>EXP(-$B$11*(A1032*$B$12))</f>
        <v/>
      </c>
      <c r="G1032">
        <f>EXP(-$B$13*(A1032*$B$14))</f>
        <v/>
      </c>
    </row>
    <row r="1033">
      <c r="A1033" t="n">
        <v>54</v>
      </c>
      <c r="B1033">
        <f>F1033</f>
        <v/>
      </c>
      <c r="C1033">
        <f>G1033-F1033</f>
        <v/>
      </c>
      <c r="D1033">
        <f>1-G1033</f>
        <v/>
      </c>
      <c r="F1033">
        <f>EXP(-$B$11*(A1033*$B$12))</f>
        <v/>
      </c>
      <c r="G1033">
        <f>EXP(-$B$13*(A1033*$B$14))</f>
        <v/>
      </c>
    </row>
    <row r="1034">
      <c r="A1034" t="n">
        <v>55</v>
      </c>
      <c r="B1034">
        <f>F1034</f>
        <v/>
      </c>
      <c r="C1034">
        <f>G1034-F1034</f>
        <v/>
      </c>
      <c r="D1034">
        <f>1-G1034</f>
        <v/>
      </c>
      <c r="F1034">
        <f>EXP(-$B$11*(A1034*$B$12))</f>
        <v/>
      </c>
      <c r="G1034">
        <f>EXP(-$B$13*(A1034*$B$14))</f>
        <v/>
      </c>
    </row>
    <row r="1035">
      <c r="A1035" t="n">
        <v>56</v>
      </c>
      <c r="B1035">
        <f>F1035</f>
        <v/>
      </c>
      <c r="C1035">
        <f>G1035-F1035</f>
        <v/>
      </c>
      <c r="D1035">
        <f>1-G1035</f>
        <v/>
      </c>
      <c r="F1035">
        <f>EXP(-$B$11*(A1035*$B$12))</f>
        <v/>
      </c>
      <c r="G1035">
        <f>EXP(-$B$13*(A1035*$B$14))</f>
        <v/>
      </c>
    </row>
    <row r="1036">
      <c r="A1036" t="n">
        <v>57</v>
      </c>
      <c r="B1036">
        <f>F1036</f>
        <v/>
      </c>
      <c r="C1036">
        <f>G1036-F1036</f>
        <v/>
      </c>
      <c r="D1036">
        <f>1-G1036</f>
        <v/>
      </c>
      <c r="F1036">
        <f>EXP(-$B$11*(A1036*$B$12))</f>
        <v/>
      </c>
      <c r="G1036">
        <f>EXP(-$B$13*(A1036*$B$14))</f>
        <v/>
      </c>
    </row>
    <row r="1037">
      <c r="A1037" t="n">
        <v>58</v>
      </c>
      <c r="B1037">
        <f>F1037</f>
        <v/>
      </c>
      <c r="C1037">
        <f>G1037-F1037</f>
        <v/>
      </c>
      <c r="D1037">
        <f>1-G1037</f>
        <v/>
      </c>
      <c r="F1037">
        <f>EXP(-$B$11*(A1037*$B$12))</f>
        <v/>
      </c>
      <c r="G1037">
        <f>EXP(-$B$13*(A1037*$B$14))</f>
        <v/>
      </c>
    </row>
    <row r="1038">
      <c r="A1038" t="n">
        <v>59</v>
      </c>
      <c r="B1038">
        <f>F1038</f>
        <v/>
      </c>
      <c r="C1038">
        <f>G1038-F1038</f>
        <v/>
      </c>
      <c r="D1038">
        <f>1-G1038</f>
        <v/>
      </c>
      <c r="F1038">
        <f>EXP(-$B$11*(A1038*$B$12))</f>
        <v/>
      </c>
      <c r="G1038">
        <f>EXP(-$B$13*(A1038*$B$14))</f>
        <v/>
      </c>
    </row>
    <row r="1039">
      <c r="A1039" t="n">
        <v>60</v>
      </c>
      <c r="B1039">
        <f>F1039</f>
        <v/>
      </c>
      <c r="C1039">
        <f>G1039-F1039</f>
        <v/>
      </c>
      <c r="D1039">
        <f>1-G1039</f>
        <v/>
      </c>
      <c r="F1039">
        <f>EXP(-$B$11*(A1039*$B$12))</f>
        <v/>
      </c>
      <c r="G1039">
        <f>EXP(-$B$13*(A1039*$B$14))</f>
        <v/>
      </c>
    </row>
    <row r="1040">
      <c r="A1040" t="n">
        <v>61</v>
      </c>
      <c r="B1040">
        <f>F1040</f>
        <v/>
      </c>
      <c r="C1040">
        <f>G1040-F1040</f>
        <v/>
      </c>
      <c r="D1040">
        <f>1-G1040</f>
        <v/>
      </c>
      <c r="F1040">
        <f>EXP(-$B$11*(A1040*$B$12))</f>
        <v/>
      </c>
      <c r="G1040">
        <f>EXP(-$B$13*(A1040*$B$14))</f>
        <v/>
      </c>
    </row>
    <row r="1041">
      <c r="A1041" t="n">
        <v>62</v>
      </c>
      <c r="B1041">
        <f>F1041</f>
        <v/>
      </c>
      <c r="C1041">
        <f>G1041-F1041</f>
        <v/>
      </c>
      <c r="D1041">
        <f>1-G1041</f>
        <v/>
      </c>
      <c r="F1041">
        <f>EXP(-$B$11*(A1041*$B$12))</f>
        <v/>
      </c>
      <c r="G1041">
        <f>EXP(-$B$13*(A1041*$B$14))</f>
        <v/>
      </c>
    </row>
    <row r="1042">
      <c r="A1042" t="n">
        <v>63</v>
      </c>
      <c r="B1042">
        <f>F1042</f>
        <v/>
      </c>
      <c r="C1042">
        <f>G1042-F1042</f>
        <v/>
      </c>
      <c r="D1042">
        <f>1-G1042</f>
        <v/>
      </c>
      <c r="F1042">
        <f>EXP(-$B$11*(A1042*$B$12))</f>
        <v/>
      </c>
      <c r="G1042">
        <f>EXP(-$B$13*(A1042*$B$14))</f>
        <v/>
      </c>
    </row>
    <row r="1043">
      <c r="A1043" t="n">
        <v>64</v>
      </c>
      <c r="B1043">
        <f>F1043</f>
        <v/>
      </c>
      <c r="C1043">
        <f>G1043-F1043</f>
        <v/>
      </c>
      <c r="D1043">
        <f>1-G1043</f>
        <v/>
      </c>
      <c r="F1043">
        <f>EXP(-$B$11*(A1043*$B$12))</f>
        <v/>
      </c>
      <c r="G1043">
        <f>EXP(-$B$13*(A1043*$B$14))</f>
        <v/>
      </c>
    </row>
    <row r="1044">
      <c r="A1044" t="n">
        <v>65</v>
      </c>
      <c r="B1044">
        <f>F1044</f>
        <v/>
      </c>
      <c r="C1044">
        <f>G1044-F1044</f>
        <v/>
      </c>
      <c r="D1044">
        <f>1-G1044</f>
        <v/>
      </c>
      <c r="F1044">
        <f>EXP(-$B$11*(A1044*$B$12))</f>
        <v/>
      </c>
      <c r="G1044">
        <f>EXP(-$B$13*(A1044*$B$14))</f>
        <v/>
      </c>
    </row>
    <row r="1045">
      <c r="A1045" t="n">
        <v>66</v>
      </c>
      <c r="B1045">
        <f>F1045</f>
        <v/>
      </c>
      <c r="C1045">
        <f>G1045-F1045</f>
        <v/>
      </c>
      <c r="D1045">
        <f>1-G1045</f>
        <v/>
      </c>
      <c r="F1045">
        <f>EXP(-$B$11*(A1045*$B$12))</f>
        <v/>
      </c>
      <c r="G1045">
        <f>EXP(-$B$13*(A1045*$B$14))</f>
        <v/>
      </c>
    </row>
    <row r="1046">
      <c r="A1046" t="n">
        <v>67</v>
      </c>
      <c r="B1046">
        <f>F1046</f>
        <v/>
      </c>
      <c r="C1046">
        <f>G1046-F1046</f>
        <v/>
      </c>
      <c r="D1046">
        <f>1-G1046</f>
        <v/>
      </c>
      <c r="F1046">
        <f>EXP(-$B$11*(A1046*$B$12))</f>
        <v/>
      </c>
      <c r="G1046">
        <f>EXP(-$B$13*(A1046*$B$14))</f>
        <v/>
      </c>
    </row>
    <row r="1047">
      <c r="A1047" t="n">
        <v>68</v>
      </c>
      <c r="B1047">
        <f>F1047</f>
        <v/>
      </c>
      <c r="C1047">
        <f>G1047-F1047</f>
        <v/>
      </c>
      <c r="D1047">
        <f>1-G1047</f>
        <v/>
      </c>
      <c r="F1047">
        <f>EXP(-$B$11*(A1047*$B$12))</f>
        <v/>
      </c>
      <c r="G1047">
        <f>EXP(-$B$13*(A1047*$B$14))</f>
        <v/>
      </c>
    </row>
    <row r="1048">
      <c r="A1048" t="n">
        <v>69</v>
      </c>
      <c r="B1048">
        <f>F1048</f>
        <v/>
      </c>
      <c r="C1048">
        <f>G1048-F1048</f>
        <v/>
      </c>
      <c r="D1048">
        <f>1-G1048</f>
        <v/>
      </c>
      <c r="F1048">
        <f>EXP(-$B$11*(A1048*$B$12))</f>
        <v/>
      </c>
      <c r="G1048">
        <f>EXP(-$B$13*(A1048*$B$14))</f>
        <v/>
      </c>
    </row>
    <row r="1049">
      <c r="A1049" t="n">
        <v>70</v>
      </c>
      <c r="B1049">
        <f>F1049</f>
        <v/>
      </c>
      <c r="C1049">
        <f>G1049-F1049</f>
        <v/>
      </c>
      <c r="D1049">
        <f>1-G1049</f>
        <v/>
      </c>
      <c r="F1049">
        <f>EXP(-$B$11*(A1049*$B$12))</f>
        <v/>
      </c>
      <c r="G1049">
        <f>EXP(-$B$13*(A1049*$B$14))</f>
        <v/>
      </c>
    </row>
    <row r="1050">
      <c r="A1050" t="n">
        <v>71</v>
      </c>
      <c r="B1050">
        <f>F1050</f>
        <v/>
      </c>
      <c r="C1050">
        <f>G1050-F1050</f>
        <v/>
      </c>
      <c r="D1050">
        <f>1-G1050</f>
        <v/>
      </c>
      <c r="F1050">
        <f>EXP(-$B$11*(A1050*$B$12))</f>
        <v/>
      </c>
      <c r="G1050">
        <f>EXP(-$B$13*(A1050*$B$14))</f>
        <v/>
      </c>
    </row>
    <row r="1051">
      <c r="A1051" t="n">
        <v>72</v>
      </c>
      <c r="B1051">
        <f>F1051</f>
        <v/>
      </c>
      <c r="C1051">
        <f>G1051-F1051</f>
        <v/>
      </c>
      <c r="D1051">
        <f>1-G1051</f>
        <v/>
      </c>
      <c r="F1051">
        <f>EXP(-$B$11*(A1051*$B$12))</f>
        <v/>
      </c>
      <c r="G1051">
        <f>EXP(-$B$13*(A1051*$B$14))</f>
        <v/>
      </c>
    </row>
    <row r="1052">
      <c r="A1052" t="n">
        <v>73</v>
      </c>
      <c r="B1052">
        <f>F1052</f>
        <v/>
      </c>
      <c r="C1052">
        <f>G1052-F1052</f>
        <v/>
      </c>
      <c r="D1052">
        <f>1-G1052</f>
        <v/>
      </c>
      <c r="F1052">
        <f>EXP(-$B$11*(A1052*$B$12))</f>
        <v/>
      </c>
      <c r="G1052">
        <f>EXP(-$B$13*(A1052*$B$14))</f>
        <v/>
      </c>
    </row>
    <row r="1053">
      <c r="A1053" t="n">
        <v>74</v>
      </c>
      <c r="B1053">
        <f>F1053</f>
        <v/>
      </c>
      <c r="C1053">
        <f>G1053-F1053</f>
        <v/>
      </c>
      <c r="D1053">
        <f>1-G1053</f>
        <v/>
      </c>
      <c r="F1053">
        <f>EXP(-$B$11*(A1053*$B$12))</f>
        <v/>
      </c>
      <c r="G1053">
        <f>EXP(-$B$13*(A1053*$B$14))</f>
        <v/>
      </c>
    </row>
    <row r="1054">
      <c r="A1054" t="n">
        <v>75</v>
      </c>
      <c r="B1054">
        <f>F1054</f>
        <v/>
      </c>
      <c r="C1054">
        <f>G1054-F1054</f>
        <v/>
      </c>
      <c r="D1054">
        <f>1-G1054</f>
        <v/>
      </c>
      <c r="F1054">
        <f>EXP(-$B$11*(A1054*$B$12))</f>
        <v/>
      </c>
      <c r="G1054">
        <f>EXP(-$B$13*(A1054*$B$14))</f>
        <v/>
      </c>
    </row>
    <row r="1055">
      <c r="A1055" t="n">
        <v>76</v>
      </c>
      <c r="B1055">
        <f>F1055</f>
        <v/>
      </c>
      <c r="C1055">
        <f>G1055-F1055</f>
        <v/>
      </c>
      <c r="D1055">
        <f>1-G1055</f>
        <v/>
      </c>
      <c r="F1055">
        <f>EXP(-$B$11*(A1055*$B$12))</f>
        <v/>
      </c>
      <c r="G1055">
        <f>EXP(-$B$13*(A1055*$B$14))</f>
        <v/>
      </c>
    </row>
    <row r="1056">
      <c r="A1056" t="n">
        <v>77</v>
      </c>
      <c r="B1056">
        <f>F1056</f>
        <v/>
      </c>
      <c r="C1056">
        <f>G1056-F1056</f>
        <v/>
      </c>
      <c r="D1056">
        <f>1-G1056</f>
        <v/>
      </c>
      <c r="F1056">
        <f>EXP(-$B$11*(A1056*$B$12))</f>
        <v/>
      </c>
      <c r="G1056">
        <f>EXP(-$B$13*(A1056*$B$14))</f>
        <v/>
      </c>
    </row>
    <row r="1057">
      <c r="A1057" t="n">
        <v>78</v>
      </c>
      <c r="B1057">
        <f>F1057</f>
        <v/>
      </c>
      <c r="C1057">
        <f>G1057-F1057</f>
        <v/>
      </c>
      <c r="D1057">
        <f>1-G1057</f>
        <v/>
      </c>
      <c r="F1057">
        <f>EXP(-$B$11*(A1057*$B$12))</f>
        <v/>
      </c>
      <c r="G1057">
        <f>EXP(-$B$13*(A1057*$B$14))</f>
        <v/>
      </c>
    </row>
    <row r="1058">
      <c r="A1058" t="n">
        <v>79</v>
      </c>
      <c r="B1058">
        <f>F1058</f>
        <v/>
      </c>
      <c r="C1058">
        <f>G1058-F1058</f>
        <v/>
      </c>
      <c r="D1058">
        <f>1-G1058</f>
        <v/>
      </c>
      <c r="F1058">
        <f>EXP(-$B$11*(A1058*$B$12))</f>
        <v/>
      </c>
      <c r="G1058">
        <f>EXP(-$B$13*(A1058*$B$14))</f>
        <v/>
      </c>
    </row>
    <row r="1059">
      <c r="A1059" t="n">
        <v>80</v>
      </c>
      <c r="B1059">
        <f>F1059</f>
        <v/>
      </c>
      <c r="C1059">
        <f>G1059-F1059</f>
        <v/>
      </c>
      <c r="D1059">
        <f>1-G1059</f>
        <v/>
      </c>
      <c r="F1059">
        <f>EXP(-$B$11*(A1059*$B$12))</f>
        <v/>
      </c>
      <c r="G1059">
        <f>EXP(-$B$13*(A1059*$B$14))</f>
        <v/>
      </c>
    </row>
    <row r="1060">
      <c r="A1060" t="n">
        <v>81</v>
      </c>
      <c r="B1060">
        <f>F1060</f>
        <v/>
      </c>
      <c r="C1060">
        <f>G1060-F1060</f>
        <v/>
      </c>
      <c r="D1060">
        <f>1-G1060</f>
        <v/>
      </c>
      <c r="F1060">
        <f>EXP(-$B$11*(A1060*$B$12))</f>
        <v/>
      </c>
      <c r="G1060">
        <f>EXP(-$B$13*(A1060*$B$14))</f>
        <v/>
      </c>
    </row>
    <row r="1061">
      <c r="A1061" t="n">
        <v>82</v>
      </c>
      <c r="B1061">
        <f>F1061</f>
        <v/>
      </c>
      <c r="C1061">
        <f>G1061-F1061</f>
        <v/>
      </c>
      <c r="D1061">
        <f>1-G1061</f>
        <v/>
      </c>
      <c r="F1061">
        <f>EXP(-$B$11*(A1061*$B$12))</f>
        <v/>
      </c>
      <c r="G1061">
        <f>EXP(-$B$13*(A1061*$B$14))</f>
        <v/>
      </c>
    </row>
    <row r="1062">
      <c r="A1062" t="n">
        <v>83</v>
      </c>
      <c r="B1062">
        <f>F1062</f>
        <v/>
      </c>
      <c r="C1062">
        <f>G1062-F1062</f>
        <v/>
      </c>
      <c r="D1062">
        <f>1-G1062</f>
        <v/>
      </c>
      <c r="F1062">
        <f>EXP(-$B$11*(A1062*$B$12))</f>
        <v/>
      </c>
      <c r="G1062">
        <f>EXP(-$B$13*(A1062*$B$14))</f>
        <v/>
      </c>
    </row>
    <row r="1063">
      <c r="A1063" t="n">
        <v>84</v>
      </c>
      <c r="B1063">
        <f>F1063</f>
        <v/>
      </c>
      <c r="C1063">
        <f>G1063-F1063</f>
        <v/>
      </c>
      <c r="D1063">
        <f>1-G1063</f>
        <v/>
      </c>
      <c r="F1063">
        <f>EXP(-$B$11*(A1063*$B$12))</f>
        <v/>
      </c>
      <c r="G1063">
        <f>EXP(-$B$13*(A1063*$B$14))</f>
        <v/>
      </c>
    </row>
    <row r="1064">
      <c r="A1064" t="n">
        <v>85</v>
      </c>
      <c r="B1064">
        <f>F1064</f>
        <v/>
      </c>
      <c r="C1064">
        <f>G1064-F1064</f>
        <v/>
      </c>
      <c r="D1064">
        <f>1-G1064</f>
        <v/>
      </c>
      <c r="F1064">
        <f>EXP(-$B$11*(A1064*$B$12))</f>
        <v/>
      </c>
      <c r="G1064">
        <f>EXP(-$B$13*(A1064*$B$14))</f>
        <v/>
      </c>
    </row>
    <row r="1065">
      <c r="A1065" t="n">
        <v>86</v>
      </c>
      <c r="B1065">
        <f>F1065</f>
        <v/>
      </c>
      <c r="C1065">
        <f>G1065-F1065</f>
        <v/>
      </c>
      <c r="D1065">
        <f>1-G1065</f>
        <v/>
      </c>
      <c r="F1065">
        <f>EXP(-$B$11*(A1065*$B$12))</f>
        <v/>
      </c>
      <c r="G1065">
        <f>EXP(-$B$13*(A1065*$B$14))</f>
        <v/>
      </c>
    </row>
    <row r="1066">
      <c r="A1066" t="n">
        <v>87</v>
      </c>
      <c r="B1066">
        <f>F1066</f>
        <v/>
      </c>
      <c r="C1066">
        <f>G1066-F1066</f>
        <v/>
      </c>
      <c r="D1066">
        <f>1-G1066</f>
        <v/>
      </c>
      <c r="F1066">
        <f>EXP(-$B$11*(A1066*$B$12))</f>
        <v/>
      </c>
      <c r="G1066">
        <f>EXP(-$B$13*(A1066*$B$14))</f>
        <v/>
      </c>
    </row>
    <row r="1067">
      <c r="A1067" t="n">
        <v>88</v>
      </c>
      <c r="B1067">
        <f>F1067</f>
        <v/>
      </c>
      <c r="C1067">
        <f>G1067-F1067</f>
        <v/>
      </c>
      <c r="D1067">
        <f>1-G1067</f>
        <v/>
      </c>
      <c r="F1067">
        <f>EXP(-$B$11*(A1067*$B$12))</f>
        <v/>
      </c>
      <c r="G1067">
        <f>EXP(-$B$13*(A1067*$B$14))</f>
        <v/>
      </c>
    </row>
    <row r="1068">
      <c r="A1068" t="n">
        <v>89</v>
      </c>
      <c r="B1068">
        <f>F1068</f>
        <v/>
      </c>
      <c r="C1068">
        <f>G1068-F1068</f>
        <v/>
      </c>
      <c r="D1068">
        <f>1-G1068</f>
        <v/>
      </c>
      <c r="F1068">
        <f>EXP(-$B$11*(A1068*$B$12))</f>
        <v/>
      </c>
      <c r="G1068">
        <f>EXP(-$B$13*(A1068*$B$14))</f>
        <v/>
      </c>
    </row>
    <row r="1069">
      <c r="A1069" t="n">
        <v>90</v>
      </c>
      <c r="B1069">
        <f>F1069</f>
        <v/>
      </c>
      <c r="C1069">
        <f>G1069-F1069</f>
        <v/>
      </c>
      <c r="D1069">
        <f>1-G1069</f>
        <v/>
      </c>
      <c r="F1069">
        <f>EXP(-$B$11*(A1069*$B$12))</f>
        <v/>
      </c>
      <c r="G1069">
        <f>EXP(-$B$13*(A1069*$B$14))</f>
        <v/>
      </c>
    </row>
    <row r="1070">
      <c r="A1070" t="n">
        <v>91</v>
      </c>
      <c r="B1070">
        <f>F1070</f>
        <v/>
      </c>
      <c r="C1070">
        <f>G1070-F1070</f>
        <v/>
      </c>
      <c r="D1070">
        <f>1-G1070</f>
        <v/>
      </c>
      <c r="F1070">
        <f>EXP(-$B$11*(A1070*$B$12))</f>
        <v/>
      </c>
      <c r="G1070">
        <f>EXP(-$B$13*(A1070*$B$14))</f>
        <v/>
      </c>
    </row>
    <row r="1071">
      <c r="A1071" t="n">
        <v>92</v>
      </c>
      <c r="B1071">
        <f>F1071</f>
        <v/>
      </c>
      <c r="C1071">
        <f>G1071-F1071</f>
        <v/>
      </c>
      <c r="D1071">
        <f>1-G1071</f>
        <v/>
      </c>
      <c r="F1071">
        <f>EXP(-$B$11*(A1071*$B$12))</f>
        <v/>
      </c>
      <c r="G1071">
        <f>EXP(-$B$13*(A1071*$B$14))</f>
        <v/>
      </c>
    </row>
    <row r="1072">
      <c r="A1072" t="n">
        <v>93</v>
      </c>
      <c r="B1072">
        <f>F1072</f>
        <v/>
      </c>
      <c r="C1072">
        <f>G1072-F1072</f>
        <v/>
      </c>
      <c r="D1072">
        <f>1-G1072</f>
        <v/>
      </c>
      <c r="F1072">
        <f>EXP(-$B$11*(A1072*$B$12))</f>
        <v/>
      </c>
      <c r="G1072">
        <f>EXP(-$B$13*(A1072*$B$14))</f>
        <v/>
      </c>
    </row>
    <row r="1073">
      <c r="A1073" t="n">
        <v>94</v>
      </c>
      <c r="B1073">
        <f>F1073</f>
        <v/>
      </c>
      <c r="C1073">
        <f>G1073-F1073</f>
        <v/>
      </c>
      <c r="D1073">
        <f>1-G1073</f>
        <v/>
      </c>
      <c r="F1073">
        <f>EXP(-$B$11*(A1073*$B$12))</f>
        <v/>
      </c>
      <c r="G1073">
        <f>EXP(-$B$13*(A1073*$B$14))</f>
        <v/>
      </c>
    </row>
    <row r="1074">
      <c r="A1074" t="n">
        <v>95</v>
      </c>
      <c r="B1074">
        <f>F1074</f>
        <v/>
      </c>
      <c r="C1074">
        <f>G1074-F1074</f>
        <v/>
      </c>
      <c r="D1074">
        <f>1-G1074</f>
        <v/>
      </c>
      <c r="F1074">
        <f>EXP(-$B$11*(A1074*$B$12))</f>
        <v/>
      </c>
      <c r="G1074">
        <f>EXP(-$B$13*(A1074*$B$14))</f>
        <v/>
      </c>
    </row>
    <row r="1075">
      <c r="A1075" t="n">
        <v>96</v>
      </c>
      <c r="B1075">
        <f>F1075</f>
        <v/>
      </c>
      <c r="C1075">
        <f>G1075-F1075</f>
        <v/>
      </c>
      <c r="D1075">
        <f>1-G1075</f>
        <v/>
      </c>
      <c r="F1075">
        <f>EXP(-$B$11*(A1075*$B$12))</f>
        <v/>
      </c>
      <c r="G1075">
        <f>EXP(-$B$13*(A1075*$B$14))</f>
        <v/>
      </c>
    </row>
    <row r="1076">
      <c r="A1076" t="n">
        <v>97</v>
      </c>
      <c r="B1076">
        <f>F1076</f>
        <v/>
      </c>
      <c r="C1076">
        <f>G1076-F1076</f>
        <v/>
      </c>
      <c r="D1076">
        <f>1-G1076</f>
        <v/>
      </c>
      <c r="F1076">
        <f>EXP(-$B$11*(A1076*$B$12))</f>
        <v/>
      </c>
      <c r="G1076">
        <f>EXP(-$B$13*(A1076*$B$14))</f>
        <v/>
      </c>
    </row>
    <row r="1077">
      <c r="A1077" t="n">
        <v>98</v>
      </c>
      <c r="B1077">
        <f>F1077</f>
        <v/>
      </c>
      <c r="C1077">
        <f>G1077-F1077</f>
        <v/>
      </c>
      <c r="D1077">
        <f>1-G1077</f>
        <v/>
      </c>
      <c r="F1077">
        <f>EXP(-$B$11*(A1077*$B$12))</f>
        <v/>
      </c>
      <c r="G1077">
        <f>EXP(-$B$13*(A1077*$B$14))</f>
        <v/>
      </c>
    </row>
    <row r="1078">
      <c r="A1078" t="n">
        <v>99</v>
      </c>
      <c r="B1078">
        <f>F1078</f>
        <v/>
      </c>
      <c r="C1078">
        <f>G1078-F1078</f>
        <v/>
      </c>
      <c r="D1078">
        <f>1-G1078</f>
        <v/>
      </c>
      <c r="F1078">
        <f>EXP(-$B$11*(A1078*$B$12))</f>
        <v/>
      </c>
      <c r="G1078">
        <f>EXP(-$B$13*(A1078*$B$14))</f>
        <v/>
      </c>
    </row>
    <row r="1079">
      <c r="A1079" t="n">
        <v>100</v>
      </c>
      <c r="B1079">
        <f>F1079</f>
        <v/>
      </c>
      <c r="C1079">
        <f>G1079-F1079</f>
        <v/>
      </c>
      <c r="D1079">
        <f>1-G1079</f>
        <v/>
      </c>
      <c r="F1079">
        <f>EXP(-$B$11*(A1079*$B$12))</f>
        <v/>
      </c>
      <c r="G1079">
        <f>EXP(-$B$13*(A1079*$B$14))</f>
        <v/>
      </c>
    </row>
    <row r="1080">
      <c r="A1080" t="n">
        <v>101</v>
      </c>
      <c r="B1080">
        <f>F1080</f>
        <v/>
      </c>
      <c r="C1080">
        <f>G1080-F1080</f>
        <v/>
      </c>
      <c r="D1080">
        <f>1-G1080</f>
        <v/>
      </c>
      <c r="F1080">
        <f>EXP(-$B$11*(A1080*$B$12))</f>
        <v/>
      </c>
      <c r="G1080">
        <f>EXP(-$B$13*(A1080*$B$14))</f>
        <v/>
      </c>
    </row>
    <row r="1081">
      <c r="A1081" t="n">
        <v>102</v>
      </c>
      <c r="B1081">
        <f>F1081</f>
        <v/>
      </c>
      <c r="C1081">
        <f>G1081-F1081</f>
        <v/>
      </c>
      <c r="D1081">
        <f>1-G1081</f>
        <v/>
      </c>
      <c r="F1081">
        <f>EXP(-$B$11*(A1081*$B$12))</f>
        <v/>
      </c>
      <c r="G1081">
        <f>EXP(-$B$13*(A1081*$B$14))</f>
        <v/>
      </c>
    </row>
    <row r="1082">
      <c r="A1082" t="n">
        <v>103</v>
      </c>
      <c r="B1082">
        <f>F1082</f>
        <v/>
      </c>
      <c r="C1082">
        <f>G1082-F1082</f>
        <v/>
      </c>
      <c r="D1082">
        <f>1-G1082</f>
        <v/>
      </c>
      <c r="F1082">
        <f>EXP(-$B$11*(A1082*$B$12))</f>
        <v/>
      </c>
      <c r="G1082">
        <f>EXP(-$B$13*(A1082*$B$14))</f>
        <v/>
      </c>
    </row>
    <row r="1083">
      <c r="A1083" t="n">
        <v>104</v>
      </c>
      <c r="B1083">
        <f>F1083</f>
        <v/>
      </c>
      <c r="C1083">
        <f>G1083-F1083</f>
        <v/>
      </c>
      <c r="D1083">
        <f>1-G1083</f>
        <v/>
      </c>
      <c r="F1083">
        <f>EXP(-$B$11*(A1083*$B$12))</f>
        <v/>
      </c>
      <c r="G1083">
        <f>EXP(-$B$13*(A1083*$B$14))</f>
        <v/>
      </c>
    </row>
    <row r="1084">
      <c r="A1084" t="n">
        <v>105</v>
      </c>
      <c r="B1084">
        <f>F1084</f>
        <v/>
      </c>
      <c r="C1084">
        <f>G1084-F1084</f>
        <v/>
      </c>
      <c r="D1084">
        <f>1-G1084</f>
        <v/>
      </c>
      <c r="F1084">
        <f>EXP(-$B$11*(A1084*$B$12))</f>
        <v/>
      </c>
      <c r="G1084">
        <f>EXP(-$B$13*(A1084*$B$14))</f>
        <v/>
      </c>
    </row>
    <row r="1085">
      <c r="A1085" t="n">
        <v>106</v>
      </c>
      <c r="B1085">
        <f>F1085</f>
        <v/>
      </c>
      <c r="C1085">
        <f>G1085-F1085</f>
        <v/>
      </c>
      <c r="D1085">
        <f>1-G1085</f>
        <v/>
      </c>
      <c r="F1085">
        <f>EXP(-$B$11*(A1085*$B$12))</f>
        <v/>
      </c>
      <c r="G1085">
        <f>EXP(-$B$13*(A1085*$B$14))</f>
        <v/>
      </c>
    </row>
    <row r="1086">
      <c r="A1086" t="n">
        <v>107</v>
      </c>
      <c r="B1086">
        <f>F1086</f>
        <v/>
      </c>
      <c r="C1086">
        <f>G1086-F1086</f>
        <v/>
      </c>
      <c r="D1086">
        <f>1-G1086</f>
        <v/>
      </c>
      <c r="F1086">
        <f>EXP(-$B$11*(A1086*$B$12))</f>
        <v/>
      </c>
      <c r="G1086">
        <f>EXP(-$B$13*(A1086*$B$14))</f>
        <v/>
      </c>
    </row>
    <row r="1087">
      <c r="A1087" t="n">
        <v>108</v>
      </c>
      <c r="B1087">
        <f>F1087</f>
        <v/>
      </c>
      <c r="C1087">
        <f>G1087-F1087</f>
        <v/>
      </c>
      <c r="D1087">
        <f>1-G1087</f>
        <v/>
      </c>
      <c r="F1087">
        <f>EXP(-$B$11*(A1087*$B$12))</f>
        <v/>
      </c>
      <c r="G1087">
        <f>EXP(-$B$13*(A1087*$B$14))</f>
        <v/>
      </c>
    </row>
    <row r="1088">
      <c r="A1088" t="n">
        <v>109</v>
      </c>
      <c r="B1088">
        <f>F1088</f>
        <v/>
      </c>
      <c r="C1088">
        <f>G1088-F1088</f>
        <v/>
      </c>
      <c r="D1088">
        <f>1-G1088</f>
        <v/>
      </c>
      <c r="F1088">
        <f>EXP(-$B$11*(A1088*$B$12))</f>
        <v/>
      </c>
      <c r="G1088">
        <f>EXP(-$B$13*(A1088*$B$14))</f>
        <v/>
      </c>
    </row>
    <row r="1089">
      <c r="A1089" t="n">
        <v>110</v>
      </c>
      <c r="B1089">
        <f>F1089</f>
        <v/>
      </c>
      <c r="C1089">
        <f>G1089-F1089</f>
        <v/>
      </c>
      <c r="D1089">
        <f>1-G1089</f>
        <v/>
      </c>
      <c r="F1089">
        <f>EXP(-$B$11*(A1089*$B$12))</f>
        <v/>
      </c>
      <c r="G1089">
        <f>EXP(-$B$13*(A1089*$B$14))</f>
        <v/>
      </c>
    </row>
    <row r="1090">
      <c r="A1090" t="n">
        <v>111</v>
      </c>
      <c r="B1090">
        <f>F1090</f>
        <v/>
      </c>
      <c r="C1090">
        <f>G1090-F1090</f>
        <v/>
      </c>
      <c r="D1090">
        <f>1-G1090</f>
        <v/>
      </c>
      <c r="F1090">
        <f>EXP(-$B$11*(A1090*$B$12))</f>
        <v/>
      </c>
      <c r="G1090">
        <f>EXP(-$B$13*(A1090*$B$14))</f>
        <v/>
      </c>
    </row>
    <row r="1091">
      <c r="A1091" t="n">
        <v>112</v>
      </c>
      <c r="B1091">
        <f>F1091</f>
        <v/>
      </c>
      <c r="C1091">
        <f>G1091-F1091</f>
        <v/>
      </c>
      <c r="D1091">
        <f>1-G1091</f>
        <v/>
      </c>
      <c r="F1091">
        <f>EXP(-$B$11*(A1091*$B$12))</f>
        <v/>
      </c>
      <c r="G1091">
        <f>EXP(-$B$13*(A1091*$B$14))</f>
        <v/>
      </c>
    </row>
    <row r="1092">
      <c r="A1092" t="n">
        <v>113</v>
      </c>
      <c r="B1092">
        <f>F1092</f>
        <v/>
      </c>
      <c r="C1092">
        <f>G1092-F1092</f>
        <v/>
      </c>
      <c r="D1092">
        <f>1-G1092</f>
        <v/>
      </c>
      <c r="F1092">
        <f>EXP(-$B$11*(A1092*$B$12))</f>
        <v/>
      </c>
      <c r="G1092">
        <f>EXP(-$B$13*(A1092*$B$14))</f>
        <v/>
      </c>
    </row>
    <row r="1093">
      <c r="A1093" t="n">
        <v>114</v>
      </c>
      <c r="B1093">
        <f>F1093</f>
        <v/>
      </c>
      <c r="C1093">
        <f>G1093-F1093</f>
        <v/>
      </c>
      <c r="D1093">
        <f>1-G1093</f>
        <v/>
      </c>
      <c r="F1093">
        <f>EXP(-$B$11*(A1093*$B$12))</f>
        <v/>
      </c>
      <c r="G1093">
        <f>EXP(-$B$13*(A1093*$B$14))</f>
        <v/>
      </c>
    </row>
    <row r="1094">
      <c r="A1094" t="n">
        <v>115</v>
      </c>
      <c r="B1094">
        <f>F1094</f>
        <v/>
      </c>
      <c r="C1094">
        <f>G1094-F1094</f>
        <v/>
      </c>
      <c r="D1094">
        <f>1-G1094</f>
        <v/>
      </c>
      <c r="F1094">
        <f>EXP(-$B$11*(A1094*$B$12))</f>
        <v/>
      </c>
      <c r="G1094">
        <f>EXP(-$B$13*(A1094*$B$14))</f>
        <v/>
      </c>
    </row>
    <row r="1095">
      <c r="A1095" t="n">
        <v>116</v>
      </c>
      <c r="B1095">
        <f>F1095</f>
        <v/>
      </c>
      <c r="C1095">
        <f>G1095-F1095</f>
        <v/>
      </c>
      <c r="D1095">
        <f>1-G1095</f>
        <v/>
      </c>
      <c r="F1095">
        <f>EXP(-$B$11*(A1095*$B$12))</f>
        <v/>
      </c>
      <c r="G1095">
        <f>EXP(-$B$13*(A1095*$B$14))</f>
        <v/>
      </c>
    </row>
    <row r="1096">
      <c r="A1096" t="n">
        <v>117</v>
      </c>
      <c r="B1096">
        <f>F1096</f>
        <v/>
      </c>
      <c r="C1096">
        <f>G1096-F1096</f>
        <v/>
      </c>
      <c r="D1096">
        <f>1-G1096</f>
        <v/>
      </c>
      <c r="F1096">
        <f>EXP(-$B$11*(A1096*$B$12))</f>
        <v/>
      </c>
      <c r="G1096">
        <f>EXP(-$B$13*(A1096*$B$14))</f>
        <v/>
      </c>
    </row>
    <row r="1097">
      <c r="A1097" t="n">
        <v>118</v>
      </c>
      <c r="B1097">
        <f>F1097</f>
        <v/>
      </c>
      <c r="C1097">
        <f>G1097-F1097</f>
        <v/>
      </c>
      <c r="D1097">
        <f>1-G1097</f>
        <v/>
      </c>
      <c r="F1097">
        <f>EXP(-$B$11*(A1097*$B$12))</f>
        <v/>
      </c>
      <c r="G1097">
        <f>EXP(-$B$13*(A1097*$B$14))</f>
        <v/>
      </c>
    </row>
    <row r="1098">
      <c r="A1098" t="n">
        <v>119</v>
      </c>
      <c r="B1098">
        <f>F1098</f>
        <v/>
      </c>
      <c r="C1098">
        <f>G1098-F1098</f>
        <v/>
      </c>
      <c r="D1098">
        <f>1-G1098</f>
        <v/>
      </c>
      <c r="F1098">
        <f>EXP(-$B$11*(A1098*$B$12))</f>
        <v/>
      </c>
      <c r="G1098">
        <f>EXP(-$B$13*(A1098*$B$14))</f>
        <v/>
      </c>
    </row>
    <row r="1099">
      <c r="A1099" t="n">
        <v>120</v>
      </c>
      <c r="B1099">
        <f>F1099</f>
        <v/>
      </c>
      <c r="C1099">
        <f>G1099-F1099</f>
        <v/>
      </c>
      <c r="D1099">
        <f>1-G1099</f>
        <v/>
      </c>
      <c r="F1099">
        <f>EXP(-$B$11*(A1099*$B$12))</f>
        <v/>
      </c>
      <c r="G1099">
        <f>EXP(-$B$13*(A1099*$B$14))</f>
        <v/>
      </c>
    </row>
    <row r="1100">
      <c r="A1100" t="n">
        <v>121</v>
      </c>
      <c r="B1100">
        <f>F1100</f>
        <v/>
      </c>
      <c r="C1100">
        <f>G1100-F1100</f>
        <v/>
      </c>
      <c r="D1100">
        <f>1-G1100</f>
        <v/>
      </c>
      <c r="F1100">
        <f>EXP(-$B$11*(A1100*$B$12))</f>
        <v/>
      </c>
      <c r="G1100">
        <f>EXP(-$B$13*(A1100*$B$14))</f>
        <v/>
      </c>
    </row>
    <row r="1101">
      <c r="A1101" t="n">
        <v>122</v>
      </c>
      <c r="B1101">
        <f>F1101</f>
        <v/>
      </c>
      <c r="C1101">
        <f>G1101-F1101</f>
        <v/>
      </c>
      <c r="D1101">
        <f>1-G1101</f>
        <v/>
      </c>
      <c r="F1101">
        <f>EXP(-$B$11*(A1101*$B$12))</f>
        <v/>
      </c>
      <c r="G1101">
        <f>EXP(-$B$13*(A1101*$B$14))</f>
        <v/>
      </c>
    </row>
    <row r="1102">
      <c r="A1102" t="n">
        <v>123</v>
      </c>
      <c r="B1102">
        <f>F1102</f>
        <v/>
      </c>
      <c r="C1102">
        <f>G1102-F1102</f>
        <v/>
      </c>
      <c r="D1102">
        <f>1-G1102</f>
        <v/>
      </c>
      <c r="F1102">
        <f>EXP(-$B$11*(A1102*$B$12))</f>
        <v/>
      </c>
      <c r="G1102">
        <f>EXP(-$B$13*(A1102*$B$14))</f>
        <v/>
      </c>
    </row>
    <row r="1103">
      <c r="A1103" t="n">
        <v>124</v>
      </c>
      <c r="B1103">
        <f>F1103</f>
        <v/>
      </c>
      <c r="C1103">
        <f>G1103-F1103</f>
        <v/>
      </c>
      <c r="D1103">
        <f>1-G1103</f>
        <v/>
      </c>
      <c r="F1103">
        <f>EXP(-$B$11*(A1103*$B$12))</f>
        <v/>
      </c>
      <c r="G1103">
        <f>EXP(-$B$13*(A1103*$B$14))</f>
        <v/>
      </c>
    </row>
    <row r="1104">
      <c r="A1104" t="n">
        <v>125</v>
      </c>
      <c r="B1104">
        <f>F1104</f>
        <v/>
      </c>
      <c r="C1104">
        <f>G1104-F1104</f>
        <v/>
      </c>
      <c r="D1104">
        <f>1-G1104</f>
        <v/>
      </c>
      <c r="F1104">
        <f>EXP(-$B$11*(A1104*$B$12))</f>
        <v/>
      </c>
      <c r="G1104">
        <f>EXP(-$B$13*(A1104*$B$14))</f>
        <v/>
      </c>
    </row>
    <row r="1105">
      <c r="A1105" t="n">
        <v>126</v>
      </c>
      <c r="B1105">
        <f>F1105</f>
        <v/>
      </c>
      <c r="C1105">
        <f>G1105-F1105</f>
        <v/>
      </c>
      <c r="D1105">
        <f>1-G1105</f>
        <v/>
      </c>
      <c r="F1105">
        <f>EXP(-$B$11*(A1105*$B$12))</f>
        <v/>
      </c>
      <c r="G1105">
        <f>EXP(-$B$13*(A1105*$B$14))</f>
        <v/>
      </c>
    </row>
    <row r="1106">
      <c r="A1106" t="n">
        <v>127</v>
      </c>
      <c r="B1106">
        <f>F1106</f>
        <v/>
      </c>
      <c r="C1106">
        <f>G1106-F1106</f>
        <v/>
      </c>
      <c r="D1106">
        <f>1-G1106</f>
        <v/>
      </c>
      <c r="F1106">
        <f>EXP(-$B$11*(A1106*$B$12))</f>
        <v/>
      </c>
      <c r="G1106">
        <f>EXP(-$B$13*(A1106*$B$14))</f>
        <v/>
      </c>
    </row>
    <row r="1107">
      <c r="A1107" t="n">
        <v>128</v>
      </c>
      <c r="B1107">
        <f>F1107</f>
        <v/>
      </c>
      <c r="C1107">
        <f>G1107-F1107</f>
        <v/>
      </c>
      <c r="D1107">
        <f>1-G1107</f>
        <v/>
      </c>
      <c r="F1107">
        <f>EXP(-$B$11*(A1107*$B$12))</f>
        <v/>
      </c>
      <c r="G1107">
        <f>EXP(-$B$13*(A1107*$B$14))</f>
        <v/>
      </c>
    </row>
    <row r="1108">
      <c r="A1108" t="n">
        <v>129</v>
      </c>
      <c r="B1108">
        <f>F1108</f>
        <v/>
      </c>
      <c r="C1108">
        <f>G1108-F1108</f>
        <v/>
      </c>
      <c r="D1108">
        <f>1-G1108</f>
        <v/>
      </c>
      <c r="F1108">
        <f>EXP(-$B$11*(A1108*$B$12))</f>
        <v/>
      </c>
      <c r="G1108">
        <f>EXP(-$B$13*(A1108*$B$14))</f>
        <v/>
      </c>
    </row>
    <row r="1109">
      <c r="A1109" t="n">
        <v>130</v>
      </c>
      <c r="B1109">
        <f>F1109</f>
        <v/>
      </c>
      <c r="C1109">
        <f>G1109-F1109</f>
        <v/>
      </c>
      <c r="D1109">
        <f>1-G1109</f>
        <v/>
      </c>
      <c r="F1109">
        <f>EXP(-$B$11*(A1109*$B$12))</f>
        <v/>
      </c>
      <c r="G1109">
        <f>EXP(-$B$13*(A1109*$B$14))</f>
        <v/>
      </c>
    </row>
    <row r="1110">
      <c r="A1110" t="n">
        <v>131</v>
      </c>
      <c r="B1110">
        <f>F1110</f>
        <v/>
      </c>
      <c r="C1110">
        <f>G1110-F1110</f>
        <v/>
      </c>
      <c r="D1110">
        <f>1-G1110</f>
        <v/>
      </c>
      <c r="F1110">
        <f>EXP(-$B$11*(A1110*$B$12))</f>
        <v/>
      </c>
      <c r="G1110">
        <f>EXP(-$B$13*(A1110*$B$14))</f>
        <v/>
      </c>
    </row>
    <row r="1111">
      <c r="A1111" t="n">
        <v>132</v>
      </c>
      <c r="B1111">
        <f>F1111</f>
        <v/>
      </c>
      <c r="C1111">
        <f>G1111-F1111</f>
        <v/>
      </c>
      <c r="D1111">
        <f>1-G1111</f>
        <v/>
      </c>
      <c r="F1111">
        <f>EXP(-$B$11*(A1111*$B$12))</f>
        <v/>
      </c>
      <c r="G1111">
        <f>EXP(-$B$13*(A1111*$B$14))</f>
        <v/>
      </c>
    </row>
    <row r="1112">
      <c r="A1112" t="n">
        <v>133</v>
      </c>
      <c r="B1112">
        <f>F1112</f>
        <v/>
      </c>
      <c r="C1112">
        <f>G1112-F1112</f>
        <v/>
      </c>
      <c r="D1112">
        <f>1-G1112</f>
        <v/>
      </c>
      <c r="F1112">
        <f>EXP(-$B$11*(A1112*$B$12))</f>
        <v/>
      </c>
      <c r="G1112">
        <f>EXP(-$B$13*(A1112*$B$14))</f>
        <v/>
      </c>
    </row>
    <row r="1113">
      <c r="A1113" t="n">
        <v>134</v>
      </c>
      <c r="B1113">
        <f>F1113</f>
        <v/>
      </c>
      <c r="C1113">
        <f>G1113-F1113</f>
        <v/>
      </c>
      <c r="D1113">
        <f>1-G1113</f>
        <v/>
      </c>
      <c r="F1113">
        <f>EXP(-$B$11*(A1113*$B$12))</f>
        <v/>
      </c>
      <c r="G1113">
        <f>EXP(-$B$13*(A1113*$B$14))</f>
        <v/>
      </c>
    </row>
    <row r="1114">
      <c r="A1114" t="n">
        <v>135</v>
      </c>
      <c r="B1114">
        <f>F1114</f>
        <v/>
      </c>
      <c r="C1114">
        <f>G1114-F1114</f>
        <v/>
      </c>
      <c r="D1114">
        <f>1-G1114</f>
        <v/>
      </c>
      <c r="F1114">
        <f>EXP(-$B$11*(A1114*$B$12))</f>
        <v/>
      </c>
      <c r="G1114">
        <f>EXP(-$B$13*(A1114*$B$14))</f>
        <v/>
      </c>
    </row>
    <row r="1115">
      <c r="A1115" t="n">
        <v>136</v>
      </c>
      <c r="B1115">
        <f>F1115</f>
        <v/>
      </c>
      <c r="C1115">
        <f>G1115-F1115</f>
        <v/>
      </c>
      <c r="D1115">
        <f>1-G1115</f>
        <v/>
      </c>
      <c r="F1115">
        <f>EXP(-$B$11*(A1115*$B$12))</f>
        <v/>
      </c>
      <c r="G1115">
        <f>EXP(-$B$13*(A1115*$B$14))</f>
        <v/>
      </c>
    </row>
    <row r="1116">
      <c r="A1116" t="n">
        <v>137</v>
      </c>
      <c r="B1116">
        <f>F1116</f>
        <v/>
      </c>
      <c r="C1116">
        <f>G1116-F1116</f>
        <v/>
      </c>
      <c r="D1116">
        <f>1-G1116</f>
        <v/>
      </c>
      <c r="F1116">
        <f>EXP(-$B$11*(A1116*$B$12))</f>
        <v/>
      </c>
      <c r="G1116">
        <f>EXP(-$B$13*(A1116*$B$14))</f>
        <v/>
      </c>
    </row>
    <row r="1117">
      <c r="A1117" t="n">
        <v>138</v>
      </c>
      <c r="B1117">
        <f>F1117</f>
        <v/>
      </c>
      <c r="C1117">
        <f>G1117-F1117</f>
        <v/>
      </c>
      <c r="D1117">
        <f>1-G1117</f>
        <v/>
      </c>
      <c r="F1117">
        <f>EXP(-$B$11*(A1117*$B$12))</f>
        <v/>
      </c>
      <c r="G1117">
        <f>EXP(-$B$13*(A1117*$B$14))</f>
        <v/>
      </c>
    </row>
    <row r="1118">
      <c r="A1118" t="n">
        <v>139</v>
      </c>
      <c r="B1118">
        <f>F1118</f>
        <v/>
      </c>
      <c r="C1118">
        <f>G1118-F1118</f>
        <v/>
      </c>
      <c r="D1118">
        <f>1-G1118</f>
        <v/>
      </c>
      <c r="F1118">
        <f>EXP(-$B$11*(A1118*$B$12))</f>
        <v/>
      </c>
      <c r="G1118">
        <f>EXP(-$B$13*(A1118*$B$14))</f>
        <v/>
      </c>
    </row>
    <row r="1119">
      <c r="A1119" t="n">
        <v>140</v>
      </c>
      <c r="B1119">
        <f>F1119</f>
        <v/>
      </c>
      <c r="C1119">
        <f>G1119-F1119</f>
        <v/>
      </c>
      <c r="D1119">
        <f>1-G1119</f>
        <v/>
      </c>
      <c r="F1119">
        <f>EXP(-$B$11*(A1119*$B$12))</f>
        <v/>
      </c>
      <c r="G1119">
        <f>EXP(-$B$13*(A1119*$B$14))</f>
        <v/>
      </c>
    </row>
    <row r="1120">
      <c r="A1120" t="n">
        <v>141</v>
      </c>
      <c r="B1120">
        <f>F1120</f>
        <v/>
      </c>
      <c r="C1120">
        <f>G1120-F1120</f>
        <v/>
      </c>
      <c r="D1120">
        <f>1-G1120</f>
        <v/>
      </c>
      <c r="F1120">
        <f>EXP(-$B$11*(A1120*$B$12))</f>
        <v/>
      </c>
      <c r="G1120">
        <f>EXP(-$B$13*(A1120*$B$14))</f>
        <v/>
      </c>
    </row>
    <row r="1121">
      <c r="A1121" t="n">
        <v>142</v>
      </c>
      <c r="B1121">
        <f>F1121</f>
        <v/>
      </c>
      <c r="C1121">
        <f>G1121-F1121</f>
        <v/>
      </c>
      <c r="D1121">
        <f>1-G1121</f>
        <v/>
      </c>
      <c r="F1121">
        <f>EXP(-$B$11*(A1121*$B$12))</f>
        <v/>
      </c>
      <c r="G1121">
        <f>EXP(-$B$13*(A1121*$B$14))</f>
        <v/>
      </c>
    </row>
    <row r="1122">
      <c r="A1122" t="n">
        <v>143</v>
      </c>
      <c r="B1122">
        <f>F1122</f>
        <v/>
      </c>
      <c r="C1122">
        <f>G1122-F1122</f>
        <v/>
      </c>
      <c r="D1122">
        <f>1-G1122</f>
        <v/>
      </c>
      <c r="F1122">
        <f>EXP(-$B$11*(A1122*$B$12))</f>
        <v/>
      </c>
      <c r="G1122">
        <f>EXP(-$B$13*(A1122*$B$14))</f>
        <v/>
      </c>
    </row>
    <row r="1123">
      <c r="A1123" t="n">
        <v>144</v>
      </c>
      <c r="B1123">
        <f>F1123</f>
        <v/>
      </c>
      <c r="C1123">
        <f>G1123-F1123</f>
        <v/>
      </c>
      <c r="D1123">
        <f>1-G1123</f>
        <v/>
      </c>
      <c r="F1123">
        <f>EXP(-$B$11*(A1123*$B$12))</f>
        <v/>
      </c>
      <c r="G1123">
        <f>EXP(-$B$13*(A1123*$B$14))</f>
        <v/>
      </c>
    </row>
    <row r="1124">
      <c r="A1124" t="n">
        <v>145</v>
      </c>
      <c r="B1124">
        <f>F1124</f>
        <v/>
      </c>
      <c r="C1124">
        <f>G1124-F1124</f>
        <v/>
      </c>
      <c r="D1124">
        <f>1-G1124</f>
        <v/>
      </c>
      <c r="F1124">
        <f>EXP(-$B$11*(A1124*$B$12))</f>
        <v/>
      </c>
      <c r="G1124">
        <f>EXP(-$B$13*(A1124*$B$14))</f>
        <v/>
      </c>
    </row>
    <row r="1125">
      <c r="A1125" t="n">
        <v>146</v>
      </c>
      <c r="B1125">
        <f>F1125</f>
        <v/>
      </c>
      <c r="C1125">
        <f>G1125-F1125</f>
        <v/>
      </c>
      <c r="D1125">
        <f>1-G1125</f>
        <v/>
      </c>
      <c r="F1125">
        <f>EXP(-$B$11*(A1125*$B$12))</f>
        <v/>
      </c>
      <c r="G1125">
        <f>EXP(-$B$13*(A1125*$B$14))</f>
        <v/>
      </c>
    </row>
    <row r="1126">
      <c r="A1126" t="n">
        <v>147</v>
      </c>
      <c r="B1126">
        <f>F1126</f>
        <v/>
      </c>
      <c r="C1126">
        <f>G1126-F1126</f>
        <v/>
      </c>
      <c r="D1126">
        <f>1-G1126</f>
        <v/>
      </c>
      <c r="F1126">
        <f>EXP(-$B$11*(A1126*$B$12))</f>
        <v/>
      </c>
      <c r="G1126">
        <f>EXP(-$B$13*(A1126*$B$14))</f>
        <v/>
      </c>
    </row>
    <row r="1127">
      <c r="A1127" t="n">
        <v>148</v>
      </c>
      <c r="B1127">
        <f>F1127</f>
        <v/>
      </c>
      <c r="C1127">
        <f>G1127-F1127</f>
        <v/>
      </c>
      <c r="D1127">
        <f>1-G1127</f>
        <v/>
      </c>
      <c r="F1127">
        <f>EXP(-$B$11*(A1127*$B$12))</f>
        <v/>
      </c>
      <c r="G1127">
        <f>EXP(-$B$13*(A1127*$B$14))</f>
        <v/>
      </c>
    </row>
    <row r="1128">
      <c r="A1128" t="n">
        <v>149</v>
      </c>
      <c r="B1128">
        <f>F1128</f>
        <v/>
      </c>
      <c r="C1128">
        <f>G1128-F1128</f>
        <v/>
      </c>
      <c r="D1128">
        <f>1-G1128</f>
        <v/>
      </c>
      <c r="F1128">
        <f>EXP(-$B$11*(A1128*$B$12))</f>
        <v/>
      </c>
      <c r="G1128">
        <f>EXP(-$B$13*(A1128*$B$14))</f>
        <v/>
      </c>
    </row>
    <row r="1129">
      <c r="A1129" t="n">
        <v>150</v>
      </c>
      <c r="B1129">
        <f>F1129</f>
        <v/>
      </c>
      <c r="C1129">
        <f>G1129-F1129</f>
        <v/>
      </c>
      <c r="D1129">
        <f>1-G1129</f>
        <v/>
      </c>
      <c r="F1129">
        <f>EXP(-$B$11*(A1129*$B$12))</f>
        <v/>
      </c>
      <c r="G1129">
        <f>EXP(-$B$13*(A1129*$B$14))</f>
        <v/>
      </c>
    </row>
    <row r="1130">
      <c r="A1130" t="n">
        <v>151</v>
      </c>
      <c r="B1130">
        <f>F1130</f>
        <v/>
      </c>
      <c r="C1130">
        <f>G1130-F1130</f>
        <v/>
      </c>
      <c r="D1130">
        <f>1-G1130</f>
        <v/>
      </c>
      <c r="F1130">
        <f>EXP(-$B$11*(A1130*$B$12))</f>
        <v/>
      </c>
      <c r="G1130">
        <f>EXP(-$B$13*(A1130*$B$14))</f>
        <v/>
      </c>
    </row>
    <row r="1131">
      <c r="A1131" t="n">
        <v>152</v>
      </c>
      <c r="B1131">
        <f>F1131</f>
        <v/>
      </c>
      <c r="C1131">
        <f>G1131-F1131</f>
        <v/>
      </c>
      <c r="D1131">
        <f>1-G1131</f>
        <v/>
      </c>
      <c r="F1131">
        <f>EXP(-$B$11*(A1131*$B$12))</f>
        <v/>
      </c>
      <c r="G1131">
        <f>EXP(-$B$13*(A1131*$B$14))</f>
        <v/>
      </c>
    </row>
    <row r="1132">
      <c r="A1132" t="n">
        <v>153</v>
      </c>
      <c r="B1132">
        <f>F1132</f>
        <v/>
      </c>
      <c r="C1132">
        <f>G1132-F1132</f>
        <v/>
      </c>
      <c r="D1132">
        <f>1-G1132</f>
        <v/>
      </c>
      <c r="F1132">
        <f>EXP(-$B$11*(A1132*$B$12))</f>
        <v/>
      </c>
      <c r="G1132">
        <f>EXP(-$B$13*(A1132*$B$14))</f>
        <v/>
      </c>
    </row>
    <row r="1133">
      <c r="A1133" t="n">
        <v>154</v>
      </c>
      <c r="B1133">
        <f>F1133</f>
        <v/>
      </c>
      <c r="C1133">
        <f>G1133-F1133</f>
        <v/>
      </c>
      <c r="D1133">
        <f>1-G1133</f>
        <v/>
      </c>
      <c r="F1133">
        <f>EXP(-$B$11*(A1133*$B$12))</f>
        <v/>
      </c>
      <c r="G1133">
        <f>EXP(-$B$13*(A1133*$B$14))</f>
        <v/>
      </c>
    </row>
    <row r="1134">
      <c r="A1134" t="n">
        <v>155</v>
      </c>
      <c r="B1134">
        <f>F1134</f>
        <v/>
      </c>
      <c r="C1134">
        <f>G1134-F1134</f>
        <v/>
      </c>
      <c r="D1134">
        <f>1-G1134</f>
        <v/>
      </c>
      <c r="F1134">
        <f>EXP(-$B$11*(A1134*$B$12))</f>
        <v/>
      </c>
      <c r="G1134">
        <f>EXP(-$B$13*(A1134*$B$14))</f>
        <v/>
      </c>
    </row>
    <row r="1135">
      <c r="A1135" t="n">
        <v>156</v>
      </c>
      <c r="B1135">
        <f>F1135</f>
        <v/>
      </c>
      <c r="C1135">
        <f>G1135-F1135</f>
        <v/>
      </c>
      <c r="D1135">
        <f>1-G1135</f>
        <v/>
      </c>
      <c r="F1135">
        <f>EXP(-$B$11*(A1135*$B$12))</f>
        <v/>
      </c>
      <c r="G1135">
        <f>EXP(-$B$13*(A1135*$B$14))</f>
        <v/>
      </c>
    </row>
    <row r="1136">
      <c r="A1136" t="n">
        <v>157</v>
      </c>
      <c r="B1136">
        <f>F1136</f>
        <v/>
      </c>
      <c r="C1136">
        <f>G1136-F1136</f>
        <v/>
      </c>
      <c r="D1136">
        <f>1-G1136</f>
        <v/>
      </c>
      <c r="F1136">
        <f>EXP(-$B$11*(A1136*$B$12))</f>
        <v/>
      </c>
      <c r="G1136">
        <f>EXP(-$B$13*(A1136*$B$14))</f>
        <v/>
      </c>
    </row>
    <row r="1137">
      <c r="A1137" t="n">
        <v>158</v>
      </c>
      <c r="B1137">
        <f>F1137</f>
        <v/>
      </c>
      <c r="C1137">
        <f>G1137-F1137</f>
        <v/>
      </c>
      <c r="D1137">
        <f>1-G1137</f>
        <v/>
      </c>
      <c r="F1137">
        <f>EXP(-$B$11*(A1137*$B$12))</f>
        <v/>
      </c>
      <c r="G1137">
        <f>EXP(-$B$13*(A1137*$B$14))</f>
        <v/>
      </c>
    </row>
    <row r="1138">
      <c r="A1138" t="n">
        <v>159</v>
      </c>
      <c r="B1138">
        <f>F1138</f>
        <v/>
      </c>
      <c r="C1138">
        <f>G1138-F1138</f>
        <v/>
      </c>
      <c r="D1138">
        <f>1-G1138</f>
        <v/>
      </c>
      <c r="F1138">
        <f>EXP(-$B$11*(A1138*$B$12))</f>
        <v/>
      </c>
      <c r="G1138">
        <f>EXP(-$B$13*(A1138*$B$14))</f>
        <v/>
      </c>
    </row>
    <row r="1139">
      <c r="A1139" t="n">
        <v>160</v>
      </c>
      <c r="B1139">
        <f>F1139</f>
        <v/>
      </c>
      <c r="C1139">
        <f>G1139-F1139</f>
        <v/>
      </c>
      <c r="D1139">
        <f>1-G1139</f>
        <v/>
      </c>
      <c r="F1139">
        <f>EXP(-$B$11*(A1139*$B$12))</f>
        <v/>
      </c>
      <c r="G1139">
        <f>EXP(-$B$13*(A1139*$B$14))</f>
        <v/>
      </c>
    </row>
    <row r="1140">
      <c r="A1140" t="n">
        <v>161</v>
      </c>
      <c r="B1140">
        <f>F1140</f>
        <v/>
      </c>
      <c r="C1140">
        <f>G1140-F1140</f>
        <v/>
      </c>
      <c r="D1140">
        <f>1-G1140</f>
        <v/>
      </c>
      <c r="F1140">
        <f>EXP(-$B$11*(A1140*$B$12))</f>
        <v/>
      </c>
      <c r="G1140">
        <f>EXP(-$B$13*(A1140*$B$14))</f>
        <v/>
      </c>
    </row>
    <row r="1141">
      <c r="A1141" t="n">
        <v>162</v>
      </c>
      <c r="B1141">
        <f>F1141</f>
        <v/>
      </c>
      <c r="C1141">
        <f>G1141-F1141</f>
        <v/>
      </c>
      <c r="D1141">
        <f>1-G1141</f>
        <v/>
      </c>
      <c r="F1141">
        <f>EXP(-$B$11*(A1141*$B$12))</f>
        <v/>
      </c>
      <c r="G1141">
        <f>EXP(-$B$13*(A1141*$B$14))</f>
        <v/>
      </c>
    </row>
    <row r="1142">
      <c r="A1142" t="n">
        <v>163</v>
      </c>
      <c r="B1142">
        <f>F1142</f>
        <v/>
      </c>
      <c r="C1142">
        <f>G1142-F1142</f>
        <v/>
      </c>
      <c r="D1142">
        <f>1-G1142</f>
        <v/>
      </c>
      <c r="F1142">
        <f>EXP(-$B$11*(A1142*$B$12))</f>
        <v/>
      </c>
      <c r="G1142">
        <f>EXP(-$B$13*(A1142*$B$14))</f>
        <v/>
      </c>
    </row>
    <row r="1143">
      <c r="A1143" t="n">
        <v>164</v>
      </c>
      <c r="B1143">
        <f>F1143</f>
        <v/>
      </c>
      <c r="C1143">
        <f>G1143-F1143</f>
        <v/>
      </c>
      <c r="D1143">
        <f>1-G1143</f>
        <v/>
      </c>
      <c r="F1143">
        <f>EXP(-$B$11*(A1143*$B$12))</f>
        <v/>
      </c>
      <c r="G1143">
        <f>EXP(-$B$13*(A1143*$B$14))</f>
        <v/>
      </c>
    </row>
    <row r="1144">
      <c r="A1144" t="n">
        <v>165</v>
      </c>
      <c r="B1144">
        <f>F1144</f>
        <v/>
      </c>
      <c r="C1144">
        <f>G1144-F1144</f>
        <v/>
      </c>
      <c r="D1144">
        <f>1-G1144</f>
        <v/>
      </c>
      <c r="F1144">
        <f>EXP(-$B$11*(A1144*$B$12))</f>
        <v/>
      </c>
      <c r="G1144">
        <f>EXP(-$B$13*(A1144*$B$14))</f>
        <v/>
      </c>
    </row>
    <row r="1145">
      <c r="A1145" t="n">
        <v>166</v>
      </c>
      <c r="B1145">
        <f>F1145</f>
        <v/>
      </c>
      <c r="C1145">
        <f>G1145-F1145</f>
        <v/>
      </c>
      <c r="D1145">
        <f>1-G1145</f>
        <v/>
      </c>
      <c r="F1145">
        <f>EXP(-$B$11*(A1145*$B$12))</f>
        <v/>
      </c>
      <c r="G1145">
        <f>EXP(-$B$13*(A1145*$B$14))</f>
        <v/>
      </c>
    </row>
    <row r="1146">
      <c r="A1146" t="n">
        <v>167</v>
      </c>
      <c r="B1146">
        <f>F1146</f>
        <v/>
      </c>
      <c r="C1146">
        <f>G1146-F1146</f>
        <v/>
      </c>
      <c r="D1146">
        <f>1-G1146</f>
        <v/>
      </c>
      <c r="F1146">
        <f>EXP(-$B$11*(A1146*$B$12))</f>
        <v/>
      </c>
      <c r="G1146">
        <f>EXP(-$B$13*(A1146*$B$14))</f>
        <v/>
      </c>
    </row>
    <row r="1147">
      <c r="A1147" t="n">
        <v>168</v>
      </c>
      <c r="B1147">
        <f>F1147</f>
        <v/>
      </c>
      <c r="C1147">
        <f>G1147-F1147</f>
        <v/>
      </c>
      <c r="D1147">
        <f>1-G1147</f>
        <v/>
      </c>
      <c r="F1147">
        <f>EXP(-$B$11*(A1147*$B$12))</f>
        <v/>
      </c>
      <c r="G1147">
        <f>EXP(-$B$13*(A1147*$B$14))</f>
        <v/>
      </c>
    </row>
    <row r="1148">
      <c r="A1148" t="n">
        <v>169</v>
      </c>
      <c r="B1148">
        <f>F1148</f>
        <v/>
      </c>
      <c r="C1148">
        <f>G1148-F1148</f>
        <v/>
      </c>
      <c r="D1148">
        <f>1-G1148</f>
        <v/>
      </c>
      <c r="F1148">
        <f>EXP(-$B$11*(A1148*$B$12))</f>
        <v/>
      </c>
      <c r="G1148">
        <f>EXP(-$B$13*(A1148*$B$14))</f>
        <v/>
      </c>
    </row>
    <row r="1149">
      <c r="A1149" t="n">
        <v>170</v>
      </c>
      <c r="B1149">
        <f>F1149</f>
        <v/>
      </c>
      <c r="C1149">
        <f>G1149-F1149</f>
        <v/>
      </c>
      <c r="D1149">
        <f>1-G1149</f>
        <v/>
      </c>
      <c r="F1149">
        <f>EXP(-$B$11*(A1149*$B$12))</f>
        <v/>
      </c>
      <c r="G1149">
        <f>EXP(-$B$13*(A1149*$B$14))</f>
        <v/>
      </c>
    </row>
    <row r="1150">
      <c r="A1150" t="n">
        <v>171</v>
      </c>
      <c r="B1150">
        <f>F1150</f>
        <v/>
      </c>
      <c r="C1150">
        <f>G1150-F1150</f>
        <v/>
      </c>
      <c r="D1150">
        <f>1-G1150</f>
        <v/>
      </c>
      <c r="F1150">
        <f>EXP(-$B$11*(A1150*$B$12))</f>
        <v/>
      </c>
      <c r="G1150">
        <f>EXP(-$B$13*(A1150*$B$14))</f>
        <v/>
      </c>
    </row>
    <row r="1151">
      <c r="A1151" t="n">
        <v>172</v>
      </c>
      <c r="B1151">
        <f>F1151</f>
        <v/>
      </c>
      <c r="C1151">
        <f>G1151-F1151</f>
        <v/>
      </c>
      <c r="D1151">
        <f>1-G1151</f>
        <v/>
      </c>
      <c r="F1151">
        <f>EXP(-$B$11*(A1151*$B$12))</f>
        <v/>
      </c>
      <c r="G1151">
        <f>EXP(-$B$13*(A1151*$B$14))</f>
        <v/>
      </c>
    </row>
    <row r="1152">
      <c r="A1152" t="n">
        <v>173</v>
      </c>
      <c r="B1152">
        <f>F1152</f>
        <v/>
      </c>
      <c r="C1152">
        <f>G1152-F1152</f>
        <v/>
      </c>
      <c r="D1152">
        <f>1-G1152</f>
        <v/>
      </c>
      <c r="F1152">
        <f>EXP(-$B$11*(A1152*$B$12))</f>
        <v/>
      </c>
      <c r="G1152">
        <f>EXP(-$B$13*(A1152*$B$14))</f>
        <v/>
      </c>
    </row>
    <row r="1153">
      <c r="A1153" t="n">
        <v>174</v>
      </c>
      <c r="B1153">
        <f>F1153</f>
        <v/>
      </c>
      <c r="C1153">
        <f>G1153-F1153</f>
        <v/>
      </c>
      <c r="D1153">
        <f>1-G1153</f>
        <v/>
      </c>
      <c r="F1153">
        <f>EXP(-$B$11*(A1153*$B$12))</f>
        <v/>
      </c>
      <c r="G1153">
        <f>EXP(-$B$13*(A1153*$B$14))</f>
        <v/>
      </c>
    </row>
    <row r="1154">
      <c r="A1154" t="n">
        <v>175</v>
      </c>
      <c r="B1154">
        <f>F1154</f>
        <v/>
      </c>
      <c r="C1154">
        <f>G1154-F1154</f>
        <v/>
      </c>
      <c r="D1154">
        <f>1-G1154</f>
        <v/>
      </c>
      <c r="F1154">
        <f>EXP(-$B$11*(A1154*$B$12))</f>
        <v/>
      </c>
      <c r="G1154">
        <f>EXP(-$B$13*(A1154*$B$14))</f>
        <v/>
      </c>
    </row>
    <row r="1155">
      <c r="A1155" t="n">
        <v>176</v>
      </c>
      <c r="B1155">
        <f>F1155</f>
        <v/>
      </c>
      <c r="C1155">
        <f>G1155-F1155</f>
        <v/>
      </c>
      <c r="D1155">
        <f>1-G1155</f>
        <v/>
      </c>
      <c r="F1155">
        <f>EXP(-$B$11*(A1155*$B$12))</f>
        <v/>
      </c>
      <c r="G1155">
        <f>EXP(-$B$13*(A1155*$B$14))</f>
        <v/>
      </c>
    </row>
    <row r="1156">
      <c r="A1156" t="n">
        <v>177</v>
      </c>
      <c r="B1156">
        <f>F1156</f>
        <v/>
      </c>
      <c r="C1156">
        <f>G1156-F1156</f>
        <v/>
      </c>
      <c r="D1156">
        <f>1-G1156</f>
        <v/>
      </c>
      <c r="F1156">
        <f>EXP(-$B$11*(A1156*$B$12))</f>
        <v/>
      </c>
      <c r="G1156">
        <f>EXP(-$B$13*(A1156*$B$14))</f>
        <v/>
      </c>
    </row>
    <row r="1157">
      <c r="A1157" t="n">
        <v>178</v>
      </c>
      <c r="B1157">
        <f>F1157</f>
        <v/>
      </c>
      <c r="C1157">
        <f>G1157-F1157</f>
        <v/>
      </c>
      <c r="D1157">
        <f>1-G1157</f>
        <v/>
      </c>
      <c r="F1157">
        <f>EXP(-$B$11*(A1157*$B$12))</f>
        <v/>
      </c>
      <c r="G1157">
        <f>EXP(-$B$13*(A1157*$B$14))</f>
        <v/>
      </c>
    </row>
    <row r="1158">
      <c r="A1158" t="n">
        <v>179</v>
      </c>
      <c r="B1158">
        <f>F1158</f>
        <v/>
      </c>
      <c r="C1158">
        <f>G1158-F1158</f>
        <v/>
      </c>
      <c r="D1158">
        <f>1-G1158</f>
        <v/>
      </c>
      <c r="F1158">
        <f>EXP(-$B$11*(A1158*$B$12))</f>
        <v/>
      </c>
      <c r="G1158">
        <f>EXP(-$B$13*(A1158*$B$14))</f>
        <v/>
      </c>
    </row>
    <row r="1159">
      <c r="A1159" t="n">
        <v>180</v>
      </c>
      <c r="B1159">
        <f>F1159</f>
        <v/>
      </c>
      <c r="C1159">
        <f>G1159-F1159</f>
        <v/>
      </c>
      <c r="D1159">
        <f>1-G1159</f>
        <v/>
      </c>
      <c r="F1159">
        <f>EXP(-$B$11*(A1159*$B$12))</f>
        <v/>
      </c>
      <c r="G1159">
        <f>EXP(-$B$13*(A1159*$B$14))</f>
        <v/>
      </c>
    </row>
    <row r="1160">
      <c r="A1160" t="n">
        <v>181</v>
      </c>
      <c r="B1160">
        <f>F1160</f>
        <v/>
      </c>
      <c r="C1160">
        <f>G1160-F1160</f>
        <v/>
      </c>
      <c r="D1160">
        <f>1-G1160</f>
        <v/>
      </c>
      <c r="F1160">
        <f>EXP(-$B$11*(A1160*$B$12))</f>
        <v/>
      </c>
      <c r="G1160">
        <f>EXP(-$B$13*(A1160*$B$14))</f>
        <v/>
      </c>
    </row>
    <row r="1161">
      <c r="A1161" t="n">
        <v>182</v>
      </c>
      <c r="B1161">
        <f>F1161</f>
        <v/>
      </c>
      <c r="C1161">
        <f>G1161-F1161</f>
        <v/>
      </c>
      <c r="D1161">
        <f>1-G1161</f>
        <v/>
      </c>
      <c r="F1161">
        <f>EXP(-$B$11*(A1161*$B$12))</f>
        <v/>
      </c>
      <c r="G1161">
        <f>EXP(-$B$13*(A1161*$B$14))</f>
        <v/>
      </c>
    </row>
    <row r="1162">
      <c r="A1162" t="n">
        <v>183</v>
      </c>
      <c r="B1162">
        <f>F1162</f>
        <v/>
      </c>
      <c r="C1162">
        <f>G1162-F1162</f>
        <v/>
      </c>
      <c r="D1162">
        <f>1-G1162</f>
        <v/>
      </c>
      <c r="F1162">
        <f>EXP(-$B$11*(A1162*$B$12))</f>
        <v/>
      </c>
      <c r="G1162">
        <f>EXP(-$B$13*(A1162*$B$14))</f>
        <v/>
      </c>
    </row>
    <row r="1163">
      <c r="A1163" t="n">
        <v>184</v>
      </c>
      <c r="B1163">
        <f>F1163</f>
        <v/>
      </c>
      <c r="C1163">
        <f>G1163-F1163</f>
        <v/>
      </c>
      <c r="D1163">
        <f>1-G1163</f>
        <v/>
      </c>
      <c r="F1163">
        <f>EXP(-$B$11*(A1163*$B$12))</f>
        <v/>
      </c>
      <c r="G1163">
        <f>EXP(-$B$13*(A1163*$B$14))</f>
        <v/>
      </c>
    </row>
    <row r="1164">
      <c r="A1164" t="n">
        <v>185</v>
      </c>
      <c r="B1164">
        <f>F1164</f>
        <v/>
      </c>
      <c r="C1164">
        <f>G1164-F1164</f>
        <v/>
      </c>
      <c r="D1164">
        <f>1-G1164</f>
        <v/>
      </c>
      <c r="F1164">
        <f>EXP(-$B$11*(A1164*$B$12))</f>
        <v/>
      </c>
      <c r="G1164">
        <f>EXP(-$B$13*(A1164*$B$14))</f>
        <v/>
      </c>
    </row>
    <row r="1165">
      <c r="A1165" t="n">
        <v>186</v>
      </c>
      <c r="B1165">
        <f>F1165</f>
        <v/>
      </c>
      <c r="C1165">
        <f>G1165-F1165</f>
        <v/>
      </c>
      <c r="D1165">
        <f>1-G1165</f>
        <v/>
      </c>
      <c r="F1165">
        <f>EXP(-$B$11*(A1165*$B$12))</f>
        <v/>
      </c>
      <c r="G1165">
        <f>EXP(-$B$13*(A1165*$B$14))</f>
        <v/>
      </c>
    </row>
    <row r="1166">
      <c r="A1166" t="n">
        <v>187</v>
      </c>
      <c r="B1166">
        <f>F1166</f>
        <v/>
      </c>
      <c r="C1166">
        <f>G1166-F1166</f>
        <v/>
      </c>
      <c r="D1166">
        <f>1-G1166</f>
        <v/>
      </c>
      <c r="F1166">
        <f>EXP(-$B$11*(A1166*$B$12))</f>
        <v/>
      </c>
      <c r="G1166">
        <f>EXP(-$B$13*(A1166*$B$14))</f>
        <v/>
      </c>
    </row>
    <row r="1167">
      <c r="A1167" t="n">
        <v>188</v>
      </c>
      <c r="B1167">
        <f>F1167</f>
        <v/>
      </c>
      <c r="C1167">
        <f>G1167-F1167</f>
        <v/>
      </c>
      <c r="D1167">
        <f>1-G1167</f>
        <v/>
      </c>
      <c r="F1167">
        <f>EXP(-$B$11*(A1167*$B$12))</f>
        <v/>
      </c>
      <c r="G1167">
        <f>EXP(-$B$13*(A1167*$B$14))</f>
        <v/>
      </c>
    </row>
    <row r="1168">
      <c r="A1168" t="n">
        <v>189</v>
      </c>
      <c r="B1168">
        <f>F1168</f>
        <v/>
      </c>
      <c r="C1168">
        <f>G1168-F1168</f>
        <v/>
      </c>
      <c r="D1168">
        <f>1-G1168</f>
        <v/>
      </c>
      <c r="F1168">
        <f>EXP(-$B$11*(A1168*$B$12))</f>
        <v/>
      </c>
      <c r="G1168">
        <f>EXP(-$B$13*(A1168*$B$14))</f>
        <v/>
      </c>
    </row>
    <row r="1169">
      <c r="A1169" t="n">
        <v>190</v>
      </c>
      <c r="B1169">
        <f>F1169</f>
        <v/>
      </c>
      <c r="C1169">
        <f>G1169-F1169</f>
        <v/>
      </c>
      <c r="D1169">
        <f>1-G1169</f>
        <v/>
      </c>
      <c r="F1169">
        <f>EXP(-$B$11*(A1169*$B$12))</f>
        <v/>
      </c>
      <c r="G1169">
        <f>EXP(-$B$13*(A1169*$B$14))</f>
        <v/>
      </c>
    </row>
    <row r="1170">
      <c r="A1170" t="n">
        <v>191</v>
      </c>
      <c r="B1170">
        <f>F1170</f>
        <v/>
      </c>
      <c r="C1170">
        <f>G1170-F1170</f>
        <v/>
      </c>
      <c r="D1170">
        <f>1-G1170</f>
        <v/>
      </c>
      <c r="F1170">
        <f>EXP(-$B$11*(A1170*$B$12))</f>
        <v/>
      </c>
      <c r="G1170">
        <f>EXP(-$B$13*(A1170*$B$14))</f>
        <v/>
      </c>
    </row>
    <row r="1171">
      <c r="A1171" t="n">
        <v>192</v>
      </c>
      <c r="B1171">
        <f>F1171</f>
        <v/>
      </c>
      <c r="C1171">
        <f>G1171-F1171</f>
        <v/>
      </c>
      <c r="D1171">
        <f>1-G1171</f>
        <v/>
      </c>
      <c r="F1171">
        <f>EXP(-$B$11*(A1171*$B$12))</f>
        <v/>
      </c>
      <c r="G1171">
        <f>EXP(-$B$13*(A1171*$B$14))</f>
        <v/>
      </c>
    </row>
    <row r="1172">
      <c r="A1172" t="n">
        <v>193</v>
      </c>
      <c r="B1172">
        <f>F1172</f>
        <v/>
      </c>
      <c r="C1172">
        <f>G1172-F1172</f>
        <v/>
      </c>
      <c r="D1172">
        <f>1-G1172</f>
        <v/>
      </c>
      <c r="F1172">
        <f>EXP(-$B$11*(A1172*$B$12))</f>
        <v/>
      </c>
      <c r="G1172">
        <f>EXP(-$B$13*(A1172*$B$14))</f>
        <v/>
      </c>
    </row>
    <row r="1173">
      <c r="A1173" t="n">
        <v>194</v>
      </c>
      <c r="B1173">
        <f>F1173</f>
        <v/>
      </c>
      <c r="C1173">
        <f>G1173-F1173</f>
        <v/>
      </c>
      <c r="D1173">
        <f>1-G1173</f>
        <v/>
      </c>
      <c r="F1173">
        <f>EXP(-$B$11*(A1173*$B$12))</f>
        <v/>
      </c>
      <c r="G1173">
        <f>EXP(-$B$13*(A1173*$B$14))</f>
        <v/>
      </c>
    </row>
    <row r="1174">
      <c r="A1174" t="n">
        <v>195</v>
      </c>
      <c r="B1174">
        <f>F1174</f>
        <v/>
      </c>
      <c r="C1174">
        <f>G1174-F1174</f>
        <v/>
      </c>
      <c r="D1174">
        <f>1-G1174</f>
        <v/>
      </c>
      <c r="F1174">
        <f>EXP(-$B$11*(A1174*$B$12))</f>
        <v/>
      </c>
      <c r="G1174">
        <f>EXP(-$B$13*(A1174*$B$14))</f>
        <v/>
      </c>
    </row>
    <row r="1175">
      <c r="A1175" t="n">
        <v>196</v>
      </c>
      <c r="B1175">
        <f>F1175</f>
        <v/>
      </c>
      <c r="C1175">
        <f>G1175-F1175</f>
        <v/>
      </c>
      <c r="D1175">
        <f>1-G1175</f>
        <v/>
      </c>
      <c r="F1175">
        <f>EXP(-$B$11*(A1175*$B$12))</f>
        <v/>
      </c>
      <c r="G1175">
        <f>EXP(-$B$13*(A1175*$B$14))</f>
        <v/>
      </c>
    </row>
    <row r="1176">
      <c r="A1176" t="n">
        <v>197</v>
      </c>
      <c r="B1176">
        <f>F1176</f>
        <v/>
      </c>
      <c r="C1176">
        <f>G1176-F1176</f>
        <v/>
      </c>
      <c r="D1176">
        <f>1-G1176</f>
        <v/>
      </c>
      <c r="F1176">
        <f>EXP(-$B$11*(A1176*$B$12))</f>
        <v/>
      </c>
      <c r="G1176">
        <f>EXP(-$B$13*(A1176*$B$14))</f>
        <v/>
      </c>
    </row>
    <row r="1177">
      <c r="A1177" t="n">
        <v>198</v>
      </c>
      <c r="B1177">
        <f>F1177</f>
        <v/>
      </c>
      <c r="C1177">
        <f>G1177-F1177</f>
        <v/>
      </c>
      <c r="D1177">
        <f>1-G1177</f>
        <v/>
      </c>
      <c r="F1177">
        <f>EXP(-$B$11*(A1177*$B$12))</f>
        <v/>
      </c>
      <c r="G1177">
        <f>EXP(-$B$13*(A1177*$B$14))</f>
        <v/>
      </c>
    </row>
    <row r="1178">
      <c r="A1178" t="n">
        <v>199</v>
      </c>
      <c r="B1178">
        <f>F1178</f>
        <v/>
      </c>
      <c r="C1178">
        <f>G1178-F1178</f>
        <v/>
      </c>
      <c r="D1178">
        <f>1-G1178</f>
        <v/>
      </c>
      <c r="F1178">
        <f>EXP(-$B$11*(A1178*$B$12))</f>
        <v/>
      </c>
      <c r="G1178">
        <f>EXP(-$B$13*(A1178*$B$14))</f>
        <v/>
      </c>
    </row>
    <row r="1179">
      <c r="A1179" t="n">
        <v>200</v>
      </c>
      <c r="B1179">
        <f>F1179</f>
        <v/>
      </c>
      <c r="C1179">
        <f>G1179-F1179</f>
        <v/>
      </c>
      <c r="D1179">
        <f>1-G1179</f>
        <v/>
      </c>
      <c r="F1179">
        <f>EXP(-$B$11*(A1179*$B$12))</f>
        <v/>
      </c>
      <c r="G1179">
        <f>EXP(-$B$13*(A1179*$B$14))</f>
        <v/>
      </c>
    </row>
    <row r="1180">
      <c r="A1180" t="n">
        <v>201</v>
      </c>
      <c r="B1180">
        <f>F1180</f>
        <v/>
      </c>
      <c r="C1180">
        <f>G1180-F1180</f>
        <v/>
      </c>
      <c r="D1180">
        <f>1-G1180</f>
        <v/>
      </c>
      <c r="F1180">
        <f>EXP(-$B$11*(A1180*$B$12))</f>
        <v/>
      </c>
      <c r="G1180">
        <f>EXP(-$B$13*(A1180*$B$14))</f>
        <v/>
      </c>
    </row>
    <row r="1181">
      <c r="A1181" t="n">
        <v>202</v>
      </c>
      <c r="B1181">
        <f>F1181</f>
        <v/>
      </c>
      <c r="C1181">
        <f>G1181-F1181</f>
        <v/>
      </c>
      <c r="D1181">
        <f>1-G1181</f>
        <v/>
      </c>
      <c r="F1181">
        <f>EXP(-$B$11*(A1181*$B$12))</f>
        <v/>
      </c>
      <c r="G1181">
        <f>EXP(-$B$13*(A1181*$B$14))</f>
        <v/>
      </c>
    </row>
    <row r="1182">
      <c r="A1182" t="n">
        <v>203</v>
      </c>
      <c r="B1182">
        <f>F1182</f>
        <v/>
      </c>
      <c r="C1182">
        <f>G1182-F1182</f>
        <v/>
      </c>
      <c r="D1182">
        <f>1-G1182</f>
        <v/>
      </c>
      <c r="F1182">
        <f>EXP(-$B$11*(A1182*$B$12))</f>
        <v/>
      </c>
      <c r="G1182">
        <f>EXP(-$B$13*(A1182*$B$14))</f>
        <v/>
      </c>
    </row>
    <row r="1183">
      <c r="A1183" t="n">
        <v>204</v>
      </c>
      <c r="B1183">
        <f>F1183</f>
        <v/>
      </c>
      <c r="C1183">
        <f>G1183-F1183</f>
        <v/>
      </c>
      <c r="D1183">
        <f>1-G1183</f>
        <v/>
      </c>
      <c r="F1183">
        <f>EXP(-$B$11*(A1183*$B$12))</f>
        <v/>
      </c>
      <c r="G1183">
        <f>EXP(-$B$13*(A1183*$B$14))</f>
        <v/>
      </c>
    </row>
    <row r="1184">
      <c r="A1184" t="n">
        <v>205</v>
      </c>
      <c r="B1184">
        <f>F1184</f>
        <v/>
      </c>
      <c r="C1184">
        <f>G1184-F1184</f>
        <v/>
      </c>
      <c r="D1184">
        <f>1-G1184</f>
        <v/>
      </c>
      <c r="F1184">
        <f>EXP(-$B$11*(A1184*$B$12))</f>
        <v/>
      </c>
      <c r="G1184">
        <f>EXP(-$B$13*(A1184*$B$14))</f>
        <v/>
      </c>
    </row>
    <row r="1185">
      <c r="A1185" t="n">
        <v>206</v>
      </c>
      <c r="B1185">
        <f>F1185</f>
        <v/>
      </c>
      <c r="C1185">
        <f>G1185-F1185</f>
        <v/>
      </c>
      <c r="D1185">
        <f>1-G1185</f>
        <v/>
      </c>
      <c r="F1185">
        <f>EXP(-$B$11*(A1185*$B$12))</f>
        <v/>
      </c>
      <c r="G1185">
        <f>EXP(-$B$13*(A1185*$B$14))</f>
        <v/>
      </c>
    </row>
    <row r="1186">
      <c r="A1186" t="n">
        <v>207</v>
      </c>
      <c r="B1186">
        <f>F1186</f>
        <v/>
      </c>
      <c r="C1186">
        <f>G1186-F1186</f>
        <v/>
      </c>
      <c r="D1186">
        <f>1-G1186</f>
        <v/>
      </c>
      <c r="F1186">
        <f>EXP(-$B$11*(A1186*$B$12))</f>
        <v/>
      </c>
      <c r="G1186">
        <f>EXP(-$B$13*(A1186*$B$14))</f>
        <v/>
      </c>
    </row>
    <row r="1187">
      <c r="A1187" t="n">
        <v>208</v>
      </c>
      <c r="B1187">
        <f>F1187</f>
        <v/>
      </c>
      <c r="C1187">
        <f>G1187-F1187</f>
        <v/>
      </c>
      <c r="D1187">
        <f>1-G1187</f>
        <v/>
      </c>
      <c r="F1187">
        <f>EXP(-$B$11*(A1187*$B$12))</f>
        <v/>
      </c>
      <c r="G1187">
        <f>EXP(-$B$13*(A1187*$B$14))</f>
        <v/>
      </c>
    </row>
    <row r="1188">
      <c r="A1188" t="n">
        <v>209</v>
      </c>
      <c r="B1188">
        <f>F1188</f>
        <v/>
      </c>
      <c r="C1188">
        <f>G1188-F1188</f>
        <v/>
      </c>
      <c r="D1188">
        <f>1-G1188</f>
        <v/>
      </c>
      <c r="F1188">
        <f>EXP(-$B$11*(A1188*$B$12))</f>
        <v/>
      </c>
      <c r="G1188">
        <f>EXP(-$B$13*(A1188*$B$14))</f>
        <v/>
      </c>
    </row>
    <row r="1189">
      <c r="A1189" t="n">
        <v>210</v>
      </c>
      <c r="B1189">
        <f>F1189</f>
        <v/>
      </c>
      <c r="C1189">
        <f>G1189-F1189</f>
        <v/>
      </c>
      <c r="D1189">
        <f>1-G1189</f>
        <v/>
      </c>
      <c r="F1189">
        <f>EXP(-$B$11*(A1189*$B$12))</f>
        <v/>
      </c>
      <c r="G1189">
        <f>EXP(-$B$13*(A1189*$B$14))</f>
        <v/>
      </c>
    </row>
    <row r="1190">
      <c r="A1190" t="n">
        <v>211</v>
      </c>
      <c r="B1190">
        <f>F1190</f>
        <v/>
      </c>
      <c r="C1190">
        <f>G1190-F1190</f>
        <v/>
      </c>
      <c r="D1190">
        <f>1-G1190</f>
        <v/>
      </c>
      <c r="F1190">
        <f>EXP(-$B$11*(A1190*$B$12))</f>
        <v/>
      </c>
      <c r="G1190">
        <f>EXP(-$B$13*(A1190*$B$14))</f>
        <v/>
      </c>
    </row>
    <row r="1191">
      <c r="A1191" t="n">
        <v>212</v>
      </c>
      <c r="B1191">
        <f>F1191</f>
        <v/>
      </c>
      <c r="C1191">
        <f>G1191-F1191</f>
        <v/>
      </c>
      <c r="D1191">
        <f>1-G1191</f>
        <v/>
      </c>
      <c r="F1191">
        <f>EXP(-$B$11*(A1191*$B$12))</f>
        <v/>
      </c>
      <c r="G1191">
        <f>EXP(-$B$13*(A1191*$B$14))</f>
        <v/>
      </c>
    </row>
    <row r="1192">
      <c r="A1192" t="n">
        <v>213</v>
      </c>
      <c r="B1192">
        <f>F1192</f>
        <v/>
      </c>
      <c r="C1192">
        <f>G1192-F1192</f>
        <v/>
      </c>
      <c r="D1192">
        <f>1-G1192</f>
        <v/>
      </c>
      <c r="F1192">
        <f>EXP(-$B$11*(A1192*$B$12))</f>
        <v/>
      </c>
      <c r="G1192">
        <f>EXP(-$B$13*(A1192*$B$14))</f>
        <v/>
      </c>
    </row>
    <row r="1193">
      <c r="A1193" t="n">
        <v>214</v>
      </c>
      <c r="B1193">
        <f>F1193</f>
        <v/>
      </c>
      <c r="C1193">
        <f>G1193-F1193</f>
        <v/>
      </c>
      <c r="D1193">
        <f>1-G1193</f>
        <v/>
      </c>
      <c r="F1193">
        <f>EXP(-$B$11*(A1193*$B$12))</f>
        <v/>
      </c>
      <c r="G1193">
        <f>EXP(-$B$13*(A1193*$B$14))</f>
        <v/>
      </c>
    </row>
    <row r="1194">
      <c r="A1194" t="n">
        <v>215</v>
      </c>
      <c r="B1194">
        <f>F1194</f>
        <v/>
      </c>
      <c r="C1194">
        <f>G1194-F1194</f>
        <v/>
      </c>
      <c r="D1194">
        <f>1-G1194</f>
        <v/>
      </c>
      <c r="F1194">
        <f>EXP(-$B$11*(A1194*$B$12))</f>
        <v/>
      </c>
      <c r="G1194">
        <f>EXP(-$B$13*(A1194*$B$14))</f>
        <v/>
      </c>
    </row>
    <row r="1195">
      <c r="A1195" t="n">
        <v>216</v>
      </c>
      <c r="B1195">
        <f>F1195</f>
        <v/>
      </c>
      <c r="C1195">
        <f>G1195-F1195</f>
        <v/>
      </c>
      <c r="D1195">
        <f>1-G1195</f>
        <v/>
      </c>
      <c r="F1195">
        <f>EXP(-$B$11*(A1195*$B$12))</f>
        <v/>
      </c>
      <c r="G1195">
        <f>EXP(-$B$13*(A1195*$B$14))</f>
        <v/>
      </c>
    </row>
    <row r="1196">
      <c r="A1196" t="n">
        <v>217</v>
      </c>
      <c r="B1196">
        <f>F1196</f>
        <v/>
      </c>
      <c r="C1196">
        <f>G1196-F1196</f>
        <v/>
      </c>
      <c r="D1196">
        <f>1-G1196</f>
        <v/>
      </c>
      <c r="F1196">
        <f>EXP(-$B$11*(A1196*$B$12))</f>
        <v/>
      </c>
      <c r="G1196">
        <f>EXP(-$B$13*(A1196*$B$14))</f>
        <v/>
      </c>
    </row>
    <row r="1197">
      <c r="A1197" t="n">
        <v>218</v>
      </c>
      <c r="B1197">
        <f>F1197</f>
        <v/>
      </c>
      <c r="C1197">
        <f>G1197-F1197</f>
        <v/>
      </c>
      <c r="D1197">
        <f>1-G1197</f>
        <v/>
      </c>
      <c r="F1197">
        <f>EXP(-$B$11*(A1197*$B$12))</f>
        <v/>
      </c>
      <c r="G1197">
        <f>EXP(-$B$13*(A1197*$B$14))</f>
        <v/>
      </c>
    </row>
    <row r="1198">
      <c r="A1198" t="n">
        <v>219</v>
      </c>
      <c r="B1198">
        <f>F1198</f>
        <v/>
      </c>
      <c r="C1198">
        <f>G1198-F1198</f>
        <v/>
      </c>
      <c r="D1198">
        <f>1-G1198</f>
        <v/>
      </c>
      <c r="F1198">
        <f>EXP(-$B$11*(A1198*$B$12))</f>
        <v/>
      </c>
      <c r="G1198">
        <f>EXP(-$B$13*(A1198*$B$14))</f>
        <v/>
      </c>
    </row>
    <row r="1199">
      <c r="A1199" t="n">
        <v>220</v>
      </c>
      <c r="B1199">
        <f>F1199</f>
        <v/>
      </c>
      <c r="C1199">
        <f>G1199-F1199</f>
        <v/>
      </c>
      <c r="D1199">
        <f>1-G1199</f>
        <v/>
      </c>
      <c r="F1199">
        <f>EXP(-$B$11*(A1199*$B$12))</f>
        <v/>
      </c>
      <c r="G1199">
        <f>EXP(-$B$13*(A1199*$B$14))</f>
        <v/>
      </c>
    </row>
    <row r="1200">
      <c r="A1200" t="n">
        <v>221</v>
      </c>
      <c r="B1200">
        <f>F1200</f>
        <v/>
      </c>
      <c r="C1200">
        <f>G1200-F1200</f>
        <v/>
      </c>
      <c r="D1200">
        <f>1-G1200</f>
        <v/>
      </c>
      <c r="F1200">
        <f>EXP(-$B$11*(A1200*$B$12))</f>
        <v/>
      </c>
      <c r="G1200">
        <f>EXP(-$B$13*(A1200*$B$14))</f>
        <v/>
      </c>
    </row>
    <row r="1201">
      <c r="A1201" t="n">
        <v>222</v>
      </c>
      <c r="B1201">
        <f>F1201</f>
        <v/>
      </c>
      <c r="C1201">
        <f>G1201-F1201</f>
        <v/>
      </c>
      <c r="D1201">
        <f>1-G1201</f>
        <v/>
      </c>
      <c r="F1201">
        <f>EXP(-$B$11*(A1201*$B$12))</f>
        <v/>
      </c>
      <c r="G1201">
        <f>EXP(-$B$13*(A1201*$B$14))</f>
        <v/>
      </c>
    </row>
    <row r="1202">
      <c r="A1202" t="n">
        <v>223</v>
      </c>
      <c r="B1202">
        <f>F1202</f>
        <v/>
      </c>
      <c r="C1202">
        <f>G1202-F1202</f>
        <v/>
      </c>
      <c r="D1202">
        <f>1-G1202</f>
        <v/>
      </c>
      <c r="F1202">
        <f>EXP(-$B$11*(A1202*$B$12))</f>
        <v/>
      </c>
      <c r="G1202">
        <f>EXP(-$B$13*(A1202*$B$14))</f>
        <v/>
      </c>
    </row>
    <row r="1203">
      <c r="A1203" t="n">
        <v>224</v>
      </c>
      <c r="B1203">
        <f>F1203</f>
        <v/>
      </c>
      <c r="C1203">
        <f>G1203-F1203</f>
        <v/>
      </c>
      <c r="D1203">
        <f>1-G1203</f>
        <v/>
      </c>
      <c r="F1203">
        <f>EXP(-$B$11*(A1203*$B$12))</f>
        <v/>
      </c>
      <c r="G1203">
        <f>EXP(-$B$13*(A1203*$B$14))</f>
        <v/>
      </c>
    </row>
    <row r="1204">
      <c r="A1204" t="n">
        <v>225</v>
      </c>
      <c r="B1204">
        <f>F1204</f>
        <v/>
      </c>
      <c r="C1204">
        <f>G1204-F1204</f>
        <v/>
      </c>
      <c r="D1204">
        <f>1-G1204</f>
        <v/>
      </c>
      <c r="F1204">
        <f>EXP(-$B$11*(A1204*$B$12))</f>
        <v/>
      </c>
      <c r="G1204">
        <f>EXP(-$B$13*(A1204*$B$14))</f>
        <v/>
      </c>
    </row>
    <row r="1205">
      <c r="A1205" t="n">
        <v>226</v>
      </c>
      <c r="B1205">
        <f>F1205</f>
        <v/>
      </c>
      <c r="C1205">
        <f>G1205-F1205</f>
        <v/>
      </c>
      <c r="D1205">
        <f>1-G1205</f>
        <v/>
      </c>
      <c r="F1205">
        <f>EXP(-$B$11*(A1205*$B$12))</f>
        <v/>
      </c>
      <c r="G1205">
        <f>EXP(-$B$13*(A1205*$B$14))</f>
        <v/>
      </c>
    </row>
    <row r="1206">
      <c r="A1206" t="n">
        <v>227</v>
      </c>
      <c r="B1206">
        <f>F1206</f>
        <v/>
      </c>
      <c r="C1206">
        <f>G1206-F1206</f>
        <v/>
      </c>
      <c r="D1206">
        <f>1-G1206</f>
        <v/>
      </c>
      <c r="F1206">
        <f>EXP(-$B$11*(A1206*$B$12))</f>
        <v/>
      </c>
      <c r="G1206">
        <f>EXP(-$B$13*(A1206*$B$14))</f>
        <v/>
      </c>
    </row>
    <row r="1207">
      <c r="A1207" t="n">
        <v>228</v>
      </c>
      <c r="B1207">
        <f>F1207</f>
        <v/>
      </c>
      <c r="C1207">
        <f>G1207-F1207</f>
        <v/>
      </c>
      <c r="D1207">
        <f>1-G1207</f>
        <v/>
      </c>
      <c r="F1207">
        <f>EXP(-$B$11*(A1207*$B$12))</f>
        <v/>
      </c>
      <c r="G1207">
        <f>EXP(-$B$13*(A1207*$B$14))</f>
        <v/>
      </c>
    </row>
    <row r="1208">
      <c r="A1208" t="n">
        <v>229</v>
      </c>
      <c r="B1208">
        <f>F1208</f>
        <v/>
      </c>
      <c r="C1208">
        <f>G1208-F1208</f>
        <v/>
      </c>
      <c r="D1208">
        <f>1-G1208</f>
        <v/>
      </c>
      <c r="F1208">
        <f>EXP(-$B$11*(A1208*$B$12))</f>
        <v/>
      </c>
      <c r="G1208">
        <f>EXP(-$B$13*(A1208*$B$14))</f>
        <v/>
      </c>
    </row>
    <row r="1209">
      <c r="A1209" t="n">
        <v>230</v>
      </c>
      <c r="B1209">
        <f>F1209</f>
        <v/>
      </c>
      <c r="C1209">
        <f>G1209-F1209</f>
        <v/>
      </c>
      <c r="D1209">
        <f>1-G1209</f>
        <v/>
      </c>
      <c r="F1209">
        <f>EXP(-$B$11*(A1209*$B$12))</f>
        <v/>
      </c>
      <c r="G1209">
        <f>EXP(-$B$13*(A1209*$B$14))</f>
        <v/>
      </c>
    </row>
    <row r="1210">
      <c r="A1210" t="n">
        <v>231</v>
      </c>
      <c r="B1210">
        <f>F1210</f>
        <v/>
      </c>
      <c r="C1210">
        <f>G1210-F1210</f>
        <v/>
      </c>
      <c r="D1210">
        <f>1-G1210</f>
        <v/>
      </c>
      <c r="F1210">
        <f>EXP(-$B$11*(A1210*$B$12))</f>
        <v/>
      </c>
      <c r="G1210">
        <f>EXP(-$B$13*(A1210*$B$14))</f>
        <v/>
      </c>
    </row>
    <row r="1211">
      <c r="A1211" t="n">
        <v>232</v>
      </c>
      <c r="B1211">
        <f>F1211</f>
        <v/>
      </c>
      <c r="C1211">
        <f>G1211-F1211</f>
        <v/>
      </c>
      <c r="D1211">
        <f>1-G1211</f>
        <v/>
      </c>
      <c r="F1211">
        <f>EXP(-$B$11*(A1211*$B$12))</f>
        <v/>
      </c>
      <c r="G1211">
        <f>EXP(-$B$13*(A1211*$B$14))</f>
        <v/>
      </c>
    </row>
    <row r="1212">
      <c r="A1212" t="n">
        <v>233</v>
      </c>
      <c r="B1212">
        <f>F1212</f>
        <v/>
      </c>
      <c r="C1212">
        <f>G1212-F1212</f>
        <v/>
      </c>
      <c r="D1212">
        <f>1-G1212</f>
        <v/>
      </c>
      <c r="F1212">
        <f>EXP(-$B$11*(A1212*$B$12))</f>
        <v/>
      </c>
      <c r="G1212">
        <f>EXP(-$B$13*(A1212*$B$14))</f>
        <v/>
      </c>
    </row>
    <row r="1213">
      <c r="A1213" t="n">
        <v>234</v>
      </c>
      <c r="B1213">
        <f>F1213</f>
        <v/>
      </c>
      <c r="C1213">
        <f>G1213-F1213</f>
        <v/>
      </c>
      <c r="D1213">
        <f>1-G1213</f>
        <v/>
      </c>
      <c r="F1213">
        <f>EXP(-$B$11*(A1213*$B$12))</f>
        <v/>
      </c>
      <c r="G1213">
        <f>EXP(-$B$13*(A1213*$B$14))</f>
        <v/>
      </c>
    </row>
    <row r="1214">
      <c r="A1214" t="n">
        <v>235</v>
      </c>
      <c r="B1214">
        <f>F1214</f>
        <v/>
      </c>
      <c r="C1214">
        <f>G1214-F1214</f>
        <v/>
      </c>
      <c r="D1214">
        <f>1-G1214</f>
        <v/>
      </c>
      <c r="F1214">
        <f>EXP(-$B$11*(A1214*$B$12))</f>
        <v/>
      </c>
      <c r="G1214">
        <f>EXP(-$B$13*(A1214*$B$14))</f>
        <v/>
      </c>
    </row>
    <row r="1215">
      <c r="A1215" t="n">
        <v>236</v>
      </c>
      <c r="B1215">
        <f>F1215</f>
        <v/>
      </c>
      <c r="C1215">
        <f>G1215-F1215</f>
        <v/>
      </c>
      <c r="D1215">
        <f>1-G1215</f>
        <v/>
      </c>
      <c r="F1215">
        <f>EXP(-$B$11*(A1215*$B$12))</f>
        <v/>
      </c>
      <c r="G1215">
        <f>EXP(-$B$13*(A1215*$B$14))</f>
        <v/>
      </c>
    </row>
    <row r="1216">
      <c r="A1216" t="n">
        <v>237</v>
      </c>
      <c r="B1216">
        <f>F1216</f>
        <v/>
      </c>
      <c r="C1216">
        <f>G1216-F1216</f>
        <v/>
      </c>
      <c r="D1216">
        <f>1-G1216</f>
        <v/>
      </c>
      <c r="F1216">
        <f>EXP(-$B$11*(A1216*$B$12))</f>
        <v/>
      </c>
      <c r="G1216">
        <f>EXP(-$B$13*(A1216*$B$14))</f>
        <v/>
      </c>
    </row>
    <row r="1217">
      <c r="A1217" t="n">
        <v>238</v>
      </c>
      <c r="B1217">
        <f>F1217</f>
        <v/>
      </c>
      <c r="C1217">
        <f>G1217-F1217</f>
        <v/>
      </c>
      <c r="D1217">
        <f>1-G1217</f>
        <v/>
      </c>
      <c r="F1217">
        <f>EXP(-$B$11*(A1217*$B$12))</f>
        <v/>
      </c>
      <c r="G1217">
        <f>EXP(-$B$13*(A1217*$B$14))</f>
        <v/>
      </c>
    </row>
    <row r="1218">
      <c r="A1218" t="n">
        <v>239</v>
      </c>
      <c r="B1218">
        <f>F1218</f>
        <v/>
      </c>
      <c r="C1218">
        <f>G1218-F1218</f>
        <v/>
      </c>
      <c r="D1218">
        <f>1-G1218</f>
        <v/>
      </c>
      <c r="F1218">
        <f>EXP(-$B$11*(A1218*$B$12))</f>
        <v/>
      </c>
      <c r="G1218">
        <f>EXP(-$B$13*(A1218*$B$14))</f>
        <v/>
      </c>
    </row>
    <row r="1219">
      <c r="A1219" t="n">
        <v>240</v>
      </c>
      <c r="B1219">
        <f>F1219</f>
        <v/>
      </c>
      <c r="C1219">
        <f>G1219-F1219</f>
        <v/>
      </c>
      <c r="D1219">
        <f>1-G1219</f>
        <v/>
      </c>
      <c r="F1219">
        <f>EXP(-$B$11*(A1219*$B$12))</f>
        <v/>
      </c>
      <c r="G1219">
        <f>EXP(-$B$13*(A1219*$B$14))</f>
        <v/>
      </c>
    </row>
    <row r="1226">
      <c r="A1226" t="n">
        <v>1</v>
      </c>
      <c r="B1226">
        <f>IF($B$4="life-table",(B979+B980)/2,IF($B$4="beginning",B979,B980))</f>
        <v/>
      </c>
      <c r="C1226">
        <f>IF($B$4="life-table",(C979+C980)/2,IF($B$4="beginning",C979,C980))</f>
        <v/>
      </c>
      <c r="D1226">
        <f>IF($B$4="life-table",(D979+D980)/2,IF($B$4="beginning",D979,D980))</f>
        <v/>
      </c>
      <c r="F1226">
        <f>((B1226*$B$15+C1226*$C$15+D1226*$D$15)+(B1226*$B$255+C1226*$C$255+D1226*$D$255)+(B1226*$B$495+C1226*$C$495+D1226*$D$495)+$B$975)/(1+$B$2)^(0)</f>
        <v/>
      </c>
      <c r="G1226">
        <f>((B1226*$B$735+C1226*$C$735+D1226*$D$735))/(1+$B$3)^(0)</f>
        <v/>
      </c>
    </row>
    <row r="1227">
      <c r="A1227" t="n">
        <v>2</v>
      </c>
      <c r="B1227">
        <f>IF($B$4="life-table",(B980+B981)/2,IF($B$4="beginning",B980,B981))</f>
        <v/>
      </c>
      <c r="C1227">
        <f>IF($B$4="life-table",(C980+C981)/2,IF($B$4="beginning",C980,C981))</f>
        <v/>
      </c>
      <c r="D1227">
        <f>IF($B$4="life-table",(D980+D981)/2,IF($B$4="beginning",D980,D981))</f>
        <v/>
      </c>
      <c r="F1227">
        <f>((B1227*$B$16+C1227*$C$16+D1227*$D$16)+(B1227*$B$256+C1227*$C$256+D1227*$D$256)+(B1227*$B$496+C1227*$C$496+D1227*$D$496))/(1+$B$2)^(1)</f>
        <v/>
      </c>
      <c r="G1227">
        <f>((B1227*$B$736+C1227*$C$736+D1227*$D$736))/(1+$B$3)^(1)</f>
        <v/>
      </c>
    </row>
    <row r="1228">
      <c r="A1228" t="n">
        <v>3</v>
      </c>
      <c r="B1228">
        <f>IF($B$4="life-table",(B981+B982)/2,IF($B$4="beginning",B981,B982))</f>
        <v/>
      </c>
      <c r="C1228">
        <f>IF($B$4="life-table",(C981+C982)/2,IF($B$4="beginning",C981,C982))</f>
        <v/>
      </c>
      <c r="D1228">
        <f>IF($B$4="life-table",(D981+D982)/2,IF($B$4="beginning",D981,D982))</f>
        <v/>
      </c>
      <c r="F1228">
        <f>((B1228*$B$17+C1228*$C$17+D1228*$D$17)+(B1228*$B$257+C1228*$C$257+D1228*$D$257)+(B1228*$B$497+C1228*$C$497+D1228*$D$497))/(1+$B$2)^(2)</f>
        <v/>
      </c>
      <c r="G1228">
        <f>((B1228*$B$737+C1228*$C$737+D1228*$D$737))/(1+$B$3)^(2)</f>
        <v/>
      </c>
    </row>
    <row r="1229">
      <c r="A1229" t="n">
        <v>4</v>
      </c>
      <c r="B1229">
        <f>IF($B$4="life-table",(B982+B983)/2,IF($B$4="beginning",B982,B983))</f>
        <v/>
      </c>
      <c r="C1229">
        <f>IF($B$4="life-table",(C982+C983)/2,IF($B$4="beginning",C982,C983))</f>
        <v/>
      </c>
      <c r="D1229">
        <f>IF($B$4="life-table",(D982+D983)/2,IF($B$4="beginning",D982,D983))</f>
        <v/>
      </c>
      <c r="F1229">
        <f>((B1229*$B$18+C1229*$C$18+D1229*$D$18)+(B1229*$B$258+C1229*$C$258+D1229*$D$258)+(B1229*$B$498+C1229*$C$498+D1229*$D$498))/(1+$B$2)^(3)</f>
        <v/>
      </c>
      <c r="G1229">
        <f>((B1229*$B$738+C1229*$C$738+D1229*$D$738))/(1+$B$3)^(3)</f>
        <v/>
      </c>
    </row>
    <row r="1230">
      <c r="A1230" t="n">
        <v>5</v>
      </c>
      <c r="B1230">
        <f>IF($B$4="life-table",(B983+B984)/2,IF($B$4="beginning",B983,B984))</f>
        <v/>
      </c>
      <c r="C1230">
        <f>IF($B$4="life-table",(C983+C984)/2,IF($B$4="beginning",C983,C984))</f>
        <v/>
      </c>
      <c r="D1230">
        <f>IF($B$4="life-table",(D983+D984)/2,IF($B$4="beginning",D983,D984))</f>
        <v/>
      </c>
      <c r="F1230">
        <f>((B1230*$B$19+C1230*$C$19+D1230*$D$19)+(B1230*$B$259+C1230*$C$259+D1230*$D$259)+(B1230*$B$499+C1230*$C$499+D1230*$D$499))/(1+$B$2)^(4)</f>
        <v/>
      </c>
      <c r="G1230">
        <f>((B1230*$B$739+C1230*$C$739+D1230*$D$739))/(1+$B$3)^(4)</f>
        <v/>
      </c>
    </row>
    <row r="1231">
      <c r="A1231" t="n">
        <v>6</v>
      </c>
      <c r="B1231">
        <f>IF($B$4="life-table",(B984+B985)/2,IF($B$4="beginning",B984,B985))</f>
        <v/>
      </c>
      <c r="C1231">
        <f>IF($B$4="life-table",(C984+C985)/2,IF($B$4="beginning",C984,C985))</f>
        <v/>
      </c>
      <c r="D1231">
        <f>IF($B$4="life-table",(D984+D985)/2,IF($B$4="beginning",D984,D985))</f>
        <v/>
      </c>
      <c r="F1231">
        <f>((B1231*$B$20+C1231*$C$20+D1231*$D$20)+(B1231*$B$260+C1231*$C$260+D1231*$D$260)+(B1231*$B$500+C1231*$C$500+D1231*$D$500))/(1+$B$2)^(5)</f>
        <v/>
      </c>
      <c r="G1231">
        <f>((B1231*$B$740+C1231*$C$740+D1231*$D$740))/(1+$B$3)^(5)</f>
        <v/>
      </c>
    </row>
    <row r="1232">
      <c r="A1232" t="n">
        <v>7</v>
      </c>
      <c r="B1232">
        <f>IF($B$4="life-table",(B985+B986)/2,IF($B$4="beginning",B985,B986))</f>
        <v/>
      </c>
      <c r="C1232">
        <f>IF($B$4="life-table",(C985+C986)/2,IF($B$4="beginning",C985,C986))</f>
        <v/>
      </c>
      <c r="D1232">
        <f>IF($B$4="life-table",(D985+D986)/2,IF($B$4="beginning",D985,D986))</f>
        <v/>
      </c>
      <c r="F1232">
        <f>((B1232*$B$21+C1232*$C$21+D1232*$D$21)+(B1232*$B$261+C1232*$C$261+D1232*$D$261)+(B1232*$B$501+C1232*$C$501+D1232*$D$501))/(1+$B$2)^(6)</f>
        <v/>
      </c>
      <c r="G1232">
        <f>((B1232*$B$741+C1232*$C$741+D1232*$D$741))/(1+$B$3)^(6)</f>
        <v/>
      </c>
    </row>
    <row r="1233">
      <c r="A1233" t="n">
        <v>8</v>
      </c>
      <c r="B1233">
        <f>IF($B$4="life-table",(B986+B987)/2,IF($B$4="beginning",B986,B987))</f>
        <v/>
      </c>
      <c r="C1233">
        <f>IF($B$4="life-table",(C986+C987)/2,IF($B$4="beginning",C986,C987))</f>
        <v/>
      </c>
      <c r="D1233">
        <f>IF($B$4="life-table",(D986+D987)/2,IF($B$4="beginning",D986,D987))</f>
        <v/>
      </c>
      <c r="F1233">
        <f>((B1233*$B$22+C1233*$C$22+D1233*$D$22)+(B1233*$B$262+C1233*$C$262+D1233*$D$262)+(B1233*$B$502+C1233*$C$502+D1233*$D$502))/(1+$B$2)^(7)</f>
        <v/>
      </c>
      <c r="G1233">
        <f>((B1233*$B$742+C1233*$C$742+D1233*$D$742))/(1+$B$3)^(7)</f>
        <v/>
      </c>
    </row>
    <row r="1234">
      <c r="A1234" t="n">
        <v>9</v>
      </c>
      <c r="B1234">
        <f>IF($B$4="life-table",(B987+B988)/2,IF($B$4="beginning",B987,B988))</f>
        <v/>
      </c>
      <c r="C1234">
        <f>IF($B$4="life-table",(C987+C988)/2,IF($B$4="beginning",C987,C988))</f>
        <v/>
      </c>
      <c r="D1234">
        <f>IF($B$4="life-table",(D987+D988)/2,IF($B$4="beginning",D987,D988))</f>
        <v/>
      </c>
      <c r="F1234">
        <f>((B1234*$B$23+C1234*$C$23+D1234*$D$23)+(B1234*$B$263+C1234*$C$263+D1234*$D$263)+(B1234*$B$503+C1234*$C$503+D1234*$D$503))/(1+$B$2)^(8)</f>
        <v/>
      </c>
      <c r="G1234">
        <f>((B1234*$B$743+C1234*$C$743+D1234*$D$743))/(1+$B$3)^(8)</f>
        <v/>
      </c>
    </row>
    <row r="1235">
      <c r="A1235" t="n">
        <v>10</v>
      </c>
      <c r="B1235">
        <f>IF($B$4="life-table",(B988+B989)/2,IF($B$4="beginning",B988,B989))</f>
        <v/>
      </c>
      <c r="C1235">
        <f>IF($B$4="life-table",(C988+C989)/2,IF($B$4="beginning",C988,C989))</f>
        <v/>
      </c>
      <c r="D1235">
        <f>IF($B$4="life-table",(D988+D989)/2,IF($B$4="beginning",D988,D989))</f>
        <v/>
      </c>
      <c r="F1235">
        <f>((B1235*$B$24+C1235*$C$24+D1235*$D$24)+(B1235*$B$264+C1235*$C$264+D1235*$D$264)+(B1235*$B$504+C1235*$C$504+D1235*$D$504))/(1+$B$2)^(9)</f>
        <v/>
      </c>
      <c r="G1235">
        <f>((B1235*$B$744+C1235*$C$744+D1235*$D$744))/(1+$B$3)^(9)</f>
        <v/>
      </c>
    </row>
    <row r="1236">
      <c r="A1236" t="n">
        <v>11</v>
      </c>
      <c r="B1236">
        <f>IF($B$4="life-table",(B989+B990)/2,IF($B$4="beginning",B989,B990))</f>
        <v/>
      </c>
      <c r="C1236">
        <f>IF($B$4="life-table",(C989+C990)/2,IF($B$4="beginning",C989,C990))</f>
        <v/>
      </c>
      <c r="D1236">
        <f>IF($B$4="life-table",(D989+D990)/2,IF($B$4="beginning",D989,D990))</f>
        <v/>
      </c>
      <c r="F1236">
        <f>((B1236*$B$25+C1236*$C$25+D1236*$D$25)+(B1236*$B$265+C1236*$C$265+D1236*$D$265)+(B1236*$B$505+C1236*$C$505+D1236*$D$505))/(1+$B$2)^(10)</f>
        <v/>
      </c>
      <c r="G1236">
        <f>((B1236*$B$745+C1236*$C$745+D1236*$D$745))/(1+$B$3)^(10)</f>
        <v/>
      </c>
    </row>
    <row r="1237">
      <c r="A1237" t="n">
        <v>12</v>
      </c>
      <c r="B1237">
        <f>IF($B$4="life-table",(B990+B991)/2,IF($B$4="beginning",B990,B991))</f>
        <v/>
      </c>
      <c r="C1237">
        <f>IF($B$4="life-table",(C990+C991)/2,IF($B$4="beginning",C990,C991))</f>
        <v/>
      </c>
      <c r="D1237">
        <f>IF($B$4="life-table",(D990+D991)/2,IF($B$4="beginning",D990,D991))</f>
        <v/>
      </c>
      <c r="F1237">
        <f>((B1237*$B$26+C1237*$C$26+D1237*$D$26)+(B1237*$B$266+C1237*$C$266+D1237*$D$266)+(B1237*$B$506+C1237*$C$506+D1237*$D$506))/(1+$B$2)^(11)</f>
        <v/>
      </c>
      <c r="G1237">
        <f>((B1237*$B$746+C1237*$C$746+D1237*$D$746))/(1+$B$3)^(11)</f>
        <v/>
      </c>
    </row>
    <row r="1238">
      <c r="A1238" t="n">
        <v>13</v>
      </c>
      <c r="B1238">
        <f>IF($B$4="life-table",(B991+B992)/2,IF($B$4="beginning",B991,B992))</f>
        <v/>
      </c>
      <c r="C1238">
        <f>IF($B$4="life-table",(C991+C992)/2,IF($B$4="beginning",C991,C992))</f>
        <v/>
      </c>
      <c r="D1238">
        <f>IF($B$4="life-table",(D991+D992)/2,IF($B$4="beginning",D991,D992))</f>
        <v/>
      </c>
      <c r="F1238">
        <f>((B1238*$B$27+C1238*$C$27+D1238*$D$27)+(B1238*$B$267+C1238*$C$267+D1238*$D$267)+(B1238*$B$507+C1238*$C$507+D1238*$D$507))/(1+$B$2)^(12)</f>
        <v/>
      </c>
      <c r="G1238">
        <f>((B1238*$B$747+C1238*$C$747+D1238*$D$747))/(1+$B$3)^(12)</f>
        <v/>
      </c>
    </row>
    <row r="1239">
      <c r="A1239" t="n">
        <v>14</v>
      </c>
      <c r="B1239">
        <f>IF($B$4="life-table",(B992+B993)/2,IF($B$4="beginning",B992,B993))</f>
        <v/>
      </c>
      <c r="C1239">
        <f>IF($B$4="life-table",(C992+C993)/2,IF($B$4="beginning",C992,C993))</f>
        <v/>
      </c>
      <c r="D1239">
        <f>IF($B$4="life-table",(D992+D993)/2,IF($B$4="beginning",D992,D993))</f>
        <v/>
      </c>
      <c r="F1239">
        <f>((B1239*$B$28+C1239*$C$28+D1239*$D$28)+(B1239*$B$268+C1239*$C$268+D1239*$D$268)+(B1239*$B$508+C1239*$C$508+D1239*$D$508))/(1+$B$2)^(13)</f>
        <v/>
      </c>
      <c r="G1239">
        <f>((B1239*$B$748+C1239*$C$748+D1239*$D$748))/(1+$B$3)^(13)</f>
        <v/>
      </c>
    </row>
    <row r="1240">
      <c r="A1240" t="n">
        <v>15</v>
      </c>
      <c r="B1240">
        <f>IF($B$4="life-table",(B993+B994)/2,IF($B$4="beginning",B993,B994))</f>
        <v/>
      </c>
      <c r="C1240">
        <f>IF($B$4="life-table",(C993+C994)/2,IF($B$4="beginning",C993,C994))</f>
        <v/>
      </c>
      <c r="D1240">
        <f>IF($B$4="life-table",(D993+D994)/2,IF($B$4="beginning",D993,D994))</f>
        <v/>
      </c>
      <c r="F1240">
        <f>((B1240*$B$29+C1240*$C$29+D1240*$D$29)+(B1240*$B$269+C1240*$C$269+D1240*$D$269)+(B1240*$B$509+C1240*$C$509+D1240*$D$509))/(1+$B$2)^(14)</f>
        <v/>
      </c>
      <c r="G1240">
        <f>((B1240*$B$749+C1240*$C$749+D1240*$D$749))/(1+$B$3)^(14)</f>
        <v/>
      </c>
    </row>
    <row r="1241">
      <c r="A1241" t="n">
        <v>16</v>
      </c>
      <c r="B1241">
        <f>IF($B$4="life-table",(B994+B995)/2,IF($B$4="beginning",B994,B995))</f>
        <v/>
      </c>
      <c r="C1241">
        <f>IF($B$4="life-table",(C994+C995)/2,IF($B$4="beginning",C994,C995))</f>
        <v/>
      </c>
      <c r="D1241">
        <f>IF($B$4="life-table",(D994+D995)/2,IF($B$4="beginning",D994,D995))</f>
        <v/>
      </c>
      <c r="F1241">
        <f>((B1241*$B$30+C1241*$C$30+D1241*$D$30)+(B1241*$B$270+C1241*$C$270+D1241*$D$270)+(B1241*$B$510+C1241*$C$510+D1241*$D$510))/(1+$B$2)^(15)</f>
        <v/>
      </c>
      <c r="G1241">
        <f>((B1241*$B$750+C1241*$C$750+D1241*$D$750))/(1+$B$3)^(15)</f>
        <v/>
      </c>
    </row>
    <row r="1242">
      <c r="A1242" t="n">
        <v>17</v>
      </c>
      <c r="B1242">
        <f>IF($B$4="life-table",(B995+B996)/2,IF($B$4="beginning",B995,B996))</f>
        <v/>
      </c>
      <c r="C1242">
        <f>IF($B$4="life-table",(C995+C996)/2,IF($B$4="beginning",C995,C996))</f>
        <v/>
      </c>
      <c r="D1242">
        <f>IF($B$4="life-table",(D995+D996)/2,IF($B$4="beginning",D995,D996))</f>
        <v/>
      </c>
      <c r="F1242">
        <f>((B1242*$B$31+C1242*$C$31+D1242*$D$31)+(B1242*$B$271+C1242*$C$271+D1242*$D$271)+(B1242*$B$511+C1242*$C$511+D1242*$D$511))/(1+$B$2)^(16)</f>
        <v/>
      </c>
      <c r="G1242">
        <f>((B1242*$B$751+C1242*$C$751+D1242*$D$751))/(1+$B$3)^(16)</f>
        <v/>
      </c>
    </row>
    <row r="1243">
      <c r="A1243" t="n">
        <v>18</v>
      </c>
      <c r="B1243">
        <f>IF($B$4="life-table",(B996+B997)/2,IF($B$4="beginning",B996,B997))</f>
        <v/>
      </c>
      <c r="C1243">
        <f>IF($B$4="life-table",(C996+C997)/2,IF($B$4="beginning",C996,C997))</f>
        <v/>
      </c>
      <c r="D1243">
        <f>IF($B$4="life-table",(D996+D997)/2,IF($B$4="beginning",D996,D997))</f>
        <v/>
      </c>
      <c r="F1243">
        <f>((B1243*$B$32+C1243*$C$32+D1243*$D$32)+(B1243*$B$272+C1243*$C$272+D1243*$D$272)+(B1243*$B$512+C1243*$C$512+D1243*$D$512))/(1+$B$2)^(17)</f>
        <v/>
      </c>
      <c r="G1243">
        <f>((B1243*$B$752+C1243*$C$752+D1243*$D$752))/(1+$B$3)^(17)</f>
        <v/>
      </c>
    </row>
    <row r="1244">
      <c r="A1244" t="n">
        <v>19</v>
      </c>
      <c r="B1244">
        <f>IF($B$4="life-table",(B997+B998)/2,IF($B$4="beginning",B997,B998))</f>
        <v/>
      </c>
      <c r="C1244">
        <f>IF($B$4="life-table",(C997+C998)/2,IF($B$4="beginning",C997,C998))</f>
        <v/>
      </c>
      <c r="D1244">
        <f>IF($B$4="life-table",(D997+D998)/2,IF($B$4="beginning",D997,D998))</f>
        <v/>
      </c>
      <c r="F1244">
        <f>((B1244*$B$33+C1244*$C$33+D1244*$D$33)+(B1244*$B$273+C1244*$C$273+D1244*$D$273)+(B1244*$B$513+C1244*$C$513+D1244*$D$513))/(1+$B$2)^(18)</f>
        <v/>
      </c>
      <c r="G1244">
        <f>((B1244*$B$753+C1244*$C$753+D1244*$D$753))/(1+$B$3)^(18)</f>
        <v/>
      </c>
    </row>
    <row r="1245">
      <c r="A1245" t="n">
        <v>20</v>
      </c>
      <c r="B1245">
        <f>IF($B$4="life-table",(B998+B999)/2,IF($B$4="beginning",B998,B999))</f>
        <v/>
      </c>
      <c r="C1245">
        <f>IF($B$4="life-table",(C998+C999)/2,IF($B$4="beginning",C998,C999))</f>
        <v/>
      </c>
      <c r="D1245">
        <f>IF($B$4="life-table",(D998+D999)/2,IF($B$4="beginning",D998,D999))</f>
        <v/>
      </c>
      <c r="F1245">
        <f>((B1245*$B$34+C1245*$C$34+D1245*$D$34)+(B1245*$B$274+C1245*$C$274+D1245*$D$274)+(B1245*$B$514+C1245*$C$514+D1245*$D$514))/(1+$B$2)^(19)</f>
        <v/>
      </c>
      <c r="G1245">
        <f>((B1245*$B$754+C1245*$C$754+D1245*$D$754))/(1+$B$3)^(19)</f>
        <v/>
      </c>
    </row>
    <row r="1246">
      <c r="A1246" t="n">
        <v>21</v>
      </c>
      <c r="B1246">
        <f>IF($B$4="life-table",(B999+B1000)/2,IF($B$4="beginning",B999,B1000))</f>
        <v/>
      </c>
      <c r="C1246">
        <f>IF($B$4="life-table",(C999+C1000)/2,IF($B$4="beginning",C999,C1000))</f>
        <v/>
      </c>
      <c r="D1246">
        <f>IF($B$4="life-table",(D999+D1000)/2,IF($B$4="beginning",D999,D1000))</f>
        <v/>
      </c>
      <c r="F1246">
        <f>((B1246*$B$35+C1246*$C$35+D1246*$D$35)+(B1246*$B$275+C1246*$C$275+D1246*$D$275)+(B1246*$B$515+C1246*$C$515+D1246*$D$515))/(1+$B$2)^(20)</f>
        <v/>
      </c>
      <c r="G1246">
        <f>((B1246*$B$755+C1246*$C$755+D1246*$D$755))/(1+$B$3)^(20)</f>
        <v/>
      </c>
    </row>
    <row r="1247">
      <c r="A1247" t="n">
        <v>22</v>
      </c>
      <c r="B1247">
        <f>IF($B$4="life-table",(B1000+B1001)/2,IF($B$4="beginning",B1000,B1001))</f>
        <v/>
      </c>
      <c r="C1247">
        <f>IF($B$4="life-table",(C1000+C1001)/2,IF($B$4="beginning",C1000,C1001))</f>
        <v/>
      </c>
      <c r="D1247">
        <f>IF($B$4="life-table",(D1000+D1001)/2,IF($B$4="beginning",D1000,D1001))</f>
        <v/>
      </c>
      <c r="F1247">
        <f>((B1247*$B$36+C1247*$C$36+D1247*$D$36)+(B1247*$B$276+C1247*$C$276+D1247*$D$276)+(B1247*$B$516+C1247*$C$516+D1247*$D$516))/(1+$B$2)^(21)</f>
        <v/>
      </c>
      <c r="G1247">
        <f>((B1247*$B$756+C1247*$C$756+D1247*$D$756))/(1+$B$3)^(21)</f>
        <v/>
      </c>
    </row>
    <row r="1248">
      <c r="A1248" t="n">
        <v>23</v>
      </c>
      <c r="B1248">
        <f>IF($B$4="life-table",(B1001+B1002)/2,IF($B$4="beginning",B1001,B1002))</f>
        <v/>
      </c>
      <c r="C1248">
        <f>IF($B$4="life-table",(C1001+C1002)/2,IF($B$4="beginning",C1001,C1002))</f>
        <v/>
      </c>
      <c r="D1248">
        <f>IF($B$4="life-table",(D1001+D1002)/2,IF($B$4="beginning",D1001,D1002))</f>
        <v/>
      </c>
      <c r="F1248">
        <f>((B1248*$B$37+C1248*$C$37+D1248*$D$37)+(B1248*$B$277+C1248*$C$277+D1248*$D$277)+(B1248*$B$517+C1248*$C$517+D1248*$D$517))/(1+$B$2)^(22)</f>
        <v/>
      </c>
      <c r="G1248">
        <f>((B1248*$B$757+C1248*$C$757+D1248*$D$757))/(1+$B$3)^(22)</f>
        <v/>
      </c>
    </row>
    <row r="1249">
      <c r="A1249" t="n">
        <v>24</v>
      </c>
      <c r="B1249">
        <f>IF($B$4="life-table",(B1002+B1003)/2,IF($B$4="beginning",B1002,B1003))</f>
        <v/>
      </c>
      <c r="C1249">
        <f>IF($B$4="life-table",(C1002+C1003)/2,IF($B$4="beginning",C1002,C1003))</f>
        <v/>
      </c>
      <c r="D1249">
        <f>IF($B$4="life-table",(D1002+D1003)/2,IF($B$4="beginning",D1002,D1003))</f>
        <v/>
      </c>
      <c r="F1249">
        <f>((B1249*$B$38+C1249*$C$38+D1249*$D$38)+(B1249*$B$278+C1249*$C$278+D1249*$D$278)+(B1249*$B$518+C1249*$C$518+D1249*$D$518))/(1+$B$2)^(23)</f>
        <v/>
      </c>
      <c r="G1249">
        <f>((B1249*$B$758+C1249*$C$758+D1249*$D$758))/(1+$B$3)^(23)</f>
        <v/>
      </c>
    </row>
    <row r="1250">
      <c r="A1250" t="n">
        <v>25</v>
      </c>
      <c r="B1250">
        <f>IF($B$4="life-table",(B1003+B1004)/2,IF($B$4="beginning",B1003,B1004))</f>
        <v/>
      </c>
      <c r="C1250">
        <f>IF($B$4="life-table",(C1003+C1004)/2,IF($B$4="beginning",C1003,C1004))</f>
        <v/>
      </c>
      <c r="D1250">
        <f>IF($B$4="life-table",(D1003+D1004)/2,IF($B$4="beginning",D1003,D1004))</f>
        <v/>
      </c>
      <c r="F1250">
        <f>((B1250*$B$39+C1250*$C$39+D1250*$D$39)+(B1250*$B$279+C1250*$C$279+D1250*$D$279)+(B1250*$B$519+C1250*$C$519+D1250*$D$519))/(1+$B$2)^(24)</f>
        <v/>
      </c>
      <c r="G1250">
        <f>((B1250*$B$759+C1250*$C$759+D1250*$D$759))/(1+$B$3)^(24)</f>
        <v/>
      </c>
    </row>
    <row r="1251">
      <c r="A1251" t="n">
        <v>26</v>
      </c>
      <c r="B1251">
        <f>IF($B$4="life-table",(B1004+B1005)/2,IF($B$4="beginning",B1004,B1005))</f>
        <v/>
      </c>
      <c r="C1251">
        <f>IF($B$4="life-table",(C1004+C1005)/2,IF($B$4="beginning",C1004,C1005))</f>
        <v/>
      </c>
      <c r="D1251">
        <f>IF($B$4="life-table",(D1004+D1005)/2,IF($B$4="beginning",D1004,D1005))</f>
        <v/>
      </c>
      <c r="F1251">
        <f>((B1251*$B$40+C1251*$C$40+D1251*$D$40)+(B1251*$B$280+C1251*$C$280+D1251*$D$280)+(B1251*$B$520+C1251*$C$520+D1251*$D$520))/(1+$B$2)^(25)</f>
        <v/>
      </c>
      <c r="G1251">
        <f>((B1251*$B$760+C1251*$C$760+D1251*$D$760))/(1+$B$3)^(25)</f>
        <v/>
      </c>
    </row>
    <row r="1252">
      <c r="A1252" t="n">
        <v>27</v>
      </c>
      <c r="B1252">
        <f>IF($B$4="life-table",(B1005+B1006)/2,IF($B$4="beginning",B1005,B1006))</f>
        <v/>
      </c>
      <c r="C1252">
        <f>IF($B$4="life-table",(C1005+C1006)/2,IF($B$4="beginning",C1005,C1006))</f>
        <v/>
      </c>
      <c r="D1252">
        <f>IF($B$4="life-table",(D1005+D1006)/2,IF($B$4="beginning",D1005,D1006))</f>
        <v/>
      </c>
      <c r="F1252">
        <f>((B1252*$B$41+C1252*$C$41+D1252*$D$41)+(B1252*$B$281+C1252*$C$281+D1252*$D$281)+(B1252*$B$521+C1252*$C$521+D1252*$D$521))/(1+$B$2)^(26)</f>
        <v/>
      </c>
      <c r="G1252">
        <f>((B1252*$B$761+C1252*$C$761+D1252*$D$761))/(1+$B$3)^(26)</f>
        <v/>
      </c>
    </row>
    <row r="1253">
      <c r="A1253" t="n">
        <v>28</v>
      </c>
      <c r="B1253">
        <f>IF($B$4="life-table",(B1006+B1007)/2,IF($B$4="beginning",B1006,B1007))</f>
        <v/>
      </c>
      <c r="C1253">
        <f>IF($B$4="life-table",(C1006+C1007)/2,IF($B$4="beginning",C1006,C1007))</f>
        <v/>
      </c>
      <c r="D1253">
        <f>IF($B$4="life-table",(D1006+D1007)/2,IF($B$4="beginning",D1006,D1007))</f>
        <v/>
      </c>
      <c r="F1253">
        <f>((B1253*$B$42+C1253*$C$42+D1253*$D$42)+(B1253*$B$282+C1253*$C$282+D1253*$D$282)+(B1253*$B$522+C1253*$C$522+D1253*$D$522))/(1+$B$2)^(27)</f>
        <v/>
      </c>
      <c r="G1253">
        <f>((B1253*$B$762+C1253*$C$762+D1253*$D$762))/(1+$B$3)^(27)</f>
        <v/>
      </c>
    </row>
    <row r="1254">
      <c r="A1254" t="n">
        <v>29</v>
      </c>
      <c r="B1254">
        <f>IF($B$4="life-table",(B1007+B1008)/2,IF($B$4="beginning",B1007,B1008))</f>
        <v/>
      </c>
      <c r="C1254">
        <f>IF($B$4="life-table",(C1007+C1008)/2,IF($B$4="beginning",C1007,C1008))</f>
        <v/>
      </c>
      <c r="D1254">
        <f>IF($B$4="life-table",(D1007+D1008)/2,IF($B$4="beginning",D1007,D1008))</f>
        <v/>
      </c>
      <c r="F1254">
        <f>((B1254*$B$43+C1254*$C$43+D1254*$D$43)+(B1254*$B$283+C1254*$C$283+D1254*$D$283)+(B1254*$B$523+C1254*$C$523+D1254*$D$523))/(1+$B$2)^(28)</f>
        <v/>
      </c>
      <c r="G1254">
        <f>((B1254*$B$763+C1254*$C$763+D1254*$D$763))/(1+$B$3)^(28)</f>
        <v/>
      </c>
    </row>
    <row r="1255">
      <c r="A1255" t="n">
        <v>30</v>
      </c>
      <c r="B1255">
        <f>IF($B$4="life-table",(B1008+B1009)/2,IF($B$4="beginning",B1008,B1009))</f>
        <v/>
      </c>
      <c r="C1255">
        <f>IF($B$4="life-table",(C1008+C1009)/2,IF($B$4="beginning",C1008,C1009))</f>
        <v/>
      </c>
      <c r="D1255">
        <f>IF($B$4="life-table",(D1008+D1009)/2,IF($B$4="beginning",D1008,D1009))</f>
        <v/>
      </c>
      <c r="F1255">
        <f>((B1255*$B$44+C1255*$C$44+D1255*$D$44)+(B1255*$B$284+C1255*$C$284+D1255*$D$284)+(B1255*$B$524+C1255*$C$524+D1255*$D$524))/(1+$B$2)^(29)</f>
        <v/>
      </c>
      <c r="G1255">
        <f>((B1255*$B$764+C1255*$C$764+D1255*$D$764))/(1+$B$3)^(29)</f>
        <v/>
      </c>
    </row>
    <row r="1256">
      <c r="A1256" t="n">
        <v>31</v>
      </c>
      <c r="B1256">
        <f>IF($B$4="life-table",(B1009+B1010)/2,IF($B$4="beginning",B1009,B1010))</f>
        <v/>
      </c>
      <c r="C1256">
        <f>IF($B$4="life-table",(C1009+C1010)/2,IF($B$4="beginning",C1009,C1010))</f>
        <v/>
      </c>
      <c r="D1256">
        <f>IF($B$4="life-table",(D1009+D1010)/2,IF($B$4="beginning",D1009,D1010))</f>
        <v/>
      </c>
      <c r="F1256">
        <f>((B1256*$B$45+C1256*$C$45+D1256*$D$45)+(B1256*$B$285+C1256*$C$285+D1256*$D$285)+(B1256*$B$525+C1256*$C$525+D1256*$D$525))/(1+$B$2)^(30)</f>
        <v/>
      </c>
      <c r="G1256">
        <f>((B1256*$B$765+C1256*$C$765+D1256*$D$765))/(1+$B$3)^(30)</f>
        <v/>
      </c>
    </row>
    <row r="1257">
      <c r="A1257" t="n">
        <v>32</v>
      </c>
      <c r="B1257">
        <f>IF($B$4="life-table",(B1010+B1011)/2,IF($B$4="beginning",B1010,B1011))</f>
        <v/>
      </c>
      <c r="C1257">
        <f>IF($B$4="life-table",(C1010+C1011)/2,IF($B$4="beginning",C1010,C1011))</f>
        <v/>
      </c>
      <c r="D1257">
        <f>IF($B$4="life-table",(D1010+D1011)/2,IF($B$4="beginning",D1010,D1011))</f>
        <v/>
      </c>
      <c r="F1257">
        <f>((B1257*$B$46+C1257*$C$46+D1257*$D$46)+(B1257*$B$286+C1257*$C$286+D1257*$D$286)+(B1257*$B$526+C1257*$C$526+D1257*$D$526))/(1+$B$2)^(31)</f>
        <v/>
      </c>
      <c r="G1257">
        <f>((B1257*$B$766+C1257*$C$766+D1257*$D$766))/(1+$B$3)^(31)</f>
        <v/>
      </c>
    </row>
    <row r="1258">
      <c r="A1258" t="n">
        <v>33</v>
      </c>
      <c r="B1258">
        <f>IF($B$4="life-table",(B1011+B1012)/2,IF($B$4="beginning",B1011,B1012))</f>
        <v/>
      </c>
      <c r="C1258">
        <f>IF($B$4="life-table",(C1011+C1012)/2,IF($B$4="beginning",C1011,C1012))</f>
        <v/>
      </c>
      <c r="D1258">
        <f>IF($B$4="life-table",(D1011+D1012)/2,IF($B$4="beginning",D1011,D1012))</f>
        <v/>
      </c>
      <c r="F1258">
        <f>((B1258*$B$47+C1258*$C$47+D1258*$D$47)+(B1258*$B$287+C1258*$C$287+D1258*$D$287)+(B1258*$B$527+C1258*$C$527+D1258*$D$527))/(1+$B$2)^(32)</f>
        <v/>
      </c>
      <c r="G1258">
        <f>((B1258*$B$767+C1258*$C$767+D1258*$D$767))/(1+$B$3)^(32)</f>
        <v/>
      </c>
    </row>
    <row r="1259">
      <c r="A1259" t="n">
        <v>34</v>
      </c>
      <c r="B1259">
        <f>IF($B$4="life-table",(B1012+B1013)/2,IF($B$4="beginning",B1012,B1013))</f>
        <v/>
      </c>
      <c r="C1259">
        <f>IF($B$4="life-table",(C1012+C1013)/2,IF($B$4="beginning",C1012,C1013))</f>
        <v/>
      </c>
      <c r="D1259">
        <f>IF($B$4="life-table",(D1012+D1013)/2,IF($B$4="beginning",D1012,D1013))</f>
        <v/>
      </c>
      <c r="F1259">
        <f>((B1259*$B$48+C1259*$C$48+D1259*$D$48)+(B1259*$B$288+C1259*$C$288+D1259*$D$288)+(B1259*$B$528+C1259*$C$528+D1259*$D$528))/(1+$B$2)^(33)</f>
        <v/>
      </c>
      <c r="G1259">
        <f>((B1259*$B$768+C1259*$C$768+D1259*$D$768))/(1+$B$3)^(33)</f>
        <v/>
      </c>
    </row>
    <row r="1260">
      <c r="A1260" t="n">
        <v>35</v>
      </c>
      <c r="B1260">
        <f>IF($B$4="life-table",(B1013+B1014)/2,IF($B$4="beginning",B1013,B1014))</f>
        <v/>
      </c>
      <c r="C1260">
        <f>IF($B$4="life-table",(C1013+C1014)/2,IF($B$4="beginning",C1013,C1014))</f>
        <v/>
      </c>
      <c r="D1260">
        <f>IF($B$4="life-table",(D1013+D1014)/2,IF($B$4="beginning",D1013,D1014))</f>
        <v/>
      </c>
      <c r="F1260">
        <f>((B1260*$B$49+C1260*$C$49+D1260*$D$49)+(B1260*$B$289+C1260*$C$289+D1260*$D$289)+(B1260*$B$529+C1260*$C$529+D1260*$D$529))/(1+$B$2)^(34)</f>
        <v/>
      </c>
      <c r="G1260">
        <f>((B1260*$B$769+C1260*$C$769+D1260*$D$769))/(1+$B$3)^(34)</f>
        <v/>
      </c>
    </row>
    <row r="1261">
      <c r="A1261" t="n">
        <v>36</v>
      </c>
      <c r="B1261">
        <f>IF($B$4="life-table",(B1014+B1015)/2,IF($B$4="beginning",B1014,B1015))</f>
        <v/>
      </c>
      <c r="C1261">
        <f>IF($B$4="life-table",(C1014+C1015)/2,IF($B$4="beginning",C1014,C1015))</f>
        <v/>
      </c>
      <c r="D1261">
        <f>IF($B$4="life-table",(D1014+D1015)/2,IF($B$4="beginning",D1014,D1015))</f>
        <v/>
      </c>
      <c r="F1261">
        <f>((B1261*$B$50+C1261*$C$50+D1261*$D$50)+(B1261*$B$290+C1261*$C$290+D1261*$D$290)+(B1261*$B$530+C1261*$C$530+D1261*$D$530))/(1+$B$2)^(35)</f>
        <v/>
      </c>
      <c r="G1261">
        <f>((B1261*$B$770+C1261*$C$770+D1261*$D$770))/(1+$B$3)^(35)</f>
        <v/>
      </c>
    </row>
    <row r="1262">
      <c r="A1262" t="n">
        <v>37</v>
      </c>
      <c r="B1262">
        <f>IF($B$4="life-table",(B1015+B1016)/2,IF($B$4="beginning",B1015,B1016))</f>
        <v/>
      </c>
      <c r="C1262">
        <f>IF($B$4="life-table",(C1015+C1016)/2,IF($B$4="beginning",C1015,C1016))</f>
        <v/>
      </c>
      <c r="D1262">
        <f>IF($B$4="life-table",(D1015+D1016)/2,IF($B$4="beginning",D1015,D1016))</f>
        <v/>
      </c>
      <c r="F1262">
        <f>((B1262*$B$51+C1262*$C$51+D1262*$D$51)+(B1262*$B$291+C1262*$C$291+D1262*$D$291)+(B1262*$B$531+C1262*$C$531+D1262*$D$531))/(1+$B$2)^(36)</f>
        <v/>
      </c>
      <c r="G1262">
        <f>((B1262*$B$771+C1262*$C$771+D1262*$D$771))/(1+$B$3)^(36)</f>
        <v/>
      </c>
    </row>
    <row r="1263">
      <c r="A1263" t="n">
        <v>38</v>
      </c>
      <c r="B1263">
        <f>IF($B$4="life-table",(B1016+B1017)/2,IF($B$4="beginning",B1016,B1017))</f>
        <v/>
      </c>
      <c r="C1263">
        <f>IF($B$4="life-table",(C1016+C1017)/2,IF($B$4="beginning",C1016,C1017))</f>
        <v/>
      </c>
      <c r="D1263">
        <f>IF($B$4="life-table",(D1016+D1017)/2,IF($B$4="beginning",D1016,D1017))</f>
        <v/>
      </c>
      <c r="F1263">
        <f>((B1263*$B$52+C1263*$C$52+D1263*$D$52)+(B1263*$B$292+C1263*$C$292+D1263*$D$292)+(B1263*$B$532+C1263*$C$532+D1263*$D$532))/(1+$B$2)^(37)</f>
        <v/>
      </c>
      <c r="G1263">
        <f>((B1263*$B$772+C1263*$C$772+D1263*$D$772))/(1+$B$3)^(37)</f>
        <v/>
      </c>
    </row>
    <row r="1264">
      <c r="A1264" t="n">
        <v>39</v>
      </c>
      <c r="B1264">
        <f>IF($B$4="life-table",(B1017+B1018)/2,IF($B$4="beginning",B1017,B1018))</f>
        <v/>
      </c>
      <c r="C1264">
        <f>IF($B$4="life-table",(C1017+C1018)/2,IF($B$4="beginning",C1017,C1018))</f>
        <v/>
      </c>
      <c r="D1264">
        <f>IF($B$4="life-table",(D1017+D1018)/2,IF($B$4="beginning",D1017,D1018))</f>
        <v/>
      </c>
      <c r="F1264">
        <f>((B1264*$B$53+C1264*$C$53+D1264*$D$53)+(B1264*$B$293+C1264*$C$293+D1264*$D$293)+(B1264*$B$533+C1264*$C$533+D1264*$D$533))/(1+$B$2)^(38)</f>
        <v/>
      </c>
      <c r="G1264">
        <f>((B1264*$B$773+C1264*$C$773+D1264*$D$773))/(1+$B$3)^(38)</f>
        <v/>
      </c>
    </row>
    <row r="1265">
      <c r="A1265" t="n">
        <v>40</v>
      </c>
      <c r="B1265">
        <f>IF($B$4="life-table",(B1018+B1019)/2,IF($B$4="beginning",B1018,B1019))</f>
        <v/>
      </c>
      <c r="C1265">
        <f>IF($B$4="life-table",(C1018+C1019)/2,IF($B$4="beginning",C1018,C1019))</f>
        <v/>
      </c>
      <c r="D1265">
        <f>IF($B$4="life-table",(D1018+D1019)/2,IF($B$4="beginning",D1018,D1019))</f>
        <v/>
      </c>
      <c r="F1265">
        <f>((B1265*$B$54+C1265*$C$54+D1265*$D$54)+(B1265*$B$294+C1265*$C$294+D1265*$D$294)+(B1265*$B$534+C1265*$C$534+D1265*$D$534))/(1+$B$2)^(39)</f>
        <v/>
      </c>
      <c r="G1265">
        <f>((B1265*$B$774+C1265*$C$774+D1265*$D$774))/(1+$B$3)^(39)</f>
        <v/>
      </c>
    </row>
    <row r="1266">
      <c r="A1266" t="n">
        <v>41</v>
      </c>
      <c r="B1266">
        <f>IF($B$4="life-table",(B1019+B1020)/2,IF($B$4="beginning",B1019,B1020))</f>
        <v/>
      </c>
      <c r="C1266">
        <f>IF($B$4="life-table",(C1019+C1020)/2,IF($B$4="beginning",C1019,C1020))</f>
        <v/>
      </c>
      <c r="D1266">
        <f>IF($B$4="life-table",(D1019+D1020)/2,IF($B$4="beginning",D1019,D1020))</f>
        <v/>
      </c>
      <c r="F1266">
        <f>((B1266*$B$55+C1266*$C$55+D1266*$D$55)+(B1266*$B$295+C1266*$C$295+D1266*$D$295)+(B1266*$B$535+C1266*$C$535+D1266*$D$535))/(1+$B$2)^(40)</f>
        <v/>
      </c>
      <c r="G1266">
        <f>((B1266*$B$775+C1266*$C$775+D1266*$D$775))/(1+$B$3)^(40)</f>
        <v/>
      </c>
    </row>
    <row r="1267">
      <c r="A1267" t="n">
        <v>42</v>
      </c>
      <c r="B1267">
        <f>IF($B$4="life-table",(B1020+B1021)/2,IF($B$4="beginning",B1020,B1021))</f>
        <v/>
      </c>
      <c r="C1267">
        <f>IF($B$4="life-table",(C1020+C1021)/2,IF($B$4="beginning",C1020,C1021))</f>
        <v/>
      </c>
      <c r="D1267">
        <f>IF($B$4="life-table",(D1020+D1021)/2,IF($B$4="beginning",D1020,D1021))</f>
        <v/>
      </c>
      <c r="F1267">
        <f>((B1267*$B$56+C1267*$C$56+D1267*$D$56)+(B1267*$B$296+C1267*$C$296+D1267*$D$296)+(B1267*$B$536+C1267*$C$536+D1267*$D$536))/(1+$B$2)^(41)</f>
        <v/>
      </c>
      <c r="G1267">
        <f>((B1267*$B$776+C1267*$C$776+D1267*$D$776))/(1+$B$3)^(41)</f>
        <v/>
      </c>
    </row>
    <row r="1268">
      <c r="A1268" t="n">
        <v>43</v>
      </c>
      <c r="B1268">
        <f>IF($B$4="life-table",(B1021+B1022)/2,IF($B$4="beginning",B1021,B1022))</f>
        <v/>
      </c>
      <c r="C1268">
        <f>IF($B$4="life-table",(C1021+C1022)/2,IF($B$4="beginning",C1021,C1022))</f>
        <v/>
      </c>
      <c r="D1268">
        <f>IF($B$4="life-table",(D1021+D1022)/2,IF($B$4="beginning",D1021,D1022))</f>
        <v/>
      </c>
      <c r="F1268">
        <f>((B1268*$B$57+C1268*$C$57+D1268*$D$57)+(B1268*$B$297+C1268*$C$297+D1268*$D$297)+(B1268*$B$537+C1268*$C$537+D1268*$D$537))/(1+$B$2)^(42)</f>
        <v/>
      </c>
      <c r="G1268">
        <f>((B1268*$B$777+C1268*$C$777+D1268*$D$777))/(1+$B$3)^(42)</f>
        <v/>
      </c>
    </row>
    <row r="1269">
      <c r="A1269" t="n">
        <v>44</v>
      </c>
      <c r="B1269">
        <f>IF($B$4="life-table",(B1022+B1023)/2,IF($B$4="beginning",B1022,B1023))</f>
        <v/>
      </c>
      <c r="C1269">
        <f>IF($B$4="life-table",(C1022+C1023)/2,IF($B$4="beginning",C1022,C1023))</f>
        <v/>
      </c>
      <c r="D1269">
        <f>IF($B$4="life-table",(D1022+D1023)/2,IF($B$4="beginning",D1022,D1023))</f>
        <v/>
      </c>
      <c r="F1269">
        <f>((B1269*$B$58+C1269*$C$58+D1269*$D$58)+(B1269*$B$298+C1269*$C$298+D1269*$D$298)+(B1269*$B$538+C1269*$C$538+D1269*$D$538))/(1+$B$2)^(43)</f>
        <v/>
      </c>
      <c r="G1269">
        <f>((B1269*$B$778+C1269*$C$778+D1269*$D$778))/(1+$B$3)^(43)</f>
        <v/>
      </c>
    </row>
    <row r="1270">
      <c r="A1270" t="n">
        <v>45</v>
      </c>
      <c r="B1270">
        <f>IF($B$4="life-table",(B1023+B1024)/2,IF($B$4="beginning",B1023,B1024))</f>
        <v/>
      </c>
      <c r="C1270">
        <f>IF($B$4="life-table",(C1023+C1024)/2,IF($B$4="beginning",C1023,C1024))</f>
        <v/>
      </c>
      <c r="D1270">
        <f>IF($B$4="life-table",(D1023+D1024)/2,IF($B$4="beginning",D1023,D1024))</f>
        <v/>
      </c>
      <c r="F1270">
        <f>((B1270*$B$59+C1270*$C$59+D1270*$D$59)+(B1270*$B$299+C1270*$C$299+D1270*$D$299)+(B1270*$B$539+C1270*$C$539+D1270*$D$539))/(1+$B$2)^(44)</f>
        <v/>
      </c>
      <c r="G1270">
        <f>((B1270*$B$779+C1270*$C$779+D1270*$D$779))/(1+$B$3)^(44)</f>
        <v/>
      </c>
    </row>
    <row r="1271">
      <c r="A1271" t="n">
        <v>46</v>
      </c>
      <c r="B1271">
        <f>IF($B$4="life-table",(B1024+B1025)/2,IF($B$4="beginning",B1024,B1025))</f>
        <v/>
      </c>
      <c r="C1271">
        <f>IF($B$4="life-table",(C1024+C1025)/2,IF($B$4="beginning",C1024,C1025))</f>
        <v/>
      </c>
      <c r="D1271">
        <f>IF($B$4="life-table",(D1024+D1025)/2,IF($B$4="beginning",D1024,D1025))</f>
        <v/>
      </c>
      <c r="F1271">
        <f>((B1271*$B$60+C1271*$C$60+D1271*$D$60)+(B1271*$B$300+C1271*$C$300+D1271*$D$300)+(B1271*$B$540+C1271*$C$540+D1271*$D$540))/(1+$B$2)^(45)</f>
        <v/>
      </c>
      <c r="G1271">
        <f>((B1271*$B$780+C1271*$C$780+D1271*$D$780))/(1+$B$3)^(45)</f>
        <v/>
      </c>
    </row>
    <row r="1272">
      <c r="A1272" t="n">
        <v>47</v>
      </c>
      <c r="B1272">
        <f>IF($B$4="life-table",(B1025+B1026)/2,IF($B$4="beginning",B1025,B1026))</f>
        <v/>
      </c>
      <c r="C1272">
        <f>IF($B$4="life-table",(C1025+C1026)/2,IF($B$4="beginning",C1025,C1026))</f>
        <v/>
      </c>
      <c r="D1272">
        <f>IF($B$4="life-table",(D1025+D1026)/2,IF($B$4="beginning",D1025,D1026))</f>
        <v/>
      </c>
      <c r="F1272">
        <f>((B1272*$B$61+C1272*$C$61+D1272*$D$61)+(B1272*$B$301+C1272*$C$301+D1272*$D$301)+(B1272*$B$541+C1272*$C$541+D1272*$D$541))/(1+$B$2)^(46)</f>
        <v/>
      </c>
      <c r="G1272">
        <f>((B1272*$B$781+C1272*$C$781+D1272*$D$781))/(1+$B$3)^(46)</f>
        <v/>
      </c>
    </row>
    <row r="1273">
      <c r="A1273" t="n">
        <v>48</v>
      </c>
      <c r="B1273">
        <f>IF($B$4="life-table",(B1026+B1027)/2,IF($B$4="beginning",B1026,B1027))</f>
        <v/>
      </c>
      <c r="C1273">
        <f>IF($B$4="life-table",(C1026+C1027)/2,IF($B$4="beginning",C1026,C1027))</f>
        <v/>
      </c>
      <c r="D1273">
        <f>IF($B$4="life-table",(D1026+D1027)/2,IF($B$4="beginning",D1026,D1027))</f>
        <v/>
      </c>
      <c r="F1273">
        <f>((B1273*$B$62+C1273*$C$62+D1273*$D$62)+(B1273*$B$302+C1273*$C$302+D1273*$D$302)+(B1273*$B$542+C1273*$C$542+D1273*$D$542))/(1+$B$2)^(47)</f>
        <v/>
      </c>
      <c r="G1273">
        <f>((B1273*$B$782+C1273*$C$782+D1273*$D$782))/(1+$B$3)^(47)</f>
        <v/>
      </c>
    </row>
    <row r="1274">
      <c r="A1274" t="n">
        <v>49</v>
      </c>
      <c r="B1274">
        <f>IF($B$4="life-table",(B1027+B1028)/2,IF($B$4="beginning",B1027,B1028))</f>
        <v/>
      </c>
      <c r="C1274">
        <f>IF($B$4="life-table",(C1027+C1028)/2,IF($B$4="beginning",C1027,C1028))</f>
        <v/>
      </c>
      <c r="D1274">
        <f>IF($B$4="life-table",(D1027+D1028)/2,IF($B$4="beginning",D1027,D1028))</f>
        <v/>
      </c>
      <c r="F1274">
        <f>((B1274*$B$63+C1274*$C$63+D1274*$D$63)+(B1274*$B$303+C1274*$C$303+D1274*$D$303)+(B1274*$B$543+C1274*$C$543+D1274*$D$543))/(1+$B$2)^(48)</f>
        <v/>
      </c>
      <c r="G1274">
        <f>((B1274*$B$783+C1274*$C$783+D1274*$D$783))/(1+$B$3)^(48)</f>
        <v/>
      </c>
    </row>
    <row r="1275">
      <c r="A1275" t="n">
        <v>50</v>
      </c>
      <c r="B1275">
        <f>IF($B$4="life-table",(B1028+B1029)/2,IF($B$4="beginning",B1028,B1029))</f>
        <v/>
      </c>
      <c r="C1275">
        <f>IF($B$4="life-table",(C1028+C1029)/2,IF($B$4="beginning",C1028,C1029))</f>
        <v/>
      </c>
      <c r="D1275">
        <f>IF($B$4="life-table",(D1028+D1029)/2,IF($B$4="beginning",D1028,D1029))</f>
        <v/>
      </c>
      <c r="F1275">
        <f>((B1275*$B$64+C1275*$C$64+D1275*$D$64)+(B1275*$B$304+C1275*$C$304+D1275*$D$304)+(B1275*$B$544+C1275*$C$544+D1275*$D$544))/(1+$B$2)^(49)</f>
        <v/>
      </c>
      <c r="G1275">
        <f>((B1275*$B$784+C1275*$C$784+D1275*$D$784))/(1+$B$3)^(49)</f>
        <v/>
      </c>
    </row>
    <row r="1276">
      <c r="A1276" t="n">
        <v>51</v>
      </c>
      <c r="B1276">
        <f>IF($B$4="life-table",(B1029+B1030)/2,IF($B$4="beginning",B1029,B1030))</f>
        <v/>
      </c>
      <c r="C1276">
        <f>IF($B$4="life-table",(C1029+C1030)/2,IF($B$4="beginning",C1029,C1030))</f>
        <v/>
      </c>
      <c r="D1276">
        <f>IF($B$4="life-table",(D1029+D1030)/2,IF($B$4="beginning",D1029,D1030))</f>
        <v/>
      </c>
      <c r="F1276">
        <f>((B1276*$B$65+C1276*$C$65+D1276*$D$65)+(B1276*$B$305+C1276*$C$305+D1276*$D$305)+(B1276*$B$545+C1276*$C$545+D1276*$D$545))/(1+$B$2)^(50)</f>
        <v/>
      </c>
      <c r="G1276">
        <f>((B1276*$B$785+C1276*$C$785+D1276*$D$785))/(1+$B$3)^(50)</f>
        <v/>
      </c>
    </row>
    <row r="1277">
      <c r="A1277" t="n">
        <v>52</v>
      </c>
      <c r="B1277">
        <f>IF($B$4="life-table",(B1030+B1031)/2,IF($B$4="beginning",B1030,B1031))</f>
        <v/>
      </c>
      <c r="C1277">
        <f>IF($B$4="life-table",(C1030+C1031)/2,IF($B$4="beginning",C1030,C1031))</f>
        <v/>
      </c>
      <c r="D1277">
        <f>IF($B$4="life-table",(D1030+D1031)/2,IF($B$4="beginning",D1030,D1031))</f>
        <v/>
      </c>
      <c r="F1277">
        <f>((B1277*$B$66+C1277*$C$66+D1277*$D$66)+(B1277*$B$306+C1277*$C$306+D1277*$D$306)+(B1277*$B$546+C1277*$C$546+D1277*$D$546))/(1+$B$2)^(51)</f>
        <v/>
      </c>
      <c r="G1277">
        <f>((B1277*$B$786+C1277*$C$786+D1277*$D$786))/(1+$B$3)^(51)</f>
        <v/>
      </c>
    </row>
    <row r="1278">
      <c r="A1278" t="n">
        <v>53</v>
      </c>
      <c r="B1278">
        <f>IF($B$4="life-table",(B1031+B1032)/2,IF($B$4="beginning",B1031,B1032))</f>
        <v/>
      </c>
      <c r="C1278">
        <f>IF($B$4="life-table",(C1031+C1032)/2,IF($B$4="beginning",C1031,C1032))</f>
        <v/>
      </c>
      <c r="D1278">
        <f>IF($B$4="life-table",(D1031+D1032)/2,IF($B$4="beginning",D1031,D1032))</f>
        <v/>
      </c>
      <c r="F1278">
        <f>((B1278*$B$67+C1278*$C$67+D1278*$D$67)+(B1278*$B$307+C1278*$C$307+D1278*$D$307)+(B1278*$B$547+C1278*$C$547+D1278*$D$547))/(1+$B$2)^(52)</f>
        <v/>
      </c>
      <c r="G1278">
        <f>((B1278*$B$787+C1278*$C$787+D1278*$D$787))/(1+$B$3)^(52)</f>
        <v/>
      </c>
    </row>
    <row r="1279">
      <c r="A1279" t="n">
        <v>54</v>
      </c>
      <c r="B1279">
        <f>IF($B$4="life-table",(B1032+B1033)/2,IF($B$4="beginning",B1032,B1033))</f>
        <v/>
      </c>
      <c r="C1279">
        <f>IF($B$4="life-table",(C1032+C1033)/2,IF($B$4="beginning",C1032,C1033))</f>
        <v/>
      </c>
      <c r="D1279">
        <f>IF($B$4="life-table",(D1032+D1033)/2,IF($B$4="beginning",D1032,D1033))</f>
        <v/>
      </c>
      <c r="F1279">
        <f>((B1279*$B$68+C1279*$C$68+D1279*$D$68)+(B1279*$B$308+C1279*$C$308+D1279*$D$308)+(B1279*$B$548+C1279*$C$548+D1279*$D$548))/(1+$B$2)^(53)</f>
        <v/>
      </c>
      <c r="G1279">
        <f>((B1279*$B$788+C1279*$C$788+D1279*$D$788))/(1+$B$3)^(53)</f>
        <v/>
      </c>
    </row>
    <row r="1280">
      <c r="A1280" t="n">
        <v>55</v>
      </c>
      <c r="B1280">
        <f>IF($B$4="life-table",(B1033+B1034)/2,IF($B$4="beginning",B1033,B1034))</f>
        <v/>
      </c>
      <c r="C1280">
        <f>IF($B$4="life-table",(C1033+C1034)/2,IF($B$4="beginning",C1033,C1034))</f>
        <v/>
      </c>
      <c r="D1280">
        <f>IF($B$4="life-table",(D1033+D1034)/2,IF($B$4="beginning",D1033,D1034))</f>
        <v/>
      </c>
      <c r="F1280">
        <f>((B1280*$B$69+C1280*$C$69+D1280*$D$69)+(B1280*$B$309+C1280*$C$309+D1280*$D$309)+(B1280*$B$549+C1280*$C$549+D1280*$D$549))/(1+$B$2)^(54)</f>
        <v/>
      </c>
      <c r="G1280">
        <f>((B1280*$B$789+C1280*$C$789+D1280*$D$789))/(1+$B$3)^(54)</f>
        <v/>
      </c>
    </row>
    <row r="1281">
      <c r="A1281" t="n">
        <v>56</v>
      </c>
      <c r="B1281">
        <f>IF($B$4="life-table",(B1034+B1035)/2,IF($B$4="beginning",B1034,B1035))</f>
        <v/>
      </c>
      <c r="C1281">
        <f>IF($B$4="life-table",(C1034+C1035)/2,IF($B$4="beginning",C1034,C1035))</f>
        <v/>
      </c>
      <c r="D1281">
        <f>IF($B$4="life-table",(D1034+D1035)/2,IF($B$4="beginning",D1034,D1035))</f>
        <v/>
      </c>
      <c r="F1281">
        <f>((B1281*$B$70+C1281*$C$70+D1281*$D$70)+(B1281*$B$310+C1281*$C$310+D1281*$D$310)+(B1281*$B$550+C1281*$C$550+D1281*$D$550))/(1+$B$2)^(55)</f>
        <v/>
      </c>
      <c r="G1281">
        <f>((B1281*$B$790+C1281*$C$790+D1281*$D$790))/(1+$B$3)^(55)</f>
        <v/>
      </c>
    </row>
    <row r="1282">
      <c r="A1282" t="n">
        <v>57</v>
      </c>
      <c r="B1282">
        <f>IF($B$4="life-table",(B1035+B1036)/2,IF($B$4="beginning",B1035,B1036))</f>
        <v/>
      </c>
      <c r="C1282">
        <f>IF($B$4="life-table",(C1035+C1036)/2,IF($B$4="beginning",C1035,C1036))</f>
        <v/>
      </c>
      <c r="D1282">
        <f>IF($B$4="life-table",(D1035+D1036)/2,IF($B$4="beginning",D1035,D1036))</f>
        <v/>
      </c>
      <c r="F1282">
        <f>((B1282*$B$71+C1282*$C$71+D1282*$D$71)+(B1282*$B$311+C1282*$C$311+D1282*$D$311)+(B1282*$B$551+C1282*$C$551+D1282*$D$551))/(1+$B$2)^(56)</f>
        <v/>
      </c>
      <c r="G1282">
        <f>((B1282*$B$791+C1282*$C$791+D1282*$D$791))/(1+$B$3)^(56)</f>
        <v/>
      </c>
    </row>
    <row r="1283">
      <c r="A1283" t="n">
        <v>58</v>
      </c>
      <c r="B1283">
        <f>IF($B$4="life-table",(B1036+B1037)/2,IF($B$4="beginning",B1036,B1037))</f>
        <v/>
      </c>
      <c r="C1283">
        <f>IF($B$4="life-table",(C1036+C1037)/2,IF($B$4="beginning",C1036,C1037))</f>
        <v/>
      </c>
      <c r="D1283">
        <f>IF($B$4="life-table",(D1036+D1037)/2,IF($B$4="beginning",D1036,D1037))</f>
        <v/>
      </c>
      <c r="F1283">
        <f>((B1283*$B$72+C1283*$C$72+D1283*$D$72)+(B1283*$B$312+C1283*$C$312+D1283*$D$312)+(B1283*$B$552+C1283*$C$552+D1283*$D$552))/(1+$B$2)^(57)</f>
        <v/>
      </c>
      <c r="G1283">
        <f>((B1283*$B$792+C1283*$C$792+D1283*$D$792))/(1+$B$3)^(57)</f>
        <v/>
      </c>
    </row>
    <row r="1284">
      <c r="A1284" t="n">
        <v>59</v>
      </c>
      <c r="B1284">
        <f>IF($B$4="life-table",(B1037+B1038)/2,IF($B$4="beginning",B1037,B1038))</f>
        <v/>
      </c>
      <c r="C1284">
        <f>IF($B$4="life-table",(C1037+C1038)/2,IF($B$4="beginning",C1037,C1038))</f>
        <v/>
      </c>
      <c r="D1284">
        <f>IF($B$4="life-table",(D1037+D1038)/2,IF($B$4="beginning",D1037,D1038))</f>
        <v/>
      </c>
      <c r="F1284">
        <f>((B1284*$B$73+C1284*$C$73+D1284*$D$73)+(B1284*$B$313+C1284*$C$313+D1284*$D$313)+(B1284*$B$553+C1284*$C$553+D1284*$D$553))/(1+$B$2)^(58)</f>
        <v/>
      </c>
      <c r="G1284">
        <f>((B1284*$B$793+C1284*$C$793+D1284*$D$793))/(1+$B$3)^(58)</f>
        <v/>
      </c>
    </row>
    <row r="1285">
      <c r="A1285" t="n">
        <v>60</v>
      </c>
      <c r="B1285">
        <f>IF($B$4="life-table",(B1038+B1039)/2,IF($B$4="beginning",B1038,B1039))</f>
        <v/>
      </c>
      <c r="C1285">
        <f>IF($B$4="life-table",(C1038+C1039)/2,IF($B$4="beginning",C1038,C1039))</f>
        <v/>
      </c>
      <c r="D1285">
        <f>IF($B$4="life-table",(D1038+D1039)/2,IF($B$4="beginning",D1038,D1039))</f>
        <v/>
      </c>
      <c r="F1285">
        <f>((B1285*$B$74+C1285*$C$74+D1285*$D$74)+(B1285*$B$314+C1285*$C$314+D1285*$D$314)+(B1285*$B$554+C1285*$C$554+D1285*$D$554))/(1+$B$2)^(59)</f>
        <v/>
      </c>
      <c r="G1285">
        <f>((B1285*$B$794+C1285*$C$794+D1285*$D$794))/(1+$B$3)^(59)</f>
        <v/>
      </c>
    </row>
    <row r="1286">
      <c r="A1286" t="n">
        <v>61</v>
      </c>
      <c r="B1286">
        <f>IF($B$4="life-table",(B1039+B1040)/2,IF($B$4="beginning",B1039,B1040))</f>
        <v/>
      </c>
      <c r="C1286">
        <f>IF($B$4="life-table",(C1039+C1040)/2,IF($B$4="beginning",C1039,C1040))</f>
        <v/>
      </c>
      <c r="D1286">
        <f>IF($B$4="life-table",(D1039+D1040)/2,IF($B$4="beginning",D1039,D1040))</f>
        <v/>
      </c>
      <c r="F1286">
        <f>((B1286*$B$75+C1286*$C$75+D1286*$D$75)+(B1286*$B$315+C1286*$C$315+D1286*$D$315)+(B1286*$B$555+C1286*$C$555+D1286*$D$555))/(1+$B$2)^(60)</f>
        <v/>
      </c>
      <c r="G1286">
        <f>((B1286*$B$795+C1286*$C$795+D1286*$D$795))/(1+$B$3)^(60)</f>
        <v/>
      </c>
    </row>
    <row r="1287">
      <c r="A1287" t="n">
        <v>62</v>
      </c>
      <c r="B1287">
        <f>IF($B$4="life-table",(B1040+B1041)/2,IF($B$4="beginning",B1040,B1041))</f>
        <v/>
      </c>
      <c r="C1287">
        <f>IF($B$4="life-table",(C1040+C1041)/2,IF($B$4="beginning",C1040,C1041))</f>
        <v/>
      </c>
      <c r="D1287">
        <f>IF($B$4="life-table",(D1040+D1041)/2,IF($B$4="beginning",D1040,D1041))</f>
        <v/>
      </c>
      <c r="F1287">
        <f>((B1287*$B$76+C1287*$C$76+D1287*$D$76)+(B1287*$B$316+C1287*$C$316+D1287*$D$316)+(B1287*$B$556+C1287*$C$556+D1287*$D$556))/(1+$B$2)^(61)</f>
        <v/>
      </c>
      <c r="G1287">
        <f>((B1287*$B$796+C1287*$C$796+D1287*$D$796))/(1+$B$3)^(61)</f>
        <v/>
      </c>
    </row>
    <row r="1288">
      <c r="A1288" t="n">
        <v>63</v>
      </c>
      <c r="B1288">
        <f>IF($B$4="life-table",(B1041+B1042)/2,IF($B$4="beginning",B1041,B1042))</f>
        <v/>
      </c>
      <c r="C1288">
        <f>IF($B$4="life-table",(C1041+C1042)/2,IF($B$4="beginning",C1041,C1042))</f>
        <v/>
      </c>
      <c r="D1288">
        <f>IF($B$4="life-table",(D1041+D1042)/2,IF($B$4="beginning",D1041,D1042))</f>
        <v/>
      </c>
      <c r="F1288">
        <f>((B1288*$B$77+C1288*$C$77+D1288*$D$77)+(B1288*$B$317+C1288*$C$317+D1288*$D$317)+(B1288*$B$557+C1288*$C$557+D1288*$D$557))/(1+$B$2)^(62)</f>
        <v/>
      </c>
      <c r="G1288">
        <f>((B1288*$B$797+C1288*$C$797+D1288*$D$797))/(1+$B$3)^(62)</f>
        <v/>
      </c>
    </row>
    <row r="1289">
      <c r="A1289" t="n">
        <v>64</v>
      </c>
      <c r="B1289">
        <f>IF($B$4="life-table",(B1042+B1043)/2,IF($B$4="beginning",B1042,B1043))</f>
        <v/>
      </c>
      <c r="C1289">
        <f>IF($B$4="life-table",(C1042+C1043)/2,IF($B$4="beginning",C1042,C1043))</f>
        <v/>
      </c>
      <c r="D1289">
        <f>IF($B$4="life-table",(D1042+D1043)/2,IF($B$4="beginning",D1042,D1043))</f>
        <v/>
      </c>
      <c r="F1289">
        <f>((B1289*$B$78+C1289*$C$78+D1289*$D$78)+(B1289*$B$318+C1289*$C$318+D1289*$D$318)+(B1289*$B$558+C1289*$C$558+D1289*$D$558))/(1+$B$2)^(63)</f>
        <v/>
      </c>
      <c r="G1289">
        <f>((B1289*$B$798+C1289*$C$798+D1289*$D$798))/(1+$B$3)^(63)</f>
        <v/>
      </c>
    </row>
    <row r="1290">
      <c r="A1290" t="n">
        <v>65</v>
      </c>
      <c r="B1290">
        <f>IF($B$4="life-table",(B1043+B1044)/2,IF($B$4="beginning",B1043,B1044))</f>
        <v/>
      </c>
      <c r="C1290">
        <f>IF($B$4="life-table",(C1043+C1044)/2,IF($B$4="beginning",C1043,C1044))</f>
        <v/>
      </c>
      <c r="D1290">
        <f>IF($B$4="life-table",(D1043+D1044)/2,IF($B$4="beginning",D1043,D1044))</f>
        <v/>
      </c>
      <c r="F1290">
        <f>((B1290*$B$79+C1290*$C$79+D1290*$D$79)+(B1290*$B$319+C1290*$C$319+D1290*$D$319)+(B1290*$B$559+C1290*$C$559+D1290*$D$559))/(1+$B$2)^(64)</f>
        <v/>
      </c>
      <c r="G1290">
        <f>((B1290*$B$799+C1290*$C$799+D1290*$D$799))/(1+$B$3)^(64)</f>
        <v/>
      </c>
    </row>
    <row r="1291">
      <c r="A1291" t="n">
        <v>66</v>
      </c>
      <c r="B1291">
        <f>IF($B$4="life-table",(B1044+B1045)/2,IF($B$4="beginning",B1044,B1045))</f>
        <v/>
      </c>
      <c r="C1291">
        <f>IF($B$4="life-table",(C1044+C1045)/2,IF($B$4="beginning",C1044,C1045))</f>
        <v/>
      </c>
      <c r="D1291">
        <f>IF($B$4="life-table",(D1044+D1045)/2,IF($B$4="beginning",D1044,D1045))</f>
        <v/>
      </c>
      <c r="F1291">
        <f>((B1291*$B$80+C1291*$C$80+D1291*$D$80)+(B1291*$B$320+C1291*$C$320+D1291*$D$320)+(B1291*$B$560+C1291*$C$560+D1291*$D$560))/(1+$B$2)^(65)</f>
        <v/>
      </c>
      <c r="G1291">
        <f>((B1291*$B$800+C1291*$C$800+D1291*$D$800))/(1+$B$3)^(65)</f>
        <v/>
      </c>
    </row>
    <row r="1292">
      <c r="A1292" t="n">
        <v>67</v>
      </c>
      <c r="B1292">
        <f>IF($B$4="life-table",(B1045+B1046)/2,IF($B$4="beginning",B1045,B1046))</f>
        <v/>
      </c>
      <c r="C1292">
        <f>IF($B$4="life-table",(C1045+C1046)/2,IF($B$4="beginning",C1045,C1046))</f>
        <v/>
      </c>
      <c r="D1292">
        <f>IF($B$4="life-table",(D1045+D1046)/2,IF($B$4="beginning",D1045,D1046))</f>
        <v/>
      </c>
      <c r="F1292">
        <f>((B1292*$B$81+C1292*$C$81+D1292*$D$81)+(B1292*$B$321+C1292*$C$321+D1292*$D$321)+(B1292*$B$561+C1292*$C$561+D1292*$D$561))/(1+$B$2)^(66)</f>
        <v/>
      </c>
      <c r="G1292">
        <f>((B1292*$B$801+C1292*$C$801+D1292*$D$801))/(1+$B$3)^(66)</f>
        <v/>
      </c>
    </row>
    <row r="1293">
      <c r="A1293" t="n">
        <v>68</v>
      </c>
      <c r="B1293">
        <f>IF($B$4="life-table",(B1046+B1047)/2,IF($B$4="beginning",B1046,B1047))</f>
        <v/>
      </c>
      <c r="C1293">
        <f>IF($B$4="life-table",(C1046+C1047)/2,IF($B$4="beginning",C1046,C1047))</f>
        <v/>
      </c>
      <c r="D1293">
        <f>IF($B$4="life-table",(D1046+D1047)/2,IF($B$4="beginning",D1046,D1047))</f>
        <v/>
      </c>
      <c r="F1293">
        <f>((B1293*$B$82+C1293*$C$82+D1293*$D$82)+(B1293*$B$322+C1293*$C$322+D1293*$D$322)+(B1293*$B$562+C1293*$C$562+D1293*$D$562))/(1+$B$2)^(67)</f>
        <v/>
      </c>
      <c r="G1293">
        <f>((B1293*$B$802+C1293*$C$802+D1293*$D$802))/(1+$B$3)^(67)</f>
        <v/>
      </c>
    </row>
    <row r="1294">
      <c r="A1294" t="n">
        <v>69</v>
      </c>
      <c r="B1294">
        <f>IF($B$4="life-table",(B1047+B1048)/2,IF($B$4="beginning",B1047,B1048))</f>
        <v/>
      </c>
      <c r="C1294">
        <f>IF($B$4="life-table",(C1047+C1048)/2,IF($B$4="beginning",C1047,C1048))</f>
        <v/>
      </c>
      <c r="D1294">
        <f>IF($B$4="life-table",(D1047+D1048)/2,IF($B$4="beginning",D1047,D1048))</f>
        <v/>
      </c>
      <c r="F1294">
        <f>((B1294*$B$83+C1294*$C$83+D1294*$D$83)+(B1294*$B$323+C1294*$C$323+D1294*$D$323)+(B1294*$B$563+C1294*$C$563+D1294*$D$563))/(1+$B$2)^(68)</f>
        <v/>
      </c>
      <c r="G1294">
        <f>((B1294*$B$803+C1294*$C$803+D1294*$D$803))/(1+$B$3)^(68)</f>
        <v/>
      </c>
    </row>
    <row r="1295">
      <c r="A1295" t="n">
        <v>70</v>
      </c>
      <c r="B1295">
        <f>IF($B$4="life-table",(B1048+B1049)/2,IF($B$4="beginning",B1048,B1049))</f>
        <v/>
      </c>
      <c r="C1295">
        <f>IF($B$4="life-table",(C1048+C1049)/2,IF($B$4="beginning",C1048,C1049))</f>
        <v/>
      </c>
      <c r="D1295">
        <f>IF($B$4="life-table",(D1048+D1049)/2,IF($B$4="beginning",D1048,D1049))</f>
        <v/>
      </c>
      <c r="F1295">
        <f>((B1295*$B$84+C1295*$C$84+D1295*$D$84)+(B1295*$B$324+C1295*$C$324+D1295*$D$324)+(B1295*$B$564+C1295*$C$564+D1295*$D$564))/(1+$B$2)^(69)</f>
        <v/>
      </c>
      <c r="G1295">
        <f>((B1295*$B$804+C1295*$C$804+D1295*$D$804))/(1+$B$3)^(69)</f>
        <v/>
      </c>
    </row>
    <row r="1296">
      <c r="A1296" t="n">
        <v>71</v>
      </c>
      <c r="B1296">
        <f>IF($B$4="life-table",(B1049+B1050)/2,IF($B$4="beginning",B1049,B1050))</f>
        <v/>
      </c>
      <c r="C1296">
        <f>IF($B$4="life-table",(C1049+C1050)/2,IF($B$4="beginning",C1049,C1050))</f>
        <v/>
      </c>
      <c r="D1296">
        <f>IF($B$4="life-table",(D1049+D1050)/2,IF($B$4="beginning",D1049,D1050))</f>
        <v/>
      </c>
      <c r="F1296">
        <f>((B1296*$B$85+C1296*$C$85+D1296*$D$85)+(B1296*$B$325+C1296*$C$325+D1296*$D$325)+(B1296*$B$565+C1296*$C$565+D1296*$D$565))/(1+$B$2)^(70)</f>
        <v/>
      </c>
      <c r="G1296">
        <f>((B1296*$B$805+C1296*$C$805+D1296*$D$805))/(1+$B$3)^(70)</f>
        <v/>
      </c>
    </row>
    <row r="1297">
      <c r="A1297" t="n">
        <v>72</v>
      </c>
      <c r="B1297">
        <f>IF($B$4="life-table",(B1050+B1051)/2,IF($B$4="beginning",B1050,B1051))</f>
        <v/>
      </c>
      <c r="C1297">
        <f>IF($B$4="life-table",(C1050+C1051)/2,IF($B$4="beginning",C1050,C1051))</f>
        <v/>
      </c>
      <c r="D1297">
        <f>IF($B$4="life-table",(D1050+D1051)/2,IF($B$4="beginning",D1050,D1051))</f>
        <v/>
      </c>
      <c r="F1297">
        <f>((B1297*$B$86+C1297*$C$86+D1297*$D$86)+(B1297*$B$326+C1297*$C$326+D1297*$D$326)+(B1297*$B$566+C1297*$C$566+D1297*$D$566))/(1+$B$2)^(71)</f>
        <v/>
      </c>
      <c r="G1297">
        <f>((B1297*$B$806+C1297*$C$806+D1297*$D$806))/(1+$B$3)^(71)</f>
        <v/>
      </c>
    </row>
    <row r="1298">
      <c r="A1298" t="n">
        <v>73</v>
      </c>
      <c r="B1298">
        <f>IF($B$4="life-table",(B1051+B1052)/2,IF($B$4="beginning",B1051,B1052))</f>
        <v/>
      </c>
      <c r="C1298">
        <f>IF($B$4="life-table",(C1051+C1052)/2,IF($B$4="beginning",C1051,C1052))</f>
        <v/>
      </c>
      <c r="D1298">
        <f>IF($B$4="life-table",(D1051+D1052)/2,IF($B$4="beginning",D1051,D1052))</f>
        <v/>
      </c>
      <c r="F1298">
        <f>((B1298*$B$87+C1298*$C$87+D1298*$D$87)+(B1298*$B$327+C1298*$C$327+D1298*$D$327)+(B1298*$B$567+C1298*$C$567+D1298*$D$567))/(1+$B$2)^(72)</f>
        <v/>
      </c>
      <c r="G1298">
        <f>((B1298*$B$807+C1298*$C$807+D1298*$D$807))/(1+$B$3)^(72)</f>
        <v/>
      </c>
    </row>
    <row r="1299">
      <c r="A1299" t="n">
        <v>74</v>
      </c>
      <c r="B1299">
        <f>IF($B$4="life-table",(B1052+B1053)/2,IF($B$4="beginning",B1052,B1053))</f>
        <v/>
      </c>
      <c r="C1299">
        <f>IF($B$4="life-table",(C1052+C1053)/2,IF($B$4="beginning",C1052,C1053))</f>
        <v/>
      </c>
      <c r="D1299">
        <f>IF($B$4="life-table",(D1052+D1053)/2,IF($B$4="beginning",D1052,D1053))</f>
        <v/>
      </c>
      <c r="F1299">
        <f>((B1299*$B$88+C1299*$C$88+D1299*$D$88)+(B1299*$B$328+C1299*$C$328+D1299*$D$328)+(B1299*$B$568+C1299*$C$568+D1299*$D$568))/(1+$B$2)^(73)</f>
        <v/>
      </c>
      <c r="G1299">
        <f>((B1299*$B$808+C1299*$C$808+D1299*$D$808))/(1+$B$3)^(73)</f>
        <v/>
      </c>
    </row>
    <row r="1300">
      <c r="A1300" t="n">
        <v>75</v>
      </c>
      <c r="B1300">
        <f>IF($B$4="life-table",(B1053+B1054)/2,IF($B$4="beginning",B1053,B1054))</f>
        <v/>
      </c>
      <c r="C1300">
        <f>IF($B$4="life-table",(C1053+C1054)/2,IF($B$4="beginning",C1053,C1054))</f>
        <v/>
      </c>
      <c r="D1300">
        <f>IF($B$4="life-table",(D1053+D1054)/2,IF($B$4="beginning",D1053,D1054))</f>
        <v/>
      </c>
      <c r="F1300">
        <f>((B1300*$B$89+C1300*$C$89+D1300*$D$89)+(B1300*$B$329+C1300*$C$329+D1300*$D$329)+(B1300*$B$569+C1300*$C$569+D1300*$D$569))/(1+$B$2)^(74)</f>
        <v/>
      </c>
      <c r="G1300">
        <f>((B1300*$B$809+C1300*$C$809+D1300*$D$809))/(1+$B$3)^(74)</f>
        <v/>
      </c>
    </row>
    <row r="1301">
      <c r="A1301" t="n">
        <v>76</v>
      </c>
      <c r="B1301">
        <f>IF($B$4="life-table",(B1054+B1055)/2,IF($B$4="beginning",B1054,B1055))</f>
        <v/>
      </c>
      <c r="C1301">
        <f>IF($B$4="life-table",(C1054+C1055)/2,IF($B$4="beginning",C1054,C1055))</f>
        <v/>
      </c>
      <c r="D1301">
        <f>IF($B$4="life-table",(D1054+D1055)/2,IF($B$4="beginning",D1054,D1055))</f>
        <v/>
      </c>
      <c r="F1301">
        <f>((B1301*$B$90+C1301*$C$90+D1301*$D$90)+(B1301*$B$330+C1301*$C$330+D1301*$D$330)+(B1301*$B$570+C1301*$C$570+D1301*$D$570))/(1+$B$2)^(75)</f>
        <v/>
      </c>
      <c r="G1301">
        <f>((B1301*$B$810+C1301*$C$810+D1301*$D$810))/(1+$B$3)^(75)</f>
        <v/>
      </c>
    </row>
    <row r="1302">
      <c r="A1302" t="n">
        <v>77</v>
      </c>
      <c r="B1302">
        <f>IF($B$4="life-table",(B1055+B1056)/2,IF($B$4="beginning",B1055,B1056))</f>
        <v/>
      </c>
      <c r="C1302">
        <f>IF($B$4="life-table",(C1055+C1056)/2,IF($B$4="beginning",C1055,C1056))</f>
        <v/>
      </c>
      <c r="D1302">
        <f>IF($B$4="life-table",(D1055+D1056)/2,IF($B$4="beginning",D1055,D1056))</f>
        <v/>
      </c>
      <c r="F1302">
        <f>((B1302*$B$91+C1302*$C$91+D1302*$D$91)+(B1302*$B$331+C1302*$C$331+D1302*$D$331)+(B1302*$B$571+C1302*$C$571+D1302*$D$571))/(1+$B$2)^(76)</f>
        <v/>
      </c>
      <c r="G1302">
        <f>((B1302*$B$811+C1302*$C$811+D1302*$D$811))/(1+$B$3)^(76)</f>
        <v/>
      </c>
    </row>
    <row r="1303">
      <c r="A1303" t="n">
        <v>78</v>
      </c>
      <c r="B1303">
        <f>IF($B$4="life-table",(B1056+B1057)/2,IF($B$4="beginning",B1056,B1057))</f>
        <v/>
      </c>
      <c r="C1303">
        <f>IF($B$4="life-table",(C1056+C1057)/2,IF($B$4="beginning",C1056,C1057))</f>
        <v/>
      </c>
      <c r="D1303">
        <f>IF($B$4="life-table",(D1056+D1057)/2,IF($B$4="beginning",D1056,D1057))</f>
        <v/>
      </c>
      <c r="F1303">
        <f>((B1303*$B$92+C1303*$C$92+D1303*$D$92)+(B1303*$B$332+C1303*$C$332+D1303*$D$332)+(B1303*$B$572+C1303*$C$572+D1303*$D$572))/(1+$B$2)^(77)</f>
        <v/>
      </c>
      <c r="G1303">
        <f>((B1303*$B$812+C1303*$C$812+D1303*$D$812))/(1+$B$3)^(77)</f>
        <v/>
      </c>
    </row>
    <row r="1304">
      <c r="A1304" t="n">
        <v>79</v>
      </c>
      <c r="B1304">
        <f>IF($B$4="life-table",(B1057+B1058)/2,IF($B$4="beginning",B1057,B1058))</f>
        <v/>
      </c>
      <c r="C1304">
        <f>IF($B$4="life-table",(C1057+C1058)/2,IF($B$4="beginning",C1057,C1058))</f>
        <v/>
      </c>
      <c r="D1304">
        <f>IF($B$4="life-table",(D1057+D1058)/2,IF($B$4="beginning",D1057,D1058))</f>
        <v/>
      </c>
      <c r="F1304">
        <f>((B1304*$B$93+C1304*$C$93+D1304*$D$93)+(B1304*$B$333+C1304*$C$333+D1304*$D$333)+(B1304*$B$573+C1304*$C$573+D1304*$D$573))/(1+$B$2)^(78)</f>
        <v/>
      </c>
      <c r="G1304">
        <f>((B1304*$B$813+C1304*$C$813+D1304*$D$813))/(1+$B$3)^(78)</f>
        <v/>
      </c>
    </row>
    <row r="1305">
      <c r="A1305" t="n">
        <v>80</v>
      </c>
      <c r="B1305">
        <f>IF($B$4="life-table",(B1058+B1059)/2,IF($B$4="beginning",B1058,B1059))</f>
        <v/>
      </c>
      <c r="C1305">
        <f>IF($B$4="life-table",(C1058+C1059)/2,IF($B$4="beginning",C1058,C1059))</f>
        <v/>
      </c>
      <c r="D1305">
        <f>IF($B$4="life-table",(D1058+D1059)/2,IF($B$4="beginning",D1058,D1059))</f>
        <v/>
      </c>
      <c r="F1305">
        <f>((B1305*$B$94+C1305*$C$94+D1305*$D$94)+(B1305*$B$334+C1305*$C$334+D1305*$D$334)+(B1305*$B$574+C1305*$C$574+D1305*$D$574))/(1+$B$2)^(79)</f>
        <v/>
      </c>
      <c r="G1305">
        <f>((B1305*$B$814+C1305*$C$814+D1305*$D$814))/(1+$B$3)^(79)</f>
        <v/>
      </c>
    </row>
    <row r="1306">
      <c r="A1306" t="n">
        <v>81</v>
      </c>
      <c r="B1306">
        <f>IF($B$4="life-table",(B1059+B1060)/2,IF($B$4="beginning",B1059,B1060))</f>
        <v/>
      </c>
      <c r="C1306">
        <f>IF($B$4="life-table",(C1059+C1060)/2,IF($B$4="beginning",C1059,C1060))</f>
        <v/>
      </c>
      <c r="D1306">
        <f>IF($B$4="life-table",(D1059+D1060)/2,IF($B$4="beginning",D1059,D1060))</f>
        <v/>
      </c>
      <c r="F1306">
        <f>((B1306*$B$95+C1306*$C$95+D1306*$D$95)+(B1306*$B$335+C1306*$C$335+D1306*$D$335)+(B1306*$B$575+C1306*$C$575+D1306*$D$575))/(1+$B$2)^(80)</f>
        <v/>
      </c>
      <c r="G1306">
        <f>((B1306*$B$815+C1306*$C$815+D1306*$D$815))/(1+$B$3)^(80)</f>
        <v/>
      </c>
    </row>
    <row r="1307">
      <c r="A1307" t="n">
        <v>82</v>
      </c>
      <c r="B1307">
        <f>IF($B$4="life-table",(B1060+B1061)/2,IF($B$4="beginning",B1060,B1061))</f>
        <v/>
      </c>
      <c r="C1307">
        <f>IF($B$4="life-table",(C1060+C1061)/2,IF($B$4="beginning",C1060,C1061))</f>
        <v/>
      </c>
      <c r="D1307">
        <f>IF($B$4="life-table",(D1060+D1061)/2,IF($B$4="beginning",D1060,D1061))</f>
        <v/>
      </c>
      <c r="F1307">
        <f>((B1307*$B$96+C1307*$C$96+D1307*$D$96)+(B1307*$B$336+C1307*$C$336+D1307*$D$336)+(B1307*$B$576+C1307*$C$576+D1307*$D$576))/(1+$B$2)^(81)</f>
        <v/>
      </c>
      <c r="G1307">
        <f>((B1307*$B$816+C1307*$C$816+D1307*$D$816))/(1+$B$3)^(81)</f>
        <v/>
      </c>
    </row>
    <row r="1308">
      <c r="A1308" t="n">
        <v>83</v>
      </c>
      <c r="B1308">
        <f>IF($B$4="life-table",(B1061+B1062)/2,IF($B$4="beginning",B1061,B1062))</f>
        <v/>
      </c>
      <c r="C1308">
        <f>IF($B$4="life-table",(C1061+C1062)/2,IF($B$4="beginning",C1061,C1062))</f>
        <v/>
      </c>
      <c r="D1308">
        <f>IF($B$4="life-table",(D1061+D1062)/2,IF($B$4="beginning",D1061,D1062))</f>
        <v/>
      </c>
      <c r="F1308">
        <f>((B1308*$B$97+C1308*$C$97+D1308*$D$97)+(B1308*$B$337+C1308*$C$337+D1308*$D$337)+(B1308*$B$577+C1308*$C$577+D1308*$D$577))/(1+$B$2)^(82)</f>
        <v/>
      </c>
      <c r="G1308">
        <f>((B1308*$B$817+C1308*$C$817+D1308*$D$817))/(1+$B$3)^(82)</f>
        <v/>
      </c>
    </row>
    <row r="1309">
      <c r="A1309" t="n">
        <v>84</v>
      </c>
      <c r="B1309">
        <f>IF($B$4="life-table",(B1062+B1063)/2,IF($B$4="beginning",B1062,B1063))</f>
        <v/>
      </c>
      <c r="C1309">
        <f>IF($B$4="life-table",(C1062+C1063)/2,IF($B$4="beginning",C1062,C1063))</f>
        <v/>
      </c>
      <c r="D1309">
        <f>IF($B$4="life-table",(D1062+D1063)/2,IF($B$4="beginning",D1062,D1063))</f>
        <v/>
      </c>
      <c r="F1309">
        <f>((B1309*$B$98+C1309*$C$98+D1309*$D$98)+(B1309*$B$338+C1309*$C$338+D1309*$D$338)+(B1309*$B$578+C1309*$C$578+D1309*$D$578))/(1+$B$2)^(83)</f>
        <v/>
      </c>
      <c r="G1309">
        <f>((B1309*$B$818+C1309*$C$818+D1309*$D$818))/(1+$B$3)^(83)</f>
        <v/>
      </c>
    </row>
    <row r="1310">
      <c r="A1310" t="n">
        <v>85</v>
      </c>
      <c r="B1310">
        <f>IF($B$4="life-table",(B1063+B1064)/2,IF($B$4="beginning",B1063,B1064))</f>
        <v/>
      </c>
      <c r="C1310">
        <f>IF($B$4="life-table",(C1063+C1064)/2,IF($B$4="beginning",C1063,C1064))</f>
        <v/>
      </c>
      <c r="D1310">
        <f>IF($B$4="life-table",(D1063+D1064)/2,IF($B$4="beginning",D1063,D1064))</f>
        <v/>
      </c>
      <c r="F1310">
        <f>((B1310*$B$99+C1310*$C$99+D1310*$D$99)+(B1310*$B$339+C1310*$C$339+D1310*$D$339)+(B1310*$B$579+C1310*$C$579+D1310*$D$579))/(1+$B$2)^(84)</f>
        <v/>
      </c>
      <c r="G1310">
        <f>((B1310*$B$819+C1310*$C$819+D1310*$D$819))/(1+$B$3)^(84)</f>
        <v/>
      </c>
    </row>
    <row r="1311">
      <c r="A1311" t="n">
        <v>86</v>
      </c>
      <c r="B1311">
        <f>IF($B$4="life-table",(B1064+B1065)/2,IF($B$4="beginning",B1064,B1065))</f>
        <v/>
      </c>
      <c r="C1311">
        <f>IF($B$4="life-table",(C1064+C1065)/2,IF($B$4="beginning",C1064,C1065))</f>
        <v/>
      </c>
      <c r="D1311">
        <f>IF($B$4="life-table",(D1064+D1065)/2,IF($B$4="beginning",D1064,D1065))</f>
        <v/>
      </c>
      <c r="F1311">
        <f>((B1311*$B$100+C1311*$C$100+D1311*$D$100)+(B1311*$B$340+C1311*$C$340+D1311*$D$340)+(B1311*$B$580+C1311*$C$580+D1311*$D$580))/(1+$B$2)^(85)</f>
        <v/>
      </c>
      <c r="G1311">
        <f>((B1311*$B$820+C1311*$C$820+D1311*$D$820))/(1+$B$3)^(85)</f>
        <v/>
      </c>
    </row>
    <row r="1312">
      <c r="A1312" t="n">
        <v>87</v>
      </c>
      <c r="B1312">
        <f>IF($B$4="life-table",(B1065+B1066)/2,IF($B$4="beginning",B1065,B1066))</f>
        <v/>
      </c>
      <c r="C1312">
        <f>IF($B$4="life-table",(C1065+C1066)/2,IF($B$4="beginning",C1065,C1066))</f>
        <v/>
      </c>
      <c r="D1312">
        <f>IF($B$4="life-table",(D1065+D1066)/2,IF($B$4="beginning",D1065,D1066))</f>
        <v/>
      </c>
      <c r="F1312">
        <f>((B1312*$B$101+C1312*$C$101+D1312*$D$101)+(B1312*$B$341+C1312*$C$341+D1312*$D$341)+(B1312*$B$581+C1312*$C$581+D1312*$D$581))/(1+$B$2)^(86)</f>
        <v/>
      </c>
      <c r="G1312">
        <f>((B1312*$B$821+C1312*$C$821+D1312*$D$821))/(1+$B$3)^(86)</f>
        <v/>
      </c>
    </row>
    <row r="1313">
      <c r="A1313" t="n">
        <v>88</v>
      </c>
      <c r="B1313">
        <f>IF($B$4="life-table",(B1066+B1067)/2,IF($B$4="beginning",B1066,B1067))</f>
        <v/>
      </c>
      <c r="C1313">
        <f>IF($B$4="life-table",(C1066+C1067)/2,IF($B$4="beginning",C1066,C1067))</f>
        <v/>
      </c>
      <c r="D1313">
        <f>IF($B$4="life-table",(D1066+D1067)/2,IF($B$4="beginning",D1066,D1067))</f>
        <v/>
      </c>
      <c r="F1313">
        <f>((B1313*$B$102+C1313*$C$102+D1313*$D$102)+(B1313*$B$342+C1313*$C$342+D1313*$D$342)+(B1313*$B$582+C1313*$C$582+D1313*$D$582))/(1+$B$2)^(87)</f>
        <v/>
      </c>
      <c r="G1313">
        <f>((B1313*$B$822+C1313*$C$822+D1313*$D$822))/(1+$B$3)^(87)</f>
        <v/>
      </c>
    </row>
    <row r="1314">
      <c r="A1314" t="n">
        <v>89</v>
      </c>
      <c r="B1314">
        <f>IF($B$4="life-table",(B1067+B1068)/2,IF($B$4="beginning",B1067,B1068))</f>
        <v/>
      </c>
      <c r="C1314">
        <f>IF($B$4="life-table",(C1067+C1068)/2,IF($B$4="beginning",C1067,C1068))</f>
        <v/>
      </c>
      <c r="D1314">
        <f>IF($B$4="life-table",(D1067+D1068)/2,IF($B$4="beginning",D1067,D1068))</f>
        <v/>
      </c>
      <c r="F1314">
        <f>((B1314*$B$103+C1314*$C$103+D1314*$D$103)+(B1314*$B$343+C1314*$C$343+D1314*$D$343)+(B1314*$B$583+C1314*$C$583+D1314*$D$583))/(1+$B$2)^(88)</f>
        <v/>
      </c>
      <c r="G1314">
        <f>((B1314*$B$823+C1314*$C$823+D1314*$D$823))/(1+$B$3)^(88)</f>
        <v/>
      </c>
    </row>
    <row r="1315">
      <c r="A1315" t="n">
        <v>90</v>
      </c>
      <c r="B1315">
        <f>IF($B$4="life-table",(B1068+B1069)/2,IF($B$4="beginning",B1068,B1069))</f>
        <v/>
      </c>
      <c r="C1315">
        <f>IF($B$4="life-table",(C1068+C1069)/2,IF($B$4="beginning",C1068,C1069))</f>
        <v/>
      </c>
      <c r="D1315">
        <f>IF($B$4="life-table",(D1068+D1069)/2,IF($B$4="beginning",D1068,D1069))</f>
        <v/>
      </c>
      <c r="F1315">
        <f>((B1315*$B$104+C1315*$C$104+D1315*$D$104)+(B1315*$B$344+C1315*$C$344+D1315*$D$344)+(B1315*$B$584+C1315*$C$584+D1315*$D$584))/(1+$B$2)^(89)</f>
        <v/>
      </c>
      <c r="G1315">
        <f>((B1315*$B$824+C1315*$C$824+D1315*$D$824))/(1+$B$3)^(89)</f>
        <v/>
      </c>
    </row>
    <row r="1316">
      <c r="A1316" t="n">
        <v>91</v>
      </c>
      <c r="B1316">
        <f>IF($B$4="life-table",(B1069+B1070)/2,IF($B$4="beginning",B1069,B1070))</f>
        <v/>
      </c>
      <c r="C1316">
        <f>IF($B$4="life-table",(C1069+C1070)/2,IF($B$4="beginning",C1069,C1070))</f>
        <v/>
      </c>
      <c r="D1316">
        <f>IF($B$4="life-table",(D1069+D1070)/2,IF($B$4="beginning",D1069,D1070))</f>
        <v/>
      </c>
      <c r="F1316">
        <f>((B1316*$B$105+C1316*$C$105+D1316*$D$105)+(B1316*$B$345+C1316*$C$345+D1316*$D$345)+(B1316*$B$585+C1316*$C$585+D1316*$D$585))/(1+$B$2)^(90)</f>
        <v/>
      </c>
      <c r="G1316">
        <f>((B1316*$B$825+C1316*$C$825+D1316*$D$825))/(1+$B$3)^(90)</f>
        <v/>
      </c>
    </row>
    <row r="1317">
      <c r="A1317" t="n">
        <v>92</v>
      </c>
      <c r="B1317">
        <f>IF($B$4="life-table",(B1070+B1071)/2,IF($B$4="beginning",B1070,B1071))</f>
        <v/>
      </c>
      <c r="C1317">
        <f>IF($B$4="life-table",(C1070+C1071)/2,IF($B$4="beginning",C1070,C1071))</f>
        <v/>
      </c>
      <c r="D1317">
        <f>IF($B$4="life-table",(D1070+D1071)/2,IF($B$4="beginning",D1070,D1071))</f>
        <v/>
      </c>
      <c r="F1317">
        <f>((B1317*$B$106+C1317*$C$106+D1317*$D$106)+(B1317*$B$346+C1317*$C$346+D1317*$D$346)+(B1317*$B$586+C1317*$C$586+D1317*$D$586))/(1+$B$2)^(91)</f>
        <v/>
      </c>
      <c r="G1317">
        <f>((B1317*$B$826+C1317*$C$826+D1317*$D$826))/(1+$B$3)^(91)</f>
        <v/>
      </c>
    </row>
    <row r="1318">
      <c r="A1318" t="n">
        <v>93</v>
      </c>
      <c r="B1318">
        <f>IF($B$4="life-table",(B1071+B1072)/2,IF($B$4="beginning",B1071,B1072))</f>
        <v/>
      </c>
      <c r="C1318">
        <f>IF($B$4="life-table",(C1071+C1072)/2,IF($B$4="beginning",C1071,C1072))</f>
        <v/>
      </c>
      <c r="D1318">
        <f>IF($B$4="life-table",(D1071+D1072)/2,IF($B$4="beginning",D1071,D1072))</f>
        <v/>
      </c>
      <c r="F1318">
        <f>((B1318*$B$107+C1318*$C$107+D1318*$D$107)+(B1318*$B$347+C1318*$C$347+D1318*$D$347)+(B1318*$B$587+C1318*$C$587+D1318*$D$587))/(1+$B$2)^(92)</f>
        <v/>
      </c>
      <c r="G1318">
        <f>((B1318*$B$827+C1318*$C$827+D1318*$D$827))/(1+$B$3)^(92)</f>
        <v/>
      </c>
    </row>
    <row r="1319">
      <c r="A1319" t="n">
        <v>94</v>
      </c>
      <c r="B1319">
        <f>IF($B$4="life-table",(B1072+B1073)/2,IF($B$4="beginning",B1072,B1073))</f>
        <v/>
      </c>
      <c r="C1319">
        <f>IF($B$4="life-table",(C1072+C1073)/2,IF($B$4="beginning",C1072,C1073))</f>
        <v/>
      </c>
      <c r="D1319">
        <f>IF($B$4="life-table",(D1072+D1073)/2,IF($B$4="beginning",D1072,D1073))</f>
        <v/>
      </c>
      <c r="F1319">
        <f>((B1319*$B$108+C1319*$C$108+D1319*$D$108)+(B1319*$B$348+C1319*$C$348+D1319*$D$348)+(B1319*$B$588+C1319*$C$588+D1319*$D$588))/(1+$B$2)^(93)</f>
        <v/>
      </c>
      <c r="G1319">
        <f>((B1319*$B$828+C1319*$C$828+D1319*$D$828))/(1+$B$3)^(93)</f>
        <v/>
      </c>
    </row>
    <row r="1320">
      <c r="A1320" t="n">
        <v>95</v>
      </c>
      <c r="B1320">
        <f>IF($B$4="life-table",(B1073+B1074)/2,IF($B$4="beginning",B1073,B1074))</f>
        <v/>
      </c>
      <c r="C1320">
        <f>IF($B$4="life-table",(C1073+C1074)/2,IF($B$4="beginning",C1073,C1074))</f>
        <v/>
      </c>
      <c r="D1320">
        <f>IF($B$4="life-table",(D1073+D1074)/2,IF($B$4="beginning",D1073,D1074))</f>
        <v/>
      </c>
      <c r="F1320">
        <f>((B1320*$B$109+C1320*$C$109+D1320*$D$109)+(B1320*$B$349+C1320*$C$349+D1320*$D$349)+(B1320*$B$589+C1320*$C$589+D1320*$D$589))/(1+$B$2)^(94)</f>
        <v/>
      </c>
      <c r="G1320">
        <f>((B1320*$B$829+C1320*$C$829+D1320*$D$829))/(1+$B$3)^(94)</f>
        <v/>
      </c>
    </row>
    <row r="1321">
      <c r="A1321" t="n">
        <v>96</v>
      </c>
      <c r="B1321">
        <f>IF($B$4="life-table",(B1074+B1075)/2,IF($B$4="beginning",B1074,B1075))</f>
        <v/>
      </c>
      <c r="C1321">
        <f>IF($B$4="life-table",(C1074+C1075)/2,IF($B$4="beginning",C1074,C1075))</f>
        <v/>
      </c>
      <c r="D1321">
        <f>IF($B$4="life-table",(D1074+D1075)/2,IF($B$4="beginning",D1074,D1075))</f>
        <v/>
      </c>
      <c r="F1321">
        <f>((B1321*$B$110+C1321*$C$110+D1321*$D$110)+(B1321*$B$350+C1321*$C$350+D1321*$D$350)+(B1321*$B$590+C1321*$C$590+D1321*$D$590))/(1+$B$2)^(95)</f>
        <v/>
      </c>
      <c r="G1321">
        <f>((B1321*$B$830+C1321*$C$830+D1321*$D$830))/(1+$B$3)^(95)</f>
        <v/>
      </c>
    </row>
    <row r="1322">
      <c r="A1322" t="n">
        <v>97</v>
      </c>
      <c r="B1322">
        <f>IF($B$4="life-table",(B1075+B1076)/2,IF($B$4="beginning",B1075,B1076))</f>
        <v/>
      </c>
      <c r="C1322">
        <f>IF($B$4="life-table",(C1075+C1076)/2,IF($B$4="beginning",C1075,C1076))</f>
        <v/>
      </c>
      <c r="D1322">
        <f>IF($B$4="life-table",(D1075+D1076)/2,IF($B$4="beginning",D1075,D1076))</f>
        <v/>
      </c>
      <c r="F1322">
        <f>((B1322*$B$111+C1322*$C$111+D1322*$D$111)+(B1322*$B$351+C1322*$C$351+D1322*$D$351)+(B1322*$B$591+C1322*$C$591+D1322*$D$591))/(1+$B$2)^(96)</f>
        <v/>
      </c>
      <c r="G1322">
        <f>((B1322*$B$831+C1322*$C$831+D1322*$D$831))/(1+$B$3)^(96)</f>
        <v/>
      </c>
    </row>
    <row r="1323">
      <c r="A1323" t="n">
        <v>98</v>
      </c>
      <c r="B1323">
        <f>IF($B$4="life-table",(B1076+B1077)/2,IF($B$4="beginning",B1076,B1077))</f>
        <v/>
      </c>
      <c r="C1323">
        <f>IF($B$4="life-table",(C1076+C1077)/2,IF($B$4="beginning",C1076,C1077))</f>
        <v/>
      </c>
      <c r="D1323">
        <f>IF($B$4="life-table",(D1076+D1077)/2,IF($B$4="beginning",D1076,D1077))</f>
        <v/>
      </c>
      <c r="F1323">
        <f>((B1323*$B$112+C1323*$C$112+D1323*$D$112)+(B1323*$B$352+C1323*$C$352+D1323*$D$352)+(B1323*$B$592+C1323*$C$592+D1323*$D$592))/(1+$B$2)^(97)</f>
        <v/>
      </c>
      <c r="G1323">
        <f>((B1323*$B$832+C1323*$C$832+D1323*$D$832))/(1+$B$3)^(97)</f>
        <v/>
      </c>
    </row>
    <row r="1324">
      <c r="A1324" t="n">
        <v>99</v>
      </c>
      <c r="B1324">
        <f>IF($B$4="life-table",(B1077+B1078)/2,IF($B$4="beginning",B1077,B1078))</f>
        <v/>
      </c>
      <c r="C1324">
        <f>IF($B$4="life-table",(C1077+C1078)/2,IF($B$4="beginning",C1077,C1078))</f>
        <v/>
      </c>
      <c r="D1324">
        <f>IF($B$4="life-table",(D1077+D1078)/2,IF($B$4="beginning",D1077,D1078))</f>
        <v/>
      </c>
      <c r="F1324">
        <f>((B1324*$B$113+C1324*$C$113+D1324*$D$113)+(B1324*$B$353+C1324*$C$353+D1324*$D$353)+(B1324*$B$593+C1324*$C$593+D1324*$D$593))/(1+$B$2)^(98)</f>
        <v/>
      </c>
      <c r="G1324">
        <f>((B1324*$B$833+C1324*$C$833+D1324*$D$833))/(1+$B$3)^(98)</f>
        <v/>
      </c>
    </row>
    <row r="1325">
      <c r="A1325" t="n">
        <v>100</v>
      </c>
      <c r="B1325">
        <f>IF($B$4="life-table",(B1078+B1079)/2,IF($B$4="beginning",B1078,B1079))</f>
        <v/>
      </c>
      <c r="C1325">
        <f>IF($B$4="life-table",(C1078+C1079)/2,IF($B$4="beginning",C1078,C1079))</f>
        <v/>
      </c>
      <c r="D1325">
        <f>IF($B$4="life-table",(D1078+D1079)/2,IF($B$4="beginning",D1078,D1079))</f>
        <v/>
      </c>
      <c r="F1325">
        <f>((B1325*$B$114+C1325*$C$114+D1325*$D$114)+(B1325*$B$354+C1325*$C$354+D1325*$D$354)+(B1325*$B$594+C1325*$C$594+D1325*$D$594))/(1+$B$2)^(99)</f>
        <v/>
      </c>
      <c r="G1325">
        <f>((B1325*$B$834+C1325*$C$834+D1325*$D$834))/(1+$B$3)^(99)</f>
        <v/>
      </c>
    </row>
    <row r="1326">
      <c r="A1326" t="n">
        <v>101</v>
      </c>
      <c r="B1326">
        <f>IF($B$4="life-table",(B1079+B1080)/2,IF($B$4="beginning",B1079,B1080))</f>
        <v/>
      </c>
      <c r="C1326">
        <f>IF($B$4="life-table",(C1079+C1080)/2,IF($B$4="beginning",C1079,C1080))</f>
        <v/>
      </c>
      <c r="D1326">
        <f>IF($B$4="life-table",(D1079+D1080)/2,IF($B$4="beginning",D1079,D1080))</f>
        <v/>
      </c>
      <c r="F1326">
        <f>((B1326*$B$115+C1326*$C$115+D1326*$D$115)+(B1326*$B$355+C1326*$C$355+D1326*$D$355)+(B1326*$B$595+C1326*$C$595+D1326*$D$595))/(1+$B$2)^(100)</f>
        <v/>
      </c>
      <c r="G1326">
        <f>((B1326*$B$835+C1326*$C$835+D1326*$D$835))/(1+$B$3)^(100)</f>
        <v/>
      </c>
    </row>
    <row r="1327">
      <c r="A1327" t="n">
        <v>102</v>
      </c>
      <c r="B1327">
        <f>IF($B$4="life-table",(B1080+B1081)/2,IF($B$4="beginning",B1080,B1081))</f>
        <v/>
      </c>
      <c r="C1327">
        <f>IF($B$4="life-table",(C1080+C1081)/2,IF($B$4="beginning",C1080,C1081))</f>
        <v/>
      </c>
      <c r="D1327">
        <f>IF($B$4="life-table",(D1080+D1081)/2,IF($B$4="beginning",D1080,D1081))</f>
        <v/>
      </c>
      <c r="F1327">
        <f>((B1327*$B$116+C1327*$C$116+D1327*$D$116)+(B1327*$B$356+C1327*$C$356+D1327*$D$356)+(B1327*$B$596+C1327*$C$596+D1327*$D$596))/(1+$B$2)^(101)</f>
        <v/>
      </c>
      <c r="G1327">
        <f>((B1327*$B$836+C1327*$C$836+D1327*$D$836))/(1+$B$3)^(101)</f>
        <v/>
      </c>
    </row>
    <row r="1328">
      <c r="A1328" t="n">
        <v>103</v>
      </c>
      <c r="B1328">
        <f>IF($B$4="life-table",(B1081+B1082)/2,IF($B$4="beginning",B1081,B1082))</f>
        <v/>
      </c>
      <c r="C1328">
        <f>IF($B$4="life-table",(C1081+C1082)/2,IF($B$4="beginning",C1081,C1082))</f>
        <v/>
      </c>
      <c r="D1328">
        <f>IF($B$4="life-table",(D1081+D1082)/2,IF($B$4="beginning",D1081,D1082))</f>
        <v/>
      </c>
      <c r="F1328">
        <f>((B1328*$B$117+C1328*$C$117+D1328*$D$117)+(B1328*$B$357+C1328*$C$357+D1328*$D$357)+(B1328*$B$597+C1328*$C$597+D1328*$D$597))/(1+$B$2)^(102)</f>
        <v/>
      </c>
      <c r="G1328">
        <f>((B1328*$B$837+C1328*$C$837+D1328*$D$837))/(1+$B$3)^(102)</f>
        <v/>
      </c>
    </row>
    <row r="1329">
      <c r="A1329" t="n">
        <v>104</v>
      </c>
      <c r="B1329">
        <f>IF($B$4="life-table",(B1082+B1083)/2,IF($B$4="beginning",B1082,B1083))</f>
        <v/>
      </c>
      <c r="C1329">
        <f>IF($B$4="life-table",(C1082+C1083)/2,IF($B$4="beginning",C1082,C1083))</f>
        <v/>
      </c>
      <c r="D1329">
        <f>IF($B$4="life-table",(D1082+D1083)/2,IF($B$4="beginning",D1082,D1083))</f>
        <v/>
      </c>
      <c r="F1329">
        <f>((B1329*$B$118+C1329*$C$118+D1329*$D$118)+(B1329*$B$358+C1329*$C$358+D1329*$D$358)+(B1329*$B$598+C1329*$C$598+D1329*$D$598))/(1+$B$2)^(103)</f>
        <v/>
      </c>
      <c r="G1329">
        <f>((B1329*$B$838+C1329*$C$838+D1329*$D$838))/(1+$B$3)^(103)</f>
        <v/>
      </c>
    </row>
    <row r="1330">
      <c r="A1330" t="n">
        <v>105</v>
      </c>
      <c r="B1330">
        <f>IF($B$4="life-table",(B1083+B1084)/2,IF($B$4="beginning",B1083,B1084))</f>
        <v/>
      </c>
      <c r="C1330">
        <f>IF($B$4="life-table",(C1083+C1084)/2,IF($B$4="beginning",C1083,C1084))</f>
        <v/>
      </c>
      <c r="D1330">
        <f>IF($B$4="life-table",(D1083+D1084)/2,IF($B$4="beginning",D1083,D1084))</f>
        <v/>
      </c>
      <c r="F1330">
        <f>((B1330*$B$119+C1330*$C$119+D1330*$D$119)+(B1330*$B$359+C1330*$C$359+D1330*$D$359)+(B1330*$B$599+C1330*$C$599+D1330*$D$599))/(1+$B$2)^(104)</f>
        <v/>
      </c>
      <c r="G1330">
        <f>((B1330*$B$839+C1330*$C$839+D1330*$D$839))/(1+$B$3)^(104)</f>
        <v/>
      </c>
    </row>
    <row r="1331">
      <c r="A1331" t="n">
        <v>106</v>
      </c>
      <c r="B1331">
        <f>IF($B$4="life-table",(B1084+B1085)/2,IF($B$4="beginning",B1084,B1085))</f>
        <v/>
      </c>
      <c r="C1331">
        <f>IF($B$4="life-table",(C1084+C1085)/2,IF($B$4="beginning",C1084,C1085))</f>
        <v/>
      </c>
      <c r="D1331">
        <f>IF($B$4="life-table",(D1084+D1085)/2,IF($B$4="beginning",D1084,D1085))</f>
        <v/>
      </c>
      <c r="F1331">
        <f>((B1331*$B$120+C1331*$C$120+D1331*$D$120)+(B1331*$B$360+C1331*$C$360+D1331*$D$360)+(B1331*$B$600+C1331*$C$600+D1331*$D$600))/(1+$B$2)^(105)</f>
        <v/>
      </c>
      <c r="G1331">
        <f>((B1331*$B$840+C1331*$C$840+D1331*$D$840))/(1+$B$3)^(105)</f>
        <v/>
      </c>
    </row>
    <row r="1332">
      <c r="A1332" t="n">
        <v>107</v>
      </c>
      <c r="B1332">
        <f>IF($B$4="life-table",(B1085+B1086)/2,IF($B$4="beginning",B1085,B1086))</f>
        <v/>
      </c>
      <c r="C1332">
        <f>IF($B$4="life-table",(C1085+C1086)/2,IF($B$4="beginning",C1085,C1086))</f>
        <v/>
      </c>
      <c r="D1332">
        <f>IF($B$4="life-table",(D1085+D1086)/2,IF($B$4="beginning",D1085,D1086))</f>
        <v/>
      </c>
      <c r="F1332">
        <f>((B1332*$B$121+C1332*$C$121+D1332*$D$121)+(B1332*$B$361+C1332*$C$361+D1332*$D$361)+(B1332*$B$601+C1332*$C$601+D1332*$D$601))/(1+$B$2)^(106)</f>
        <v/>
      </c>
      <c r="G1332">
        <f>((B1332*$B$841+C1332*$C$841+D1332*$D$841))/(1+$B$3)^(106)</f>
        <v/>
      </c>
    </row>
    <row r="1333">
      <c r="A1333" t="n">
        <v>108</v>
      </c>
      <c r="B1333">
        <f>IF($B$4="life-table",(B1086+B1087)/2,IF($B$4="beginning",B1086,B1087))</f>
        <v/>
      </c>
      <c r="C1333">
        <f>IF($B$4="life-table",(C1086+C1087)/2,IF($B$4="beginning",C1086,C1087))</f>
        <v/>
      </c>
      <c r="D1333">
        <f>IF($B$4="life-table",(D1086+D1087)/2,IF($B$4="beginning",D1086,D1087))</f>
        <v/>
      </c>
      <c r="F1333">
        <f>((B1333*$B$122+C1333*$C$122+D1333*$D$122)+(B1333*$B$362+C1333*$C$362+D1333*$D$362)+(B1333*$B$602+C1333*$C$602+D1333*$D$602))/(1+$B$2)^(107)</f>
        <v/>
      </c>
      <c r="G1333">
        <f>((B1333*$B$842+C1333*$C$842+D1333*$D$842))/(1+$B$3)^(107)</f>
        <v/>
      </c>
    </row>
    <row r="1334">
      <c r="A1334" t="n">
        <v>109</v>
      </c>
      <c r="B1334">
        <f>IF($B$4="life-table",(B1087+B1088)/2,IF($B$4="beginning",B1087,B1088))</f>
        <v/>
      </c>
      <c r="C1334">
        <f>IF($B$4="life-table",(C1087+C1088)/2,IF($B$4="beginning",C1087,C1088))</f>
        <v/>
      </c>
      <c r="D1334">
        <f>IF($B$4="life-table",(D1087+D1088)/2,IF($B$4="beginning",D1087,D1088))</f>
        <v/>
      </c>
      <c r="F1334">
        <f>((B1334*$B$123+C1334*$C$123+D1334*$D$123)+(B1334*$B$363+C1334*$C$363+D1334*$D$363)+(B1334*$B$603+C1334*$C$603+D1334*$D$603))/(1+$B$2)^(108)</f>
        <v/>
      </c>
      <c r="G1334">
        <f>((B1334*$B$843+C1334*$C$843+D1334*$D$843))/(1+$B$3)^(108)</f>
        <v/>
      </c>
    </row>
    <row r="1335">
      <c r="A1335" t="n">
        <v>110</v>
      </c>
      <c r="B1335">
        <f>IF($B$4="life-table",(B1088+B1089)/2,IF($B$4="beginning",B1088,B1089))</f>
        <v/>
      </c>
      <c r="C1335">
        <f>IF($B$4="life-table",(C1088+C1089)/2,IF($B$4="beginning",C1088,C1089))</f>
        <v/>
      </c>
      <c r="D1335">
        <f>IF($B$4="life-table",(D1088+D1089)/2,IF($B$4="beginning",D1088,D1089))</f>
        <v/>
      </c>
      <c r="F1335">
        <f>((B1335*$B$124+C1335*$C$124+D1335*$D$124)+(B1335*$B$364+C1335*$C$364+D1335*$D$364)+(B1335*$B$604+C1335*$C$604+D1335*$D$604))/(1+$B$2)^(109)</f>
        <v/>
      </c>
      <c r="G1335">
        <f>((B1335*$B$844+C1335*$C$844+D1335*$D$844))/(1+$B$3)^(109)</f>
        <v/>
      </c>
    </row>
    <row r="1336">
      <c r="A1336" t="n">
        <v>111</v>
      </c>
      <c r="B1336">
        <f>IF($B$4="life-table",(B1089+B1090)/2,IF($B$4="beginning",B1089,B1090))</f>
        <v/>
      </c>
      <c r="C1336">
        <f>IF($B$4="life-table",(C1089+C1090)/2,IF($B$4="beginning",C1089,C1090))</f>
        <v/>
      </c>
      <c r="D1336">
        <f>IF($B$4="life-table",(D1089+D1090)/2,IF($B$4="beginning",D1089,D1090))</f>
        <v/>
      </c>
      <c r="F1336">
        <f>((B1336*$B$125+C1336*$C$125+D1336*$D$125)+(B1336*$B$365+C1336*$C$365+D1336*$D$365)+(B1336*$B$605+C1336*$C$605+D1336*$D$605))/(1+$B$2)^(110)</f>
        <v/>
      </c>
      <c r="G1336">
        <f>((B1336*$B$845+C1336*$C$845+D1336*$D$845))/(1+$B$3)^(110)</f>
        <v/>
      </c>
    </row>
    <row r="1337">
      <c r="A1337" t="n">
        <v>112</v>
      </c>
      <c r="B1337">
        <f>IF($B$4="life-table",(B1090+B1091)/2,IF($B$4="beginning",B1090,B1091))</f>
        <v/>
      </c>
      <c r="C1337">
        <f>IF($B$4="life-table",(C1090+C1091)/2,IF($B$4="beginning",C1090,C1091))</f>
        <v/>
      </c>
      <c r="D1337">
        <f>IF($B$4="life-table",(D1090+D1091)/2,IF($B$4="beginning",D1090,D1091))</f>
        <v/>
      </c>
      <c r="F1337">
        <f>((B1337*$B$126+C1337*$C$126+D1337*$D$126)+(B1337*$B$366+C1337*$C$366+D1337*$D$366)+(B1337*$B$606+C1337*$C$606+D1337*$D$606))/(1+$B$2)^(111)</f>
        <v/>
      </c>
      <c r="G1337">
        <f>((B1337*$B$846+C1337*$C$846+D1337*$D$846))/(1+$B$3)^(111)</f>
        <v/>
      </c>
    </row>
    <row r="1338">
      <c r="A1338" t="n">
        <v>113</v>
      </c>
      <c r="B1338">
        <f>IF($B$4="life-table",(B1091+B1092)/2,IF($B$4="beginning",B1091,B1092))</f>
        <v/>
      </c>
      <c r="C1338">
        <f>IF($B$4="life-table",(C1091+C1092)/2,IF($B$4="beginning",C1091,C1092))</f>
        <v/>
      </c>
      <c r="D1338">
        <f>IF($B$4="life-table",(D1091+D1092)/2,IF($B$4="beginning",D1091,D1092))</f>
        <v/>
      </c>
      <c r="F1338">
        <f>((B1338*$B$127+C1338*$C$127+D1338*$D$127)+(B1338*$B$367+C1338*$C$367+D1338*$D$367)+(B1338*$B$607+C1338*$C$607+D1338*$D$607))/(1+$B$2)^(112)</f>
        <v/>
      </c>
      <c r="G1338">
        <f>((B1338*$B$847+C1338*$C$847+D1338*$D$847))/(1+$B$3)^(112)</f>
        <v/>
      </c>
    </row>
    <row r="1339">
      <c r="A1339" t="n">
        <v>114</v>
      </c>
      <c r="B1339">
        <f>IF($B$4="life-table",(B1092+B1093)/2,IF($B$4="beginning",B1092,B1093))</f>
        <v/>
      </c>
      <c r="C1339">
        <f>IF($B$4="life-table",(C1092+C1093)/2,IF($B$4="beginning",C1092,C1093))</f>
        <v/>
      </c>
      <c r="D1339">
        <f>IF($B$4="life-table",(D1092+D1093)/2,IF($B$4="beginning",D1092,D1093))</f>
        <v/>
      </c>
      <c r="F1339">
        <f>((B1339*$B$128+C1339*$C$128+D1339*$D$128)+(B1339*$B$368+C1339*$C$368+D1339*$D$368)+(B1339*$B$608+C1339*$C$608+D1339*$D$608))/(1+$B$2)^(113)</f>
        <v/>
      </c>
      <c r="G1339">
        <f>((B1339*$B$848+C1339*$C$848+D1339*$D$848))/(1+$B$3)^(113)</f>
        <v/>
      </c>
    </row>
    <row r="1340">
      <c r="A1340" t="n">
        <v>115</v>
      </c>
      <c r="B1340">
        <f>IF($B$4="life-table",(B1093+B1094)/2,IF($B$4="beginning",B1093,B1094))</f>
        <v/>
      </c>
      <c r="C1340">
        <f>IF($B$4="life-table",(C1093+C1094)/2,IF($B$4="beginning",C1093,C1094))</f>
        <v/>
      </c>
      <c r="D1340">
        <f>IF($B$4="life-table",(D1093+D1094)/2,IF($B$4="beginning",D1093,D1094))</f>
        <v/>
      </c>
      <c r="F1340">
        <f>((B1340*$B$129+C1340*$C$129+D1340*$D$129)+(B1340*$B$369+C1340*$C$369+D1340*$D$369)+(B1340*$B$609+C1340*$C$609+D1340*$D$609))/(1+$B$2)^(114)</f>
        <v/>
      </c>
      <c r="G1340">
        <f>((B1340*$B$849+C1340*$C$849+D1340*$D$849))/(1+$B$3)^(114)</f>
        <v/>
      </c>
    </row>
    <row r="1341">
      <c r="A1341" t="n">
        <v>116</v>
      </c>
      <c r="B1341">
        <f>IF($B$4="life-table",(B1094+B1095)/2,IF($B$4="beginning",B1094,B1095))</f>
        <v/>
      </c>
      <c r="C1341">
        <f>IF($B$4="life-table",(C1094+C1095)/2,IF($B$4="beginning",C1094,C1095))</f>
        <v/>
      </c>
      <c r="D1341">
        <f>IF($B$4="life-table",(D1094+D1095)/2,IF($B$4="beginning",D1094,D1095))</f>
        <v/>
      </c>
      <c r="F1341">
        <f>((B1341*$B$130+C1341*$C$130+D1341*$D$130)+(B1341*$B$370+C1341*$C$370+D1341*$D$370)+(B1341*$B$610+C1341*$C$610+D1341*$D$610))/(1+$B$2)^(115)</f>
        <v/>
      </c>
      <c r="G1341">
        <f>((B1341*$B$850+C1341*$C$850+D1341*$D$850))/(1+$B$3)^(115)</f>
        <v/>
      </c>
    </row>
    <row r="1342">
      <c r="A1342" t="n">
        <v>117</v>
      </c>
      <c r="B1342">
        <f>IF($B$4="life-table",(B1095+B1096)/2,IF($B$4="beginning",B1095,B1096))</f>
        <v/>
      </c>
      <c r="C1342">
        <f>IF($B$4="life-table",(C1095+C1096)/2,IF($B$4="beginning",C1095,C1096))</f>
        <v/>
      </c>
      <c r="D1342">
        <f>IF($B$4="life-table",(D1095+D1096)/2,IF($B$4="beginning",D1095,D1096))</f>
        <v/>
      </c>
      <c r="F1342">
        <f>((B1342*$B$131+C1342*$C$131+D1342*$D$131)+(B1342*$B$371+C1342*$C$371+D1342*$D$371)+(B1342*$B$611+C1342*$C$611+D1342*$D$611))/(1+$B$2)^(116)</f>
        <v/>
      </c>
      <c r="G1342">
        <f>((B1342*$B$851+C1342*$C$851+D1342*$D$851))/(1+$B$3)^(116)</f>
        <v/>
      </c>
    </row>
    <row r="1343">
      <c r="A1343" t="n">
        <v>118</v>
      </c>
      <c r="B1343">
        <f>IF($B$4="life-table",(B1096+B1097)/2,IF($B$4="beginning",B1096,B1097))</f>
        <v/>
      </c>
      <c r="C1343">
        <f>IF($B$4="life-table",(C1096+C1097)/2,IF($B$4="beginning",C1096,C1097))</f>
        <v/>
      </c>
      <c r="D1343">
        <f>IF($B$4="life-table",(D1096+D1097)/2,IF($B$4="beginning",D1096,D1097))</f>
        <v/>
      </c>
      <c r="F1343">
        <f>((B1343*$B$132+C1343*$C$132+D1343*$D$132)+(B1343*$B$372+C1343*$C$372+D1343*$D$372)+(B1343*$B$612+C1343*$C$612+D1343*$D$612))/(1+$B$2)^(117)</f>
        <v/>
      </c>
      <c r="G1343">
        <f>((B1343*$B$852+C1343*$C$852+D1343*$D$852))/(1+$B$3)^(117)</f>
        <v/>
      </c>
    </row>
    <row r="1344">
      <c r="A1344" t="n">
        <v>119</v>
      </c>
      <c r="B1344">
        <f>IF($B$4="life-table",(B1097+B1098)/2,IF($B$4="beginning",B1097,B1098))</f>
        <v/>
      </c>
      <c r="C1344">
        <f>IF($B$4="life-table",(C1097+C1098)/2,IF($B$4="beginning",C1097,C1098))</f>
        <v/>
      </c>
      <c r="D1344">
        <f>IF($B$4="life-table",(D1097+D1098)/2,IF($B$4="beginning",D1097,D1098))</f>
        <v/>
      </c>
      <c r="F1344">
        <f>((B1344*$B$133+C1344*$C$133+D1344*$D$133)+(B1344*$B$373+C1344*$C$373+D1344*$D$373)+(B1344*$B$613+C1344*$C$613+D1344*$D$613))/(1+$B$2)^(118)</f>
        <v/>
      </c>
      <c r="G1344">
        <f>((B1344*$B$853+C1344*$C$853+D1344*$D$853))/(1+$B$3)^(118)</f>
        <v/>
      </c>
    </row>
    <row r="1345">
      <c r="A1345" t="n">
        <v>120</v>
      </c>
      <c r="B1345">
        <f>IF($B$4="life-table",(B1098+B1099)/2,IF($B$4="beginning",B1098,B1099))</f>
        <v/>
      </c>
      <c r="C1345">
        <f>IF($B$4="life-table",(C1098+C1099)/2,IF($B$4="beginning",C1098,C1099))</f>
        <v/>
      </c>
      <c r="D1345">
        <f>IF($B$4="life-table",(D1098+D1099)/2,IF($B$4="beginning",D1098,D1099))</f>
        <v/>
      </c>
      <c r="F1345">
        <f>((B1345*$B$134+C1345*$C$134+D1345*$D$134)+(B1345*$B$374+C1345*$C$374+D1345*$D$374)+(B1345*$B$614+C1345*$C$614+D1345*$D$614))/(1+$B$2)^(119)</f>
        <v/>
      </c>
      <c r="G1345">
        <f>((B1345*$B$854+C1345*$C$854+D1345*$D$854))/(1+$B$3)^(119)</f>
        <v/>
      </c>
    </row>
    <row r="1346">
      <c r="A1346" t="n">
        <v>121</v>
      </c>
      <c r="B1346">
        <f>IF($B$4="life-table",(B1099+B1100)/2,IF($B$4="beginning",B1099,B1100))</f>
        <v/>
      </c>
      <c r="C1346">
        <f>IF($B$4="life-table",(C1099+C1100)/2,IF($B$4="beginning",C1099,C1100))</f>
        <v/>
      </c>
      <c r="D1346">
        <f>IF($B$4="life-table",(D1099+D1100)/2,IF($B$4="beginning",D1099,D1100))</f>
        <v/>
      </c>
      <c r="F1346">
        <f>((B1346*$B$135+C1346*$C$135+D1346*$D$135)+(B1346*$B$375+C1346*$C$375+D1346*$D$375)+(B1346*$B$615+C1346*$C$615+D1346*$D$615))/(1+$B$2)^(120)</f>
        <v/>
      </c>
      <c r="G1346">
        <f>((B1346*$B$855+C1346*$C$855+D1346*$D$855))/(1+$B$3)^(120)</f>
        <v/>
      </c>
    </row>
    <row r="1347">
      <c r="A1347" t="n">
        <v>122</v>
      </c>
      <c r="B1347">
        <f>IF($B$4="life-table",(B1100+B1101)/2,IF($B$4="beginning",B1100,B1101))</f>
        <v/>
      </c>
      <c r="C1347">
        <f>IF($B$4="life-table",(C1100+C1101)/2,IF($B$4="beginning",C1100,C1101))</f>
        <v/>
      </c>
      <c r="D1347">
        <f>IF($B$4="life-table",(D1100+D1101)/2,IF($B$4="beginning",D1100,D1101))</f>
        <v/>
      </c>
      <c r="F1347">
        <f>((B1347*$B$136+C1347*$C$136+D1347*$D$136)+(B1347*$B$376+C1347*$C$376+D1347*$D$376)+(B1347*$B$616+C1347*$C$616+D1347*$D$616))/(1+$B$2)^(121)</f>
        <v/>
      </c>
      <c r="G1347">
        <f>((B1347*$B$856+C1347*$C$856+D1347*$D$856))/(1+$B$3)^(121)</f>
        <v/>
      </c>
    </row>
    <row r="1348">
      <c r="A1348" t="n">
        <v>123</v>
      </c>
      <c r="B1348">
        <f>IF($B$4="life-table",(B1101+B1102)/2,IF($B$4="beginning",B1101,B1102))</f>
        <v/>
      </c>
      <c r="C1348">
        <f>IF($B$4="life-table",(C1101+C1102)/2,IF($B$4="beginning",C1101,C1102))</f>
        <v/>
      </c>
      <c r="D1348">
        <f>IF($B$4="life-table",(D1101+D1102)/2,IF($B$4="beginning",D1101,D1102))</f>
        <v/>
      </c>
      <c r="F1348">
        <f>((B1348*$B$137+C1348*$C$137+D1348*$D$137)+(B1348*$B$377+C1348*$C$377+D1348*$D$377)+(B1348*$B$617+C1348*$C$617+D1348*$D$617))/(1+$B$2)^(122)</f>
        <v/>
      </c>
      <c r="G1348">
        <f>((B1348*$B$857+C1348*$C$857+D1348*$D$857))/(1+$B$3)^(122)</f>
        <v/>
      </c>
    </row>
    <row r="1349">
      <c r="A1349" t="n">
        <v>124</v>
      </c>
      <c r="B1349">
        <f>IF($B$4="life-table",(B1102+B1103)/2,IF($B$4="beginning",B1102,B1103))</f>
        <v/>
      </c>
      <c r="C1349">
        <f>IF($B$4="life-table",(C1102+C1103)/2,IF($B$4="beginning",C1102,C1103))</f>
        <v/>
      </c>
      <c r="D1349">
        <f>IF($B$4="life-table",(D1102+D1103)/2,IF($B$4="beginning",D1102,D1103))</f>
        <v/>
      </c>
      <c r="F1349">
        <f>((B1349*$B$138+C1349*$C$138+D1349*$D$138)+(B1349*$B$378+C1349*$C$378+D1349*$D$378)+(B1349*$B$618+C1349*$C$618+D1349*$D$618))/(1+$B$2)^(123)</f>
        <v/>
      </c>
      <c r="G1349">
        <f>((B1349*$B$858+C1349*$C$858+D1349*$D$858))/(1+$B$3)^(123)</f>
        <v/>
      </c>
    </row>
    <row r="1350">
      <c r="A1350" t="n">
        <v>125</v>
      </c>
      <c r="B1350">
        <f>IF($B$4="life-table",(B1103+B1104)/2,IF($B$4="beginning",B1103,B1104))</f>
        <v/>
      </c>
      <c r="C1350">
        <f>IF($B$4="life-table",(C1103+C1104)/2,IF($B$4="beginning",C1103,C1104))</f>
        <v/>
      </c>
      <c r="D1350">
        <f>IF($B$4="life-table",(D1103+D1104)/2,IF($B$4="beginning",D1103,D1104))</f>
        <v/>
      </c>
      <c r="F1350">
        <f>((B1350*$B$139+C1350*$C$139+D1350*$D$139)+(B1350*$B$379+C1350*$C$379+D1350*$D$379)+(B1350*$B$619+C1350*$C$619+D1350*$D$619))/(1+$B$2)^(124)</f>
        <v/>
      </c>
      <c r="G1350">
        <f>((B1350*$B$859+C1350*$C$859+D1350*$D$859))/(1+$B$3)^(124)</f>
        <v/>
      </c>
    </row>
    <row r="1351">
      <c r="A1351" t="n">
        <v>126</v>
      </c>
      <c r="B1351">
        <f>IF($B$4="life-table",(B1104+B1105)/2,IF($B$4="beginning",B1104,B1105))</f>
        <v/>
      </c>
      <c r="C1351">
        <f>IF($B$4="life-table",(C1104+C1105)/2,IF($B$4="beginning",C1104,C1105))</f>
        <v/>
      </c>
      <c r="D1351">
        <f>IF($B$4="life-table",(D1104+D1105)/2,IF($B$4="beginning",D1104,D1105))</f>
        <v/>
      </c>
      <c r="F1351">
        <f>((B1351*$B$140+C1351*$C$140+D1351*$D$140)+(B1351*$B$380+C1351*$C$380+D1351*$D$380)+(B1351*$B$620+C1351*$C$620+D1351*$D$620))/(1+$B$2)^(125)</f>
        <v/>
      </c>
      <c r="G1351">
        <f>((B1351*$B$860+C1351*$C$860+D1351*$D$860))/(1+$B$3)^(125)</f>
        <v/>
      </c>
    </row>
    <row r="1352">
      <c r="A1352" t="n">
        <v>127</v>
      </c>
      <c r="B1352">
        <f>IF($B$4="life-table",(B1105+B1106)/2,IF($B$4="beginning",B1105,B1106))</f>
        <v/>
      </c>
      <c r="C1352">
        <f>IF($B$4="life-table",(C1105+C1106)/2,IF($B$4="beginning",C1105,C1106))</f>
        <v/>
      </c>
      <c r="D1352">
        <f>IF($B$4="life-table",(D1105+D1106)/2,IF($B$4="beginning",D1105,D1106))</f>
        <v/>
      </c>
      <c r="F1352">
        <f>((B1352*$B$141+C1352*$C$141+D1352*$D$141)+(B1352*$B$381+C1352*$C$381+D1352*$D$381)+(B1352*$B$621+C1352*$C$621+D1352*$D$621))/(1+$B$2)^(126)</f>
        <v/>
      </c>
      <c r="G1352">
        <f>((B1352*$B$861+C1352*$C$861+D1352*$D$861))/(1+$B$3)^(126)</f>
        <v/>
      </c>
    </row>
    <row r="1353">
      <c r="A1353" t="n">
        <v>128</v>
      </c>
      <c r="B1353">
        <f>IF($B$4="life-table",(B1106+B1107)/2,IF($B$4="beginning",B1106,B1107))</f>
        <v/>
      </c>
      <c r="C1353">
        <f>IF($B$4="life-table",(C1106+C1107)/2,IF($B$4="beginning",C1106,C1107))</f>
        <v/>
      </c>
      <c r="D1353">
        <f>IF($B$4="life-table",(D1106+D1107)/2,IF($B$4="beginning",D1106,D1107))</f>
        <v/>
      </c>
      <c r="F1353">
        <f>((B1353*$B$142+C1353*$C$142+D1353*$D$142)+(B1353*$B$382+C1353*$C$382+D1353*$D$382)+(B1353*$B$622+C1353*$C$622+D1353*$D$622))/(1+$B$2)^(127)</f>
        <v/>
      </c>
      <c r="G1353">
        <f>((B1353*$B$862+C1353*$C$862+D1353*$D$862))/(1+$B$3)^(127)</f>
        <v/>
      </c>
    </row>
    <row r="1354">
      <c r="A1354" t="n">
        <v>129</v>
      </c>
      <c r="B1354">
        <f>IF($B$4="life-table",(B1107+B1108)/2,IF($B$4="beginning",B1107,B1108))</f>
        <v/>
      </c>
      <c r="C1354">
        <f>IF($B$4="life-table",(C1107+C1108)/2,IF($B$4="beginning",C1107,C1108))</f>
        <v/>
      </c>
      <c r="D1354">
        <f>IF($B$4="life-table",(D1107+D1108)/2,IF($B$4="beginning",D1107,D1108))</f>
        <v/>
      </c>
      <c r="F1354">
        <f>((B1354*$B$143+C1354*$C$143+D1354*$D$143)+(B1354*$B$383+C1354*$C$383+D1354*$D$383)+(B1354*$B$623+C1354*$C$623+D1354*$D$623))/(1+$B$2)^(128)</f>
        <v/>
      </c>
      <c r="G1354">
        <f>((B1354*$B$863+C1354*$C$863+D1354*$D$863))/(1+$B$3)^(128)</f>
        <v/>
      </c>
    </row>
    <row r="1355">
      <c r="A1355" t="n">
        <v>130</v>
      </c>
      <c r="B1355">
        <f>IF($B$4="life-table",(B1108+B1109)/2,IF($B$4="beginning",B1108,B1109))</f>
        <v/>
      </c>
      <c r="C1355">
        <f>IF($B$4="life-table",(C1108+C1109)/2,IF($B$4="beginning",C1108,C1109))</f>
        <v/>
      </c>
      <c r="D1355">
        <f>IF($B$4="life-table",(D1108+D1109)/2,IF($B$4="beginning",D1108,D1109))</f>
        <v/>
      </c>
      <c r="F1355">
        <f>((B1355*$B$144+C1355*$C$144+D1355*$D$144)+(B1355*$B$384+C1355*$C$384+D1355*$D$384)+(B1355*$B$624+C1355*$C$624+D1355*$D$624))/(1+$B$2)^(129)</f>
        <v/>
      </c>
      <c r="G1355">
        <f>((B1355*$B$864+C1355*$C$864+D1355*$D$864))/(1+$B$3)^(129)</f>
        <v/>
      </c>
    </row>
    <row r="1356">
      <c r="A1356" t="n">
        <v>131</v>
      </c>
      <c r="B1356">
        <f>IF($B$4="life-table",(B1109+B1110)/2,IF($B$4="beginning",B1109,B1110))</f>
        <v/>
      </c>
      <c r="C1356">
        <f>IF($B$4="life-table",(C1109+C1110)/2,IF($B$4="beginning",C1109,C1110))</f>
        <v/>
      </c>
      <c r="D1356">
        <f>IF($B$4="life-table",(D1109+D1110)/2,IF($B$4="beginning",D1109,D1110))</f>
        <v/>
      </c>
      <c r="F1356">
        <f>((B1356*$B$145+C1356*$C$145+D1356*$D$145)+(B1356*$B$385+C1356*$C$385+D1356*$D$385)+(B1356*$B$625+C1356*$C$625+D1356*$D$625))/(1+$B$2)^(130)</f>
        <v/>
      </c>
      <c r="G1356">
        <f>((B1356*$B$865+C1356*$C$865+D1356*$D$865))/(1+$B$3)^(130)</f>
        <v/>
      </c>
    </row>
    <row r="1357">
      <c r="A1357" t="n">
        <v>132</v>
      </c>
      <c r="B1357">
        <f>IF($B$4="life-table",(B1110+B1111)/2,IF($B$4="beginning",B1110,B1111))</f>
        <v/>
      </c>
      <c r="C1357">
        <f>IF($B$4="life-table",(C1110+C1111)/2,IF($B$4="beginning",C1110,C1111))</f>
        <v/>
      </c>
      <c r="D1357">
        <f>IF($B$4="life-table",(D1110+D1111)/2,IF($B$4="beginning",D1110,D1111))</f>
        <v/>
      </c>
      <c r="F1357">
        <f>((B1357*$B$146+C1357*$C$146+D1357*$D$146)+(B1357*$B$386+C1357*$C$386+D1357*$D$386)+(B1357*$B$626+C1357*$C$626+D1357*$D$626))/(1+$B$2)^(131)</f>
        <v/>
      </c>
      <c r="G1357">
        <f>((B1357*$B$866+C1357*$C$866+D1357*$D$866))/(1+$B$3)^(131)</f>
        <v/>
      </c>
    </row>
    <row r="1358">
      <c r="A1358" t="n">
        <v>133</v>
      </c>
      <c r="B1358">
        <f>IF($B$4="life-table",(B1111+B1112)/2,IF($B$4="beginning",B1111,B1112))</f>
        <v/>
      </c>
      <c r="C1358">
        <f>IF($B$4="life-table",(C1111+C1112)/2,IF($B$4="beginning",C1111,C1112))</f>
        <v/>
      </c>
      <c r="D1358">
        <f>IF($B$4="life-table",(D1111+D1112)/2,IF($B$4="beginning",D1111,D1112))</f>
        <v/>
      </c>
      <c r="F1358">
        <f>((B1358*$B$147+C1358*$C$147+D1358*$D$147)+(B1358*$B$387+C1358*$C$387+D1358*$D$387)+(B1358*$B$627+C1358*$C$627+D1358*$D$627))/(1+$B$2)^(132)</f>
        <v/>
      </c>
      <c r="G1358">
        <f>((B1358*$B$867+C1358*$C$867+D1358*$D$867))/(1+$B$3)^(132)</f>
        <v/>
      </c>
    </row>
    <row r="1359">
      <c r="A1359" t="n">
        <v>134</v>
      </c>
      <c r="B1359">
        <f>IF($B$4="life-table",(B1112+B1113)/2,IF($B$4="beginning",B1112,B1113))</f>
        <v/>
      </c>
      <c r="C1359">
        <f>IF($B$4="life-table",(C1112+C1113)/2,IF($B$4="beginning",C1112,C1113))</f>
        <v/>
      </c>
      <c r="D1359">
        <f>IF($B$4="life-table",(D1112+D1113)/2,IF($B$4="beginning",D1112,D1113))</f>
        <v/>
      </c>
      <c r="F1359">
        <f>((B1359*$B$148+C1359*$C$148+D1359*$D$148)+(B1359*$B$388+C1359*$C$388+D1359*$D$388)+(B1359*$B$628+C1359*$C$628+D1359*$D$628))/(1+$B$2)^(133)</f>
        <v/>
      </c>
      <c r="G1359">
        <f>((B1359*$B$868+C1359*$C$868+D1359*$D$868))/(1+$B$3)^(133)</f>
        <v/>
      </c>
    </row>
    <row r="1360">
      <c r="A1360" t="n">
        <v>135</v>
      </c>
      <c r="B1360">
        <f>IF($B$4="life-table",(B1113+B1114)/2,IF($B$4="beginning",B1113,B1114))</f>
        <v/>
      </c>
      <c r="C1360">
        <f>IF($B$4="life-table",(C1113+C1114)/2,IF($B$4="beginning",C1113,C1114))</f>
        <v/>
      </c>
      <c r="D1360">
        <f>IF($B$4="life-table",(D1113+D1114)/2,IF($B$4="beginning",D1113,D1114))</f>
        <v/>
      </c>
      <c r="F1360">
        <f>((B1360*$B$149+C1360*$C$149+D1360*$D$149)+(B1360*$B$389+C1360*$C$389+D1360*$D$389)+(B1360*$B$629+C1360*$C$629+D1360*$D$629))/(1+$B$2)^(134)</f>
        <v/>
      </c>
      <c r="G1360">
        <f>((B1360*$B$869+C1360*$C$869+D1360*$D$869))/(1+$B$3)^(134)</f>
        <v/>
      </c>
    </row>
    <row r="1361">
      <c r="A1361" t="n">
        <v>136</v>
      </c>
      <c r="B1361">
        <f>IF($B$4="life-table",(B1114+B1115)/2,IF($B$4="beginning",B1114,B1115))</f>
        <v/>
      </c>
      <c r="C1361">
        <f>IF($B$4="life-table",(C1114+C1115)/2,IF($B$4="beginning",C1114,C1115))</f>
        <v/>
      </c>
      <c r="D1361">
        <f>IF($B$4="life-table",(D1114+D1115)/2,IF($B$4="beginning",D1114,D1115))</f>
        <v/>
      </c>
      <c r="F1361">
        <f>((B1361*$B$150+C1361*$C$150+D1361*$D$150)+(B1361*$B$390+C1361*$C$390+D1361*$D$390)+(B1361*$B$630+C1361*$C$630+D1361*$D$630))/(1+$B$2)^(135)</f>
        <v/>
      </c>
      <c r="G1361">
        <f>((B1361*$B$870+C1361*$C$870+D1361*$D$870))/(1+$B$3)^(135)</f>
        <v/>
      </c>
    </row>
    <row r="1362">
      <c r="A1362" t="n">
        <v>137</v>
      </c>
      <c r="B1362">
        <f>IF($B$4="life-table",(B1115+B1116)/2,IF($B$4="beginning",B1115,B1116))</f>
        <v/>
      </c>
      <c r="C1362">
        <f>IF($B$4="life-table",(C1115+C1116)/2,IF($B$4="beginning",C1115,C1116))</f>
        <v/>
      </c>
      <c r="D1362">
        <f>IF($B$4="life-table",(D1115+D1116)/2,IF($B$4="beginning",D1115,D1116))</f>
        <v/>
      </c>
      <c r="F1362">
        <f>((B1362*$B$151+C1362*$C$151+D1362*$D$151)+(B1362*$B$391+C1362*$C$391+D1362*$D$391)+(B1362*$B$631+C1362*$C$631+D1362*$D$631))/(1+$B$2)^(136)</f>
        <v/>
      </c>
      <c r="G1362">
        <f>((B1362*$B$871+C1362*$C$871+D1362*$D$871))/(1+$B$3)^(136)</f>
        <v/>
      </c>
    </row>
    <row r="1363">
      <c r="A1363" t="n">
        <v>138</v>
      </c>
      <c r="B1363">
        <f>IF($B$4="life-table",(B1116+B1117)/2,IF($B$4="beginning",B1116,B1117))</f>
        <v/>
      </c>
      <c r="C1363">
        <f>IF($B$4="life-table",(C1116+C1117)/2,IF($B$4="beginning",C1116,C1117))</f>
        <v/>
      </c>
      <c r="D1363">
        <f>IF($B$4="life-table",(D1116+D1117)/2,IF($B$4="beginning",D1116,D1117))</f>
        <v/>
      </c>
      <c r="F1363">
        <f>((B1363*$B$152+C1363*$C$152+D1363*$D$152)+(B1363*$B$392+C1363*$C$392+D1363*$D$392)+(B1363*$B$632+C1363*$C$632+D1363*$D$632))/(1+$B$2)^(137)</f>
        <v/>
      </c>
      <c r="G1363">
        <f>((B1363*$B$872+C1363*$C$872+D1363*$D$872))/(1+$B$3)^(137)</f>
        <v/>
      </c>
    </row>
    <row r="1364">
      <c r="A1364" t="n">
        <v>139</v>
      </c>
      <c r="B1364">
        <f>IF($B$4="life-table",(B1117+B1118)/2,IF($B$4="beginning",B1117,B1118))</f>
        <v/>
      </c>
      <c r="C1364">
        <f>IF($B$4="life-table",(C1117+C1118)/2,IF($B$4="beginning",C1117,C1118))</f>
        <v/>
      </c>
      <c r="D1364">
        <f>IF($B$4="life-table",(D1117+D1118)/2,IF($B$4="beginning",D1117,D1118))</f>
        <v/>
      </c>
      <c r="F1364">
        <f>((B1364*$B$153+C1364*$C$153+D1364*$D$153)+(B1364*$B$393+C1364*$C$393+D1364*$D$393)+(B1364*$B$633+C1364*$C$633+D1364*$D$633))/(1+$B$2)^(138)</f>
        <v/>
      </c>
      <c r="G1364">
        <f>((B1364*$B$873+C1364*$C$873+D1364*$D$873))/(1+$B$3)^(138)</f>
        <v/>
      </c>
    </row>
    <row r="1365">
      <c r="A1365" t="n">
        <v>140</v>
      </c>
      <c r="B1365">
        <f>IF($B$4="life-table",(B1118+B1119)/2,IF($B$4="beginning",B1118,B1119))</f>
        <v/>
      </c>
      <c r="C1365">
        <f>IF($B$4="life-table",(C1118+C1119)/2,IF($B$4="beginning",C1118,C1119))</f>
        <v/>
      </c>
      <c r="D1365">
        <f>IF($B$4="life-table",(D1118+D1119)/2,IF($B$4="beginning",D1118,D1119))</f>
        <v/>
      </c>
      <c r="F1365">
        <f>((B1365*$B$154+C1365*$C$154+D1365*$D$154)+(B1365*$B$394+C1365*$C$394+D1365*$D$394)+(B1365*$B$634+C1365*$C$634+D1365*$D$634))/(1+$B$2)^(139)</f>
        <v/>
      </c>
      <c r="G1365">
        <f>((B1365*$B$874+C1365*$C$874+D1365*$D$874))/(1+$B$3)^(139)</f>
        <v/>
      </c>
    </row>
    <row r="1366">
      <c r="A1366" t="n">
        <v>141</v>
      </c>
      <c r="B1366">
        <f>IF($B$4="life-table",(B1119+B1120)/2,IF($B$4="beginning",B1119,B1120))</f>
        <v/>
      </c>
      <c r="C1366">
        <f>IF($B$4="life-table",(C1119+C1120)/2,IF($B$4="beginning",C1119,C1120))</f>
        <v/>
      </c>
      <c r="D1366">
        <f>IF($B$4="life-table",(D1119+D1120)/2,IF($B$4="beginning",D1119,D1120))</f>
        <v/>
      </c>
      <c r="F1366">
        <f>((B1366*$B$155+C1366*$C$155+D1366*$D$155)+(B1366*$B$395+C1366*$C$395+D1366*$D$395)+(B1366*$B$635+C1366*$C$635+D1366*$D$635))/(1+$B$2)^(140)</f>
        <v/>
      </c>
      <c r="G1366">
        <f>((B1366*$B$875+C1366*$C$875+D1366*$D$875))/(1+$B$3)^(140)</f>
        <v/>
      </c>
    </row>
    <row r="1367">
      <c r="A1367" t="n">
        <v>142</v>
      </c>
      <c r="B1367">
        <f>IF($B$4="life-table",(B1120+B1121)/2,IF($B$4="beginning",B1120,B1121))</f>
        <v/>
      </c>
      <c r="C1367">
        <f>IF($B$4="life-table",(C1120+C1121)/2,IF($B$4="beginning",C1120,C1121))</f>
        <v/>
      </c>
      <c r="D1367">
        <f>IF($B$4="life-table",(D1120+D1121)/2,IF($B$4="beginning",D1120,D1121))</f>
        <v/>
      </c>
      <c r="F1367">
        <f>((B1367*$B$156+C1367*$C$156+D1367*$D$156)+(B1367*$B$396+C1367*$C$396+D1367*$D$396)+(B1367*$B$636+C1367*$C$636+D1367*$D$636))/(1+$B$2)^(141)</f>
        <v/>
      </c>
      <c r="G1367">
        <f>((B1367*$B$876+C1367*$C$876+D1367*$D$876))/(1+$B$3)^(141)</f>
        <v/>
      </c>
    </row>
    <row r="1368">
      <c r="A1368" t="n">
        <v>143</v>
      </c>
      <c r="B1368">
        <f>IF($B$4="life-table",(B1121+B1122)/2,IF($B$4="beginning",B1121,B1122))</f>
        <v/>
      </c>
      <c r="C1368">
        <f>IF($B$4="life-table",(C1121+C1122)/2,IF($B$4="beginning",C1121,C1122))</f>
        <v/>
      </c>
      <c r="D1368">
        <f>IF($B$4="life-table",(D1121+D1122)/2,IF($B$4="beginning",D1121,D1122))</f>
        <v/>
      </c>
      <c r="F1368">
        <f>((B1368*$B$157+C1368*$C$157+D1368*$D$157)+(B1368*$B$397+C1368*$C$397+D1368*$D$397)+(B1368*$B$637+C1368*$C$637+D1368*$D$637))/(1+$B$2)^(142)</f>
        <v/>
      </c>
      <c r="G1368">
        <f>((B1368*$B$877+C1368*$C$877+D1368*$D$877))/(1+$B$3)^(142)</f>
        <v/>
      </c>
    </row>
    <row r="1369">
      <c r="A1369" t="n">
        <v>144</v>
      </c>
      <c r="B1369">
        <f>IF($B$4="life-table",(B1122+B1123)/2,IF($B$4="beginning",B1122,B1123))</f>
        <v/>
      </c>
      <c r="C1369">
        <f>IF($B$4="life-table",(C1122+C1123)/2,IF($B$4="beginning",C1122,C1123))</f>
        <v/>
      </c>
      <c r="D1369">
        <f>IF($B$4="life-table",(D1122+D1123)/2,IF($B$4="beginning",D1122,D1123))</f>
        <v/>
      </c>
      <c r="F1369">
        <f>((B1369*$B$158+C1369*$C$158+D1369*$D$158)+(B1369*$B$398+C1369*$C$398+D1369*$D$398)+(B1369*$B$638+C1369*$C$638+D1369*$D$638))/(1+$B$2)^(143)</f>
        <v/>
      </c>
      <c r="G1369">
        <f>((B1369*$B$878+C1369*$C$878+D1369*$D$878))/(1+$B$3)^(143)</f>
        <v/>
      </c>
    </row>
    <row r="1370">
      <c r="A1370" t="n">
        <v>145</v>
      </c>
      <c r="B1370">
        <f>IF($B$4="life-table",(B1123+B1124)/2,IF($B$4="beginning",B1123,B1124))</f>
        <v/>
      </c>
      <c r="C1370">
        <f>IF($B$4="life-table",(C1123+C1124)/2,IF($B$4="beginning",C1123,C1124))</f>
        <v/>
      </c>
      <c r="D1370">
        <f>IF($B$4="life-table",(D1123+D1124)/2,IF($B$4="beginning",D1123,D1124))</f>
        <v/>
      </c>
      <c r="F1370">
        <f>((B1370*$B$159+C1370*$C$159+D1370*$D$159)+(B1370*$B$399+C1370*$C$399+D1370*$D$399)+(B1370*$B$639+C1370*$C$639+D1370*$D$639))/(1+$B$2)^(144)</f>
        <v/>
      </c>
      <c r="G1370">
        <f>((B1370*$B$879+C1370*$C$879+D1370*$D$879))/(1+$B$3)^(144)</f>
        <v/>
      </c>
    </row>
    <row r="1371">
      <c r="A1371" t="n">
        <v>146</v>
      </c>
      <c r="B1371">
        <f>IF($B$4="life-table",(B1124+B1125)/2,IF($B$4="beginning",B1124,B1125))</f>
        <v/>
      </c>
      <c r="C1371">
        <f>IF($B$4="life-table",(C1124+C1125)/2,IF($B$4="beginning",C1124,C1125))</f>
        <v/>
      </c>
      <c r="D1371">
        <f>IF($B$4="life-table",(D1124+D1125)/2,IF($B$4="beginning",D1124,D1125))</f>
        <v/>
      </c>
      <c r="F1371">
        <f>((B1371*$B$160+C1371*$C$160+D1371*$D$160)+(B1371*$B$400+C1371*$C$400+D1371*$D$400)+(B1371*$B$640+C1371*$C$640+D1371*$D$640))/(1+$B$2)^(145)</f>
        <v/>
      </c>
      <c r="G1371">
        <f>((B1371*$B$880+C1371*$C$880+D1371*$D$880))/(1+$B$3)^(145)</f>
        <v/>
      </c>
    </row>
    <row r="1372">
      <c r="A1372" t="n">
        <v>147</v>
      </c>
      <c r="B1372">
        <f>IF($B$4="life-table",(B1125+B1126)/2,IF($B$4="beginning",B1125,B1126))</f>
        <v/>
      </c>
      <c r="C1372">
        <f>IF($B$4="life-table",(C1125+C1126)/2,IF($B$4="beginning",C1125,C1126))</f>
        <v/>
      </c>
      <c r="D1372">
        <f>IF($B$4="life-table",(D1125+D1126)/2,IF($B$4="beginning",D1125,D1126))</f>
        <v/>
      </c>
      <c r="F1372">
        <f>((B1372*$B$161+C1372*$C$161+D1372*$D$161)+(B1372*$B$401+C1372*$C$401+D1372*$D$401)+(B1372*$B$641+C1372*$C$641+D1372*$D$641))/(1+$B$2)^(146)</f>
        <v/>
      </c>
      <c r="G1372">
        <f>((B1372*$B$881+C1372*$C$881+D1372*$D$881))/(1+$B$3)^(146)</f>
        <v/>
      </c>
    </row>
    <row r="1373">
      <c r="A1373" t="n">
        <v>148</v>
      </c>
      <c r="B1373">
        <f>IF($B$4="life-table",(B1126+B1127)/2,IF($B$4="beginning",B1126,B1127))</f>
        <v/>
      </c>
      <c r="C1373">
        <f>IF($B$4="life-table",(C1126+C1127)/2,IF($B$4="beginning",C1126,C1127))</f>
        <v/>
      </c>
      <c r="D1373">
        <f>IF($B$4="life-table",(D1126+D1127)/2,IF($B$4="beginning",D1126,D1127))</f>
        <v/>
      </c>
      <c r="F1373">
        <f>((B1373*$B$162+C1373*$C$162+D1373*$D$162)+(B1373*$B$402+C1373*$C$402+D1373*$D$402)+(B1373*$B$642+C1373*$C$642+D1373*$D$642))/(1+$B$2)^(147)</f>
        <v/>
      </c>
      <c r="G1373">
        <f>((B1373*$B$882+C1373*$C$882+D1373*$D$882))/(1+$B$3)^(147)</f>
        <v/>
      </c>
    </row>
    <row r="1374">
      <c r="A1374" t="n">
        <v>149</v>
      </c>
      <c r="B1374">
        <f>IF($B$4="life-table",(B1127+B1128)/2,IF($B$4="beginning",B1127,B1128))</f>
        <v/>
      </c>
      <c r="C1374">
        <f>IF($B$4="life-table",(C1127+C1128)/2,IF($B$4="beginning",C1127,C1128))</f>
        <v/>
      </c>
      <c r="D1374">
        <f>IF($B$4="life-table",(D1127+D1128)/2,IF($B$4="beginning",D1127,D1128))</f>
        <v/>
      </c>
      <c r="F1374">
        <f>((B1374*$B$163+C1374*$C$163+D1374*$D$163)+(B1374*$B$403+C1374*$C$403+D1374*$D$403)+(B1374*$B$643+C1374*$C$643+D1374*$D$643))/(1+$B$2)^(148)</f>
        <v/>
      </c>
      <c r="G1374">
        <f>((B1374*$B$883+C1374*$C$883+D1374*$D$883))/(1+$B$3)^(148)</f>
        <v/>
      </c>
    </row>
    <row r="1375">
      <c r="A1375" t="n">
        <v>150</v>
      </c>
      <c r="B1375">
        <f>IF($B$4="life-table",(B1128+B1129)/2,IF($B$4="beginning",B1128,B1129))</f>
        <v/>
      </c>
      <c r="C1375">
        <f>IF($B$4="life-table",(C1128+C1129)/2,IF($B$4="beginning",C1128,C1129))</f>
        <v/>
      </c>
      <c r="D1375">
        <f>IF($B$4="life-table",(D1128+D1129)/2,IF($B$4="beginning",D1128,D1129))</f>
        <v/>
      </c>
      <c r="F1375">
        <f>((B1375*$B$164+C1375*$C$164+D1375*$D$164)+(B1375*$B$404+C1375*$C$404+D1375*$D$404)+(B1375*$B$644+C1375*$C$644+D1375*$D$644))/(1+$B$2)^(149)</f>
        <v/>
      </c>
      <c r="G1375">
        <f>((B1375*$B$884+C1375*$C$884+D1375*$D$884))/(1+$B$3)^(149)</f>
        <v/>
      </c>
    </row>
    <row r="1376">
      <c r="A1376" t="n">
        <v>151</v>
      </c>
      <c r="B1376">
        <f>IF($B$4="life-table",(B1129+B1130)/2,IF($B$4="beginning",B1129,B1130))</f>
        <v/>
      </c>
      <c r="C1376">
        <f>IF($B$4="life-table",(C1129+C1130)/2,IF($B$4="beginning",C1129,C1130))</f>
        <v/>
      </c>
      <c r="D1376">
        <f>IF($B$4="life-table",(D1129+D1130)/2,IF($B$4="beginning",D1129,D1130))</f>
        <v/>
      </c>
      <c r="F1376">
        <f>((B1376*$B$165+C1376*$C$165+D1376*$D$165)+(B1376*$B$405+C1376*$C$405+D1376*$D$405)+(B1376*$B$645+C1376*$C$645+D1376*$D$645))/(1+$B$2)^(150)</f>
        <v/>
      </c>
      <c r="G1376">
        <f>((B1376*$B$885+C1376*$C$885+D1376*$D$885))/(1+$B$3)^(150)</f>
        <v/>
      </c>
    </row>
    <row r="1377">
      <c r="A1377" t="n">
        <v>152</v>
      </c>
      <c r="B1377">
        <f>IF($B$4="life-table",(B1130+B1131)/2,IF($B$4="beginning",B1130,B1131))</f>
        <v/>
      </c>
      <c r="C1377">
        <f>IF($B$4="life-table",(C1130+C1131)/2,IF($B$4="beginning",C1130,C1131))</f>
        <v/>
      </c>
      <c r="D1377">
        <f>IF($B$4="life-table",(D1130+D1131)/2,IF($B$4="beginning",D1130,D1131))</f>
        <v/>
      </c>
      <c r="F1377">
        <f>((B1377*$B$166+C1377*$C$166+D1377*$D$166)+(B1377*$B$406+C1377*$C$406+D1377*$D$406)+(B1377*$B$646+C1377*$C$646+D1377*$D$646))/(1+$B$2)^(151)</f>
        <v/>
      </c>
      <c r="G1377">
        <f>((B1377*$B$886+C1377*$C$886+D1377*$D$886))/(1+$B$3)^(151)</f>
        <v/>
      </c>
    </row>
    <row r="1378">
      <c r="A1378" t="n">
        <v>153</v>
      </c>
      <c r="B1378">
        <f>IF($B$4="life-table",(B1131+B1132)/2,IF($B$4="beginning",B1131,B1132))</f>
        <v/>
      </c>
      <c r="C1378">
        <f>IF($B$4="life-table",(C1131+C1132)/2,IF($B$4="beginning",C1131,C1132))</f>
        <v/>
      </c>
      <c r="D1378">
        <f>IF($B$4="life-table",(D1131+D1132)/2,IF($B$4="beginning",D1131,D1132))</f>
        <v/>
      </c>
      <c r="F1378">
        <f>((B1378*$B$167+C1378*$C$167+D1378*$D$167)+(B1378*$B$407+C1378*$C$407+D1378*$D$407)+(B1378*$B$647+C1378*$C$647+D1378*$D$647))/(1+$B$2)^(152)</f>
        <v/>
      </c>
      <c r="G1378">
        <f>((B1378*$B$887+C1378*$C$887+D1378*$D$887))/(1+$B$3)^(152)</f>
        <v/>
      </c>
    </row>
    <row r="1379">
      <c r="A1379" t="n">
        <v>154</v>
      </c>
      <c r="B1379">
        <f>IF($B$4="life-table",(B1132+B1133)/2,IF($B$4="beginning",B1132,B1133))</f>
        <v/>
      </c>
      <c r="C1379">
        <f>IF($B$4="life-table",(C1132+C1133)/2,IF($B$4="beginning",C1132,C1133))</f>
        <v/>
      </c>
      <c r="D1379">
        <f>IF($B$4="life-table",(D1132+D1133)/2,IF($B$4="beginning",D1132,D1133))</f>
        <v/>
      </c>
      <c r="F1379">
        <f>((B1379*$B$168+C1379*$C$168+D1379*$D$168)+(B1379*$B$408+C1379*$C$408+D1379*$D$408)+(B1379*$B$648+C1379*$C$648+D1379*$D$648))/(1+$B$2)^(153)</f>
        <v/>
      </c>
      <c r="G1379">
        <f>((B1379*$B$888+C1379*$C$888+D1379*$D$888))/(1+$B$3)^(153)</f>
        <v/>
      </c>
    </row>
    <row r="1380">
      <c r="A1380" t="n">
        <v>155</v>
      </c>
      <c r="B1380">
        <f>IF($B$4="life-table",(B1133+B1134)/2,IF($B$4="beginning",B1133,B1134))</f>
        <v/>
      </c>
      <c r="C1380">
        <f>IF($B$4="life-table",(C1133+C1134)/2,IF($B$4="beginning",C1133,C1134))</f>
        <v/>
      </c>
      <c r="D1380">
        <f>IF($B$4="life-table",(D1133+D1134)/2,IF($B$4="beginning",D1133,D1134))</f>
        <v/>
      </c>
      <c r="F1380">
        <f>((B1380*$B$169+C1380*$C$169+D1380*$D$169)+(B1380*$B$409+C1380*$C$409+D1380*$D$409)+(B1380*$B$649+C1380*$C$649+D1380*$D$649))/(1+$B$2)^(154)</f>
        <v/>
      </c>
      <c r="G1380">
        <f>((B1380*$B$889+C1380*$C$889+D1380*$D$889))/(1+$B$3)^(154)</f>
        <v/>
      </c>
    </row>
    <row r="1381">
      <c r="A1381" t="n">
        <v>156</v>
      </c>
      <c r="B1381">
        <f>IF($B$4="life-table",(B1134+B1135)/2,IF($B$4="beginning",B1134,B1135))</f>
        <v/>
      </c>
      <c r="C1381">
        <f>IF($B$4="life-table",(C1134+C1135)/2,IF($B$4="beginning",C1134,C1135))</f>
        <v/>
      </c>
      <c r="D1381">
        <f>IF($B$4="life-table",(D1134+D1135)/2,IF($B$4="beginning",D1134,D1135))</f>
        <v/>
      </c>
      <c r="F1381">
        <f>((B1381*$B$170+C1381*$C$170+D1381*$D$170)+(B1381*$B$410+C1381*$C$410+D1381*$D$410)+(B1381*$B$650+C1381*$C$650+D1381*$D$650))/(1+$B$2)^(155)</f>
        <v/>
      </c>
      <c r="G1381">
        <f>((B1381*$B$890+C1381*$C$890+D1381*$D$890))/(1+$B$3)^(155)</f>
        <v/>
      </c>
    </row>
    <row r="1382">
      <c r="A1382" t="n">
        <v>157</v>
      </c>
      <c r="B1382">
        <f>IF($B$4="life-table",(B1135+B1136)/2,IF($B$4="beginning",B1135,B1136))</f>
        <v/>
      </c>
      <c r="C1382">
        <f>IF($B$4="life-table",(C1135+C1136)/2,IF($B$4="beginning",C1135,C1136))</f>
        <v/>
      </c>
      <c r="D1382">
        <f>IF($B$4="life-table",(D1135+D1136)/2,IF($B$4="beginning",D1135,D1136))</f>
        <v/>
      </c>
      <c r="F1382">
        <f>((B1382*$B$171+C1382*$C$171+D1382*$D$171)+(B1382*$B$411+C1382*$C$411+D1382*$D$411)+(B1382*$B$651+C1382*$C$651+D1382*$D$651))/(1+$B$2)^(156)</f>
        <v/>
      </c>
      <c r="G1382">
        <f>((B1382*$B$891+C1382*$C$891+D1382*$D$891))/(1+$B$3)^(156)</f>
        <v/>
      </c>
    </row>
    <row r="1383">
      <c r="A1383" t="n">
        <v>158</v>
      </c>
      <c r="B1383">
        <f>IF($B$4="life-table",(B1136+B1137)/2,IF($B$4="beginning",B1136,B1137))</f>
        <v/>
      </c>
      <c r="C1383">
        <f>IF($B$4="life-table",(C1136+C1137)/2,IF($B$4="beginning",C1136,C1137))</f>
        <v/>
      </c>
      <c r="D1383">
        <f>IF($B$4="life-table",(D1136+D1137)/2,IF($B$4="beginning",D1136,D1137))</f>
        <v/>
      </c>
      <c r="F1383">
        <f>((B1383*$B$172+C1383*$C$172+D1383*$D$172)+(B1383*$B$412+C1383*$C$412+D1383*$D$412)+(B1383*$B$652+C1383*$C$652+D1383*$D$652))/(1+$B$2)^(157)</f>
        <v/>
      </c>
      <c r="G1383">
        <f>((B1383*$B$892+C1383*$C$892+D1383*$D$892))/(1+$B$3)^(157)</f>
        <v/>
      </c>
    </row>
    <row r="1384">
      <c r="A1384" t="n">
        <v>159</v>
      </c>
      <c r="B1384">
        <f>IF($B$4="life-table",(B1137+B1138)/2,IF($B$4="beginning",B1137,B1138))</f>
        <v/>
      </c>
      <c r="C1384">
        <f>IF($B$4="life-table",(C1137+C1138)/2,IF($B$4="beginning",C1137,C1138))</f>
        <v/>
      </c>
      <c r="D1384">
        <f>IF($B$4="life-table",(D1137+D1138)/2,IF($B$4="beginning",D1137,D1138))</f>
        <v/>
      </c>
      <c r="F1384">
        <f>((B1384*$B$173+C1384*$C$173+D1384*$D$173)+(B1384*$B$413+C1384*$C$413+D1384*$D$413)+(B1384*$B$653+C1384*$C$653+D1384*$D$653))/(1+$B$2)^(158)</f>
        <v/>
      </c>
      <c r="G1384">
        <f>((B1384*$B$893+C1384*$C$893+D1384*$D$893))/(1+$B$3)^(158)</f>
        <v/>
      </c>
    </row>
    <row r="1385">
      <c r="A1385" t="n">
        <v>160</v>
      </c>
      <c r="B1385">
        <f>IF($B$4="life-table",(B1138+B1139)/2,IF($B$4="beginning",B1138,B1139))</f>
        <v/>
      </c>
      <c r="C1385">
        <f>IF($B$4="life-table",(C1138+C1139)/2,IF($B$4="beginning",C1138,C1139))</f>
        <v/>
      </c>
      <c r="D1385">
        <f>IF($B$4="life-table",(D1138+D1139)/2,IF($B$4="beginning",D1138,D1139))</f>
        <v/>
      </c>
      <c r="F1385">
        <f>((B1385*$B$174+C1385*$C$174+D1385*$D$174)+(B1385*$B$414+C1385*$C$414+D1385*$D$414)+(B1385*$B$654+C1385*$C$654+D1385*$D$654))/(1+$B$2)^(159)</f>
        <v/>
      </c>
      <c r="G1385">
        <f>((B1385*$B$894+C1385*$C$894+D1385*$D$894))/(1+$B$3)^(159)</f>
        <v/>
      </c>
    </row>
    <row r="1386">
      <c r="A1386" t="n">
        <v>161</v>
      </c>
      <c r="B1386">
        <f>IF($B$4="life-table",(B1139+B1140)/2,IF($B$4="beginning",B1139,B1140))</f>
        <v/>
      </c>
      <c r="C1386">
        <f>IF($B$4="life-table",(C1139+C1140)/2,IF($B$4="beginning",C1139,C1140))</f>
        <v/>
      </c>
      <c r="D1386">
        <f>IF($B$4="life-table",(D1139+D1140)/2,IF($B$4="beginning",D1139,D1140))</f>
        <v/>
      </c>
      <c r="F1386">
        <f>((B1386*$B$175+C1386*$C$175+D1386*$D$175)+(B1386*$B$415+C1386*$C$415+D1386*$D$415)+(B1386*$B$655+C1386*$C$655+D1386*$D$655))/(1+$B$2)^(160)</f>
        <v/>
      </c>
      <c r="G1386">
        <f>((B1386*$B$895+C1386*$C$895+D1386*$D$895))/(1+$B$3)^(160)</f>
        <v/>
      </c>
    </row>
    <row r="1387">
      <c r="A1387" t="n">
        <v>162</v>
      </c>
      <c r="B1387">
        <f>IF($B$4="life-table",(B1140+B1141)/2,IF($B$4="beginning",B1140,B1141))</f>
        <v/>
      </c>
      <c r="C1387">
        <f>IF($B$4="life-table",(C1140+C1141)/2,IF($B$4="beginning",C1140,C1141))</f>
        <v/>
      </c>
      <c r="D1387">
        <f>IF($B$4="life-table",(D1140+D1141)/2,IF($B$4="beginning",D1140,D1141))</f>
        <v/>
      </c>
      <c r="F1387">
        <f>((B1387*$B$176+C1387*$C$176+D1387*$D$176)+(B1387*$B$416+C1387*$C$416+D1387*$D$416)+(B1387*$B$656+C1387*$C$656+D1387*$D$656))/(1+$B$2)^(161)</f>
        <v/>
      </c>
      <c r="G1387">
        <f>((B1387*$B$896+C1387*$C$896+D1387*$D$896))/(1+$B$3)^(161)</f>
        <v/>
      </c>
    </row>
    <row r="1388">
      <c r="A1388" t="n">
        <v>163</v>
      </c>
      <c r="B1388">
        <f>IF($B$4="life-table",(B1141+B1142)/2,IF($B$4="beginning",B1141,B1142))</f>
        <v/>
      </c>
      <c r="C1388">
        <f>IF($B$4="life-table",(C1141+C1142)/2,IF($B$4="beginning",C1141,C1142))</f>
        <v/>
      </c>
      <c r="D1388">
        <f>IF($B$4="life-table",(D1141+D1142)/2,IF($B$4="beginning",D1141,D1142))</f>
        <v/>
      </c>
      <c r="F1388">
        <f>((B1388*$B$177+C1388*$C$177+D1388*$D$177)+(B1388*$B$417+C1388*$C$417+D1388*$D$417)+(B1388*$B$657+C1388*$C$657+D1388*$D$657))/(1+$B$2)^(162)</f>
        <v/>
      </c>
      <c r="G1388">
        <f>((B1388*$B$897+C1388*$C$897+D1388*$D$897))/(1+$B$3)^(162)</f>
        <v/>
      </c>
    </row>
    <row r="1389">
      <c r="A1389" t="n">
        <v>164</v>
      </c>
      <c r="B1389">
        <f>IF($B$4="life-table",(B1142+B1143)/2,IF($B$4="beginning",B1142,B1143))</f>
        <v/>
      </c>
      <c r="C1389">
        <f>IF($B$4="life-table",(C1142+C1143)/2,IF($B$4="beginning",C1142,C1143))</f>
        <v/>
      </c>
      <c r="D1389">
        <f>IF($B$4="life-table",(D1142+D1143)/2,IF($B$4="beginning",D1142,D1143))</f>
        <v/>
      </c>
      <c r="F1389">
        <f>((B1389*$B$178+C1389*$C$178+D1389*$D$178)+(B1389*$B$418+C1389*$C$418+D1389*$D$418)+(B1389*$B$658+C1389*$C$658+D1389*$D$658))/(1+$B$2)^(163)</f>
        <v/>
      </c>
      <c r="G1389">
        <f>((B1389*$B$898+C1389*$C$898+D1389*$D$898))/(1+$B$3)^(163)</f>
        <v/>
      </c>
    </row>
    <row r="1390">
      <c r="A1390" t="n">
        <v>165</v>
      </c>
      <c r="B1390">
        <f>IF($B$4="life-table",(B1143+B1144)/2,IF($B$4="beginning",B1143,B1144))</f>
        <v/>
      </c>
      <c r="C1390">
        <f>IF($B$4="life-table",(C1143+C1144)/2,IF($B$4="beginning",C1143,C1144))</f>
        <v/>
      </c>
      <c r="D1390">
        <f>IF($B$4="life-table",(D1143+D1144)/2,IF($B$4="beginning",D1143,D1144))</f>
        <v/>
      </c>
      <c r="F1390">
        <f>((B1390*$B$179+C1390*$C$179+D1390*$D$179)+(B1390*$B$419+C1390*$C$419+D1390*$D$419)+(B1390*$B$659+C1390*$C$659+D1390*$D$659))/(1+$B$2)^(164)</f>
        <v/>
      </c>
      <c r="G1390">
        <f>((B1390*$B$899+C1390*$C$899+D1390*$D$899))/(1+$B$3)^(164)</f>
        <v/>
      </c>
    </row>
    <row r="1391">
      <c r="A1391" t="n">
        <v>166</v>
      </c>
      <c r="B1391">
        <f>IF($B$4="life-table",(B1144+B1145)/2,IF($B$4="beginning",B1144,B1145))</f>
        <v/>
      </c>
      <c r="C1391">
        <f>IF($B$4="life-table",(C1144+C1145)/2,IF($B$4="beginning",C1144,C1145))</f>
        <v/>
      </c>
      <c r="D1391">
        <f>IF($B$4="life-table",(D1144+D1145)/2,IF($B$4="beginning",D1144,D1145))</f>
        <v/>
      </c>
      <c r="F1391">
        <f>((B1391*$B$180+C1391*$C$180+D1391*$D$180)+(B1391*$B$420+C1391*$C$420+D1391*$D$420)+(B1391*$B$660+C1391*$C$660+D1391*$D$660))/(1+$B$2)^(165)</f>
        <v/>
      </c>
      <c r="G1391">
        <f>((B1391*$B$900+C1391*$C$900+D1391*$D$900))/(1+$B$3)^(165)</f>
        <v/>
      </c>
    </row>
    <row r="1392">
      <c r="A1392" t="n">
        <v>167</v>
      </c>
      <c r="B1392">
        <f>IF($B$4="life-table",(B1145+B1146)/2,IF($B$4="beginning",B1145,B1146))</f>
        <v/>
      </c>
      <c r="C1392">
        <f>IF($B$4="life-table",(C1145+C1146)/2,IF($B$4="beginning",C1145,C1146))</f>
        <v/>
      </c>
      <c r="D1392">
        <f>IF($B$4="life-table",(D1145+D1146)/2,IF($B$4="beginning",D1145,D1146))</f>
        <v/>
      </c>
      <c r="F1392">
        <f>((B1392*$B$181+C1392*$C$181+D1392*$D$181)+(B1392*$B$421+C1392*$C$421+D1392*$D$421)+(B1392*$B$661+C1392*$C$661+D1392*$D$661))/(1+$B$2)^(166)</f>
        <v/>
      </c>
      <c r="G1392">
        <f>((B1392*$B$901+C1392*$C$901+D1392*$D$901))/(1+$B$3)^(166)</f>
        <v/>
      </c>
    </row>
    <row r="1393">
      <c r="A1393" t="n">
        <v>168</v>
      </c>
      <c r="B1393">
        <f>IF($B$4="life-table",(B1146+B1147)/2,IF($B$4="beginning",B1146,B1147))</f>
        <v/>
      </c>
      <c r="C1393">
        <f>IF($B$4="life-table",(C1146+C1147)/2,IF($B$4="beginning",C1146,C1147))</f>
        <v/>
      </c>
      <c r="D1393">
        <f>IF($B$4="life-table",(D1146+D1147)/2,IF($B$4="beginning",D1146,D1147))</f>
        <v/>
      </c>
      <c r="F1393">
        <f>((B1393*$B$182+C1393*$C$182+D1393*$D$182)+(B1393*$B$422+C1393*$C$422+D1393*$D$422)+(B1393*$B$662+C1393*$C$662+D1393*$D$662))/(1+$B$2)^(167)</f>
        <v/>
      </c>
      <c r="G1393">
        <f>((B1393*$B$902+C1393*$C$902+D1393*$D$902))/(1+$B$3)^(167)</f>
        <v/>
      </c>
    </row>
    <row r="1394">
      <c r="A1394" t="n">
        <v>169</v>
      </c>
      <c r="B1394">
        <f>IF($B$4="life-table",(B1147+B1148)/2,IF($B$4="beginning",B1147,B1148))</f>
        <v/>
      </c>
      <c r="C1394">
        <f>IF($B$4="life-table",(C1147+C1148)/2,IF($B$4="beginning",C1147,C1148))</f>
        <v/>
      </c>
      <c r="D1394">
        <f>IF($B$4="life-table",(D1147+D1148)/2,IF($B$4="beginning",D1147,D1148))</f>
        <v/>
      </c>
      <c r="F1394">
        <f>((B1394*$B$183+C1394*$C$183+D1394*$D$183)+(B1394*$B$423+C1394*$C$423+D1394*$D$423)+(B1394*$B$663+C1394*$C$663+D1394*$D$663))/(1+$B$2)^(168)</f>
        <v/>
      </c>
      <c r="G1394">
        <f>((B1394*$B$903+C1394*$C$903+D1394*$D$903))/(1+$B$3)^(168)</f>
        <v/>
      </c>
    </row>
    <row r="1395">
      <c r="A1395" t="n">
        <v>170</v>
      </c>
      <c r="B1395">
        <f>IF($B$4="life-table",(B1148+B1149)/2,IF($B$4="beginning",B1148,B1149))</f>
        <v/>
      </c>
      <c r="C1395">
        <f>IF($B$4="life-table",(C1148+C1149)/2,IF($B$4="beginning",C1148,C1149))</f>
        <v/>
      </c>
      <c r="D1395">
        <f>IF($B$4="life-table",(D1148+D1149)/2,IF($B$4="beginning",D1148,D1149))</f>
        <v/>
      </c>
      <c r="F1395">
        <f>((B1395*$B$184+C1395*$C$184+D1395*$D$184)+(B1395*$B$424+C1395*$C$424+D1395*$D$424)+(B1395*$B$664+C1395*$C$664+D1395*$D$664))/(1+$B$2)^(169)</f>
        <v/>
      </c>
      <c r="G1395">
        <f>((B1395*$B$904+C1395*$C$904+D1395*$D$904))/(1+$B$3)^(169)</f>
        <v/>
      </c>
    </row>
    <row r="1396">
      <c r="A1396" t="n">
        <v>171</v>
      </c>
      <c r="B1396">
        <f>IF($B$4="life-table",(B1149+B1150)/2,IF($B$4="beginning",B1149,B1150))</f>
        <v/>
      </c>
      <c r="C1396">
        <f>IF($B$4="life-table",(C1149+C1150)/2,IF($B$4="beginning",C1149,C1150))</f>
        <v/>
      </c>
      <c r="D1396">
        <f>IF($B$4="life-table",(D1149+D1150)/2,IF($B$4="beginning",D1149,D1150))</f>
        <v/>
      </c>
      <c r="F1396">
        <f>((B1396*$B$185+C1396*$C$185+D1396*$D$185)+(B1396*$B$425+C1396*$C$425+D1396*$D$425)+(B1396*$B$665+C1396*$C$665+D1396*$D$665))/(1+$B$2)^(170)</f>
        <v/>
      </c>
      <c r="G1396">
        <f>((B1396*$B$905+C1396*$C$905+D1396*$D$905))/(1+$B$3)^(170)</f>
        <v/>
      </c>
    </row>
    <row r="1397">
      <c r="A1397" t="n">
        <v>172</v>
      </c>
      <c r="B1397">
        <f>IF($B$4="life-table",(B1150+B1151)/2,IF($B$4="beginning",B1150,B1151))</f>
        <v/>
      </c>
      <c r="C1397">
        <f>IF($B$4="life-table",(C1150+C1151)/2,IF($B$4="beginning",C1150,C1151))</f>
        <v/>
      </c>
      <c r="D1397">
        <f>IF($B$4="life-table",(D1150+D1151)/2,IF($B$4="beginning",D1150,D1151))</f>
        <v/>
      </c>
      <c r="F1397">
        <f>((B1397*$B$186+C1397*$C$186+D1397*$D$186)+(B1397*$B$426+C1397*$C$426+D1397*$D$426)+(B1397*$B$666+C1397*$C$666+D1397*$D$666))/(1+$B$2)^(171)</f>
        <v/>
      </c>
      <c r="G1397">
        <f>((B1397*$B$906+C1397*$C$906+D1397*$D$906))/(1+$B$3)^(171)</f>
        <v/>
      </c>
    </row>
    <row r="1398">
      <c r="A1398" t="n">
        <v>173</v>
      </c>
      <c r="B1398">
        <f>IF($B$4="life-table",(B1151+B1152)/2,IF($B$4="beginning",B1151,B1152))</f>
        <v/>
      </c>
      <c r="C1398">
        <f>IF($B$4="life-table",(C1151+C1152)/2,IF($B$4="beginning",C1151,C1152))</f>
        <v/>
      </c>
      <c r="D1398">
        <f>IF($B$4="life-table",(D1151+D1152)/2,IF($B$4="beginning",D1151,D1152))</f>
        <v/>
      </c>
      <c r="F1398">
        <f>((B1398*$B$187+C1398*$C$187+D1398*$D$187)+(B1398*$B$427+C1398*$C$427+D1398*$D$427)+(B1398*$B$667+C1398*$C$667+D1398*$D$667))/(1+$B$2)^(172)</f>
        <v/>
      </c>
      <c r="G1398">
        <f>((B1398*$B$907+C1398*$C$907+D1398*$D$907))/(1+$B$3)^(172)</f>
        <v/>
      </c>
    </row>
    <row r="1399">
      <c r="A1399" t="n">
        <v>174</v>
      </c>
      <c r="B1399">
        <f>IF($B$4="life-table",(B1152+B1153)/2,IF($B$4="beginning",B1152,B1153))</f>
        <v/>
      </c>
      <c r="C1399">
        <f>IF($B$4="life-table",(C1152+C1153)/2,IF($B$4="beginning",C1152,C1153))</f>
        <v/>
      </c>
      <c r="D1399">
        <f>IF($B$4="life-table",(D1152+D1153)/2,IF($B$4="beginning",D1152,D1153))</f>
        <v/>
      </c>
      <c r="F1399">
        <f>((B1399*$B$188+C1399*$C$188+D1399*$D$188)+(B1399*$B$428+C1399*$C$428+D1399*$D$428)+(B1399*$B$668+C1399*$C$668+D1399*$D$668))/(1+$B$2)^(173)</f>
        <v/>
      </c>
      <c r="G1399">
        <f>((B1399*$B$908+C1399*$C$908+D1399*$D$908))/(1+$B$3)^(173)</f>
        <v/>
      </c>
    </row>
    <row r="1400">
      <c r="A1400" t="n">
        <v>175</v>
      </c>
      <c r="B1400">
        <f>IF($B$4="life-table",(B1153+B1154)/2,IF($B$4="beginning",B1153,B1154))</f>
        <v/>
      </c>
      <c r="C1400">
        <f>IF($B$4="life-table",(C1153+C1154)/2,IF($B$4="beginning",C1153,C1154))</f>
        <v/>
      </c>
      <c r="D1400">
        <f>IF($B$4="life-table",(D1153+D1154)/2,IF($B$4="beginning",D1153,D1154))</f>
        <v/>
      </c>
      <c r="F1400">
        <f>((B1400*$B$189+C1400*$C$189+D1400*$D$189)+(B1400*$B$429+C1400*$C$429+D1400*$D$429)+(B1400*$B$669+C1400*$C$669+D1400*$D$669))/(1+$B$2)^(174)</f>
        <v/>
      </c>
      <c r="G1400">
        <f>((B1400*$B$909+C1400*$C$909+D1400*$D$909))/(1+$B$3)^(174)</f>
        <v/>
      </c>
    </row>
    <row r="1401">
      <c r="A1401" t="n">
        <v>176</v>
      </c>
      <c r="B1401">
        <f>IF($B$4="life-table",(B1154+B1155)/2,IF($B$4="beginning",B1154,B1155))</f>
        <v/>
      </c>
      <c r="C1401">
        <f>IF($B$4="life-table",(C1154+C1155)/2,IF($B$4="beginning",C1154,C1155))</f>
        <v/>
      </c>
      <c r="D1401">
        <f>IF($B$4="life-table",(D1154+D1155)/2,IF($B$4="beginning",D1154,D1155))</f>
        <v/>
      </c>
      <c r="F1401">
        <f>((B1401*$B$190+C1401*$C$190+D1401*$D$190)+(B1401*$B$430+C1401*$C$430+D1401*$D$430)+(B1401*$B$670+C1401*$C$670+D1401*$D$670))/(1+$B$2)^(175)</f>
        <v/>
      </c>
      <c r="G1401">
        <f>((B1401*$B$910+C1401*$C$910+D1401*$D$910))/(1+$B$3)^(175)</f>
        <v/>
      </c>
    </row>
    <row r="1402">
      <c r="A1402" t="n">
        <v>177</v>
      </c>
      <c r="B1402">
        <f>IF($B$4="life-table",(B1155+B1156)/2,IF($B$4="beginning",B1155,B1156))</f>
        <v/>
      </c>
      <c r="C1402">
        <f>IF($B$4="life-table",(C1155+C1156)/2,IF($B$4="beginning",C1155,C1156))</f>
        <v/>
      </c>
      <c r="D1402">
        <f>IF($B$4="life-table",(D1155+D1156)/2,IF($B$4="beginning",D1155,D1156))</f>
        <v/>
      </c>
      <c r="F1402">
        <f>((B1402*$B$191+C1402*$C$191+D1402*$D$191)+(B1402*$B$431+C1402*$C$431+D1402*$D$431)+(B1402*$B$671+C1402*$C$671+D1402*$D$671))/(1+$B$2)^(176)</f>
        <v/>
      </c>
      <c r="G1402">
        <f>((B1402*$B$911+C1402*$C$911+D1402*$D$911))/(1+$B$3)^(176)</f>
        <v/>
      </c>
    </row>
    <row r="1403">
      <c r="A1403" t="n">
        <v>178</v>
      </c>
      <c r="B1403">
        <f>IF($B$4="life-table",(B1156+B1157)/2,IF($B$4="beginning",B1156,B1157))</f>
        <v/>
      </c>
      <c r="C1403">
        <f>IF($B$4="life-table",(C1156+C1157)/2,IF($B$4="beginning",C1156,C1157))</f>
        <v/>
      </c>
      <c r="D1403">
        <f>IF($B$4="life-table",(D1156+D1157)/2,IF($B$4="beginning",D1156,D1157))</f>
        <v/>
      </c>
      <c r="F1403">
        <f>((B1403*$B$192+C1403*$C$192+D1403*$D$192)+(B1403*$B$432+C1403*$C$432+D1403*$D$432)+(B1403*$B$672+C1403*$C$672+D1403*$D$672))/(1+$B$2)^(177)</f>
        <v/>
      </c>
      <c r="G1403">
        <f>((B1403*$B$912+C1403*$C$912+D1403*$D$912))/(1+$B$3)^(177)</f>
        <v/>
      </c>
    </row>
    <row r="1404">
      <c r="A1404" t="n">
        <v>179</v>
      </c>
      <c r="B1404">
        <f>IF($B$4="life-table",(B1157+B1158)/2,IF($B$4="beginning",B1157,B1158))</f>
        <v/>
      </c>
      <c r="C1404">
        <f>IF($B$4="life-table",(C1157+C1158)/2,IF($B$4="beginning",C1157,C1158))</f>
        <v/>
      </c>
      <c r="D1404">
        <f>IF($B$4="life-table",(D1157+D1158)/2,IF($B$4="beginning",D1157,D1158))</f>
        <v/>
      </c>
      <c r="F1404">
        <f>((B1404*$B$193+C1404*$C$193+D1404*$D$193)+(B1404*$B$433+C1404*$C$433+D1404*$D$433)+(B1404*$B$673+C1404*$C$673+D1404*$D$673))/(1+$B$2)^(178)</f>
        <v/>
      </c>
      <c r="G1404">
        <f>((B1404*$B$913+C1404*$C$913+D1404*$D$913))/(1+$B$3)^(178)</f>
        <v/>
      </c>
    </row>
    <row r="1405">
      <c r="A1405" t="n">
        <v>180</v>
      </c>
      <c r="B1405">
        <f>IF($B$4="life-table",(B1158+B1159)/2,IF($B$4="beginning",B1158,B1159))</f>
        <v/>
      </c>
      <c r="C1405">
        <f>IF($B$4="life-table",(C1158+C1159)/2,IF($B$4="beginning",C1158,C1159))</f>
        <v/>
      </c>
      <c r="D1405">
        <f>IF($B$4="life-table",(D1158+D1159)/2,IF($B$4="beginning",D1158,D1159))</f>
        <v/>
      </c>
      <c r="F1405">
        <f>((B1405*$B$194+C1405*$C$194+D1405*$D$194)+(B1405*$B$434+C1405*$C$434+D1405*$D$434)+(B1405*$B$674+C1405*$C$674+D1405*$D$674))/(1+$B$2)^(179)</f>
        <v/>
      </c>
      <c r="G1405">
        <f>((B1405*$B$914+C1405*$C$914+D1405*$D$914))/(1+$B$3)^(179)</f>
        <v/>
      </c>
    </row>
    <row r="1406">
      <c r="A1406" t="n">
        <v>181</v>
      </c>
      <c r="B1406">
        <f>IF($B$4="life-table",(B1159+B1160)/2,IF($B$4="beginning",B1159,B1160))</f>
        <v/>
      </c>
      <c r="C1406">
        <f>IF($B$4="life-table",(C1159+C1160)/2,IF($B$4="beginning",C1159,C1160))</f>
        <v/>
      </c>
      <c r="D1406">
        <f>IF($B$4="life-table",(D1159+D1160)/2,IF($B$4="beginning",D1159,D1160))</f>
        <v/>
      </c>
      <c r="F1406">
        <f>((B1406*$B$195+C1406*$C$195+D1406*$D$195)+(B1406*$B$435+C1406*$C$435+D1406*$D$435)+(B1406*$B$675+C1406*$C$675+D1406*$D$675))/(1+$B$2)^(180)</f>
        <v/>
      </c>
      <c r="G1406">
        <f>((B1406*$B$915+C1406*$C$915+D1406*$D$915))/(1+$B$3)^(180)</f>
        <v/>
      </c>
    </row>
    <row r="1407">
      <c r="A1407" t="n">
        <v>182</v>
      </c>
      <c r="B1407">
        <f>IF($B$4="life-table",(B1160+B1161)/2,IF($B$4="beginning",B1160,B1161))</f>
        <v/>
      </c>
      <c r="C1407">
        <f>IF($B$4="life-table",(C1160+C1161)/2,IF($B$4="beginning",C1160,C1161))</f>
        <v/>
      </c>
      <c r="D1407">
        <f>IF($B$4="life-table",(D1160+D1161)/2,IF($B$4="beginning",D1160,D1161))</f>
        <v/>
      </c>
      <c r="F1407">
        <f>((B1407*$B$196+C1407*$C$196+D1407*$D$196)+(B1407*$B$436+C1407*$C$436+D1407*$D$436)+(B1407*$B$676+C1407*$C$676+D1407*$D$676))/(1+$B$2)^(181)</f>
        <v/>
      </c>
      <c r="G1407">
        <f>((B1407*$B$916+C1407*$C$916+D1407*$D$916))/(1+$B$3)^(181)</f>
        <v/>
      </c>
    </row>
    <row r="1408">
      <c r="A1408" t="n">
        <v>183</v>
      </c>
      <c r="B1408">
        <f>IF($B$4="life-table",(B1161+B1162)/2,IF($B$4="beginning",B1161,B1162))</f>
        <v/>
      </c>
      <c r="C1408">
        <f>IF($B$4="life-table",(C1161+C1162)/2,IF($B$4="beginning",C1161,C1162))</f>
        <v/>
      </c>
      <c r="D1408">
        <f>IF($B$4="life-table",(D1161+D1162)/2,IF($B$4="beginning",D1161,D1162))</f>
        <v/>
      </c>
      <c r="F1408">
        <f>((B1408*$B$197+C1408*$C$197+D1408*$D$197)+(B1408*$B$437+C1408*$C$437+D1408*$D$437)+(B1408*$B$677+C1408*$C$677+D1408*$D$677))/(1+$B$2)^(182)</f>
        <v/>
      </c>
      <c r="G1408">
        <f>((B1408*$B$917+C1408*$C$917+D1408*$D$917))/(1+$B$3)^(182)</f>
        <v/>
      </c>
    </row>
    <row r="1409">
      <c r="A1409" t="n">
        <v>184</v>
      </c>
      <c r="B1409">
        <f>IF($B$4="life-table",(B1162+B1163)/2,IF($B$4="beginning",B1162,B1163))</f>
        <v/>
      </c>
      <c r="C1409">
        <f>IF($B$4="life-table",(C1162+C1163)/2,IF($B$4="beginning",C1162,C1163))</f>
        <v/>
      </c>
      <c r="D1409">
        <f>IF($B$4="life-table",(D1162+D1163)/2,IF($B$4="beginning",D1162,D1163))</f>
        <v/>
      </c>
      <c r="F1409">
        <f>((B1409*$B$198+C1409*$C$198+D1409*$D$198)+(B1409*$B$438+C1409*$C$438+D1409*$D$438)+(B1409*$B$678+C1409*$C$678+D1409*$D$678))/(1+$B$2)^(183)</f>
        <v/>
      </c>
      <c r="G1409">
        <f>((B1409*$B$918+C1409*$C$918+D1409*$D$918))/(1+$B$3)^(183)</f>
        <v/>
      </c>
    </row>
    <row r="1410">
      <c r="A1410" t="n">
        <v>185</v>
      </c>
      <c r="B1410">
        <f>IF($B$4="life-table",(B1163+B1164)/2,IF($B$4="beginning",B1163,B1164))</f>
        <v/>
      </c>
      <c r="C1410">
        <f>IF($B$4="life-table",(C1163+C1164)/2,IF($B$4="beginning",C1163,C1164))</f>
        <v/>
      </c>
      <c r="D1410">
        <f>IF($B$4="life-table",(D1163+D1164)/2,IF($B$4="beginning",D1163,D1164))</f>
        <v/>
      </c>
      <c r="F1410">
        <f>((B1410*$B$199+C1410*$C$199+D1410*$D$199)+(B1410*$B$439+C1410*$C$439+D1410*$D$439)+(B1410*$B$679+C1410*$C$679+D1410*$D$679))/(1+$B$2)^(184)</f>
        <v/>
      </c>
      <c r="G1410">
        <f>((B1410*$B$919+C1410*$C$919+D1410*$D$919))/(1+$B$3)^(184)</f>
        <v/>
      </c>
    </row>
    <row r="1411">
      <c r="A1411" t="n">
        <v>186</v>
      </c>
      <c r="B1411">
        <f>IF($B$4="life-table",(B1164+B1165)/2,IF($B$4="beginning",B1164,B1165))</f>
        <v/>
      </c>
      <c r="C1411">
        <f>IF($B$4="life-table",(C1164+C1165)/2,IF($B$4="beginning",C1164,C1165))</f>
        <v/>
      </c>
      <c r="D1411">
        <f>IF($B$4="life-table",(D1164+D1165)/2,IF($B$4="beginning",D1164,D1165))</f>
        <v/>
      </c>
      <c r="F1411">
        <f>((B1411*$B$200+C1411*$C$200+D1411*$D$200)+(B1411*$B$440+C1411*$C$440+D1411*$D$440)+(B1411*$B$680+C1411*$C$680+D1411*$D$680))/(1+$B$2)^(185)</f>
        <v/>
      </c>
      <c r="G1411">
        <f>((B1411*$B$920+C1411*$C$920+D1411*$D$920))/(1+$B$3)^(185)</f>
        <v/>
      </c>
    </row>
    <row r="1412">
      <c r="A1412" t="n">
        <v>187</v>
      </c>
      <c r="B1412">
        <f>IF($B$4="life-table",(B1165+B1166)/2,IF($B$4="beginning",B1165,B1166))</f>
        <v/>
      </c>
      <c r="C1412">
        <f>IF($B$4="life-table",(C1165+C1166)/2,IF($B$4="beginning",C1165,C1166))</f>
        <v/>
      </c>
      <c r="D1412">
        <f>IF($B$4="life-table",(D1165+D1166)/2,IF($B$4="beginning",D1165,D1166))</f>
        <v/>
      </c>
      <c r="F1412">
        <f>((B1412*$B$201+C1412*$C$201+D1412*$D$201)+(B1412*$B$441+C1412*$C$441+D1412*$D$441)+(B1412*$B$681+C1412*$C$681+D1412*$D$681))/(1+$B$2)^(186)</f>
        <v/>
      </c>
      <c r="G1412">
        <f>((B1412*$B$921+C1412*$C$921+D1412*$D$921))/(1+$B$3)^(186)</f>
        <v/>
      </c>
    </row>
    <row r="1413">
      <c r="A1413" t="n">
        <v>188</v>
      </c>
      <c r="B1413">
        <f>IF($B$4="life-table",(B1166+B1167)/2,IF($B$4="beginning",B1166,B1167))</f>
        <v/>
      </c>
      <c r="C1413">
        <f>IF($B$4="life-table",(C1166+C1167)/2,IF($B$4="beginning",C1166,C1167))</f>
        <v/>
      </c>
      <c r="D1413">
        <f>IF($B$4="life-table",(D1166+D1167)/2,IF($B$4="beginning",D1166,D1167))</f>
        <v/>
      </c>
      <c r="F1413">
        <f>((B1413*$B$202+C1413*$C$202+D1413*$D$202)+(B1413*$B$442+C1413*$C$442+D1413*$D$442)+(B1413*$B$682+C1413*$C$682+D1413*$D$682))/(1+$B$2)^(187)</f>
        <v/>
      </c>
      <c r="G1413">
        <f>((B1413*$B$922+C1413*$C$922+D1413*$D$922))/(1+$B$3)^(187)</f>
        <v/>
      </c>
    </row>
    <row r="1414">
      <c r="A1414" t="n">
        <v>189</v>
      </c>
      <c r="B1414">
        <f>IF($B$4="life-table",(B1167+B1168)/2,IF($B$4="beginning",B1167,B1168))</f>
        <v/>
      </c>
      <c r="C1414">
        <f>IF($B$4="life-table",(C1167+C1168)/2,IF($B$4="beginning",C1167,C1168))</f>
        <v/>
      </c>
      <c r="D1414">
        <f>IF($B$4="life-table",(D1167+D1168)/2,IF($B$4="beginning",D1167,D1168))</f>
        <v/>
      </c>
      <c r="F1414">
        <f>((B1414*$B$203+C1414*$C$203+D1414*$D$203)+(B1414*$B$443+C1414*$C$443+D1414*$D$443)+(B1414*$B$683+C1414*$C$683+D1414*$D$683))/(1+$B$2)^(188)</f>
        <v/>
      </c>
      <c r="G1414">
        <f>((B1414*$B$923+C1414*$C$923+D1414*$D$923))/(1+$B$3)^(188)</f>
        <v/>
      </c>
    </row>
    <row r="1415">
      <c r="A1415" t="n">
        <v>190</v>
      </c>
      <c r="B1415">
        <f>IF($B$4="life-table",(B1168+B1169)/2,IF($B$4="beginning",B1168,B1169))</f>
        <v/>
      </c>
      <c r="C1415">
        <f>IF($B$4="life-table",(C1168+C1169)/2,IF($B$4="beginning",C1168,C1169))</f>
        <v/>
      </c>
      <c r="D1415">
        <f>IF($B$4="life-table",(D1168+D1169)/2,IF($B$4="beginning",D1168,D1169))</f>
        <v/>
      </c>
      <c r="F1415">
        <f>((B1415*$B$204+C1415*$C$204+D1415*$D$204)+(B1415*$B$444+C1415*$C$444+D1415*$D$444)+(B1415*$B$684+C1415*$C$684+D1415*$D$684))/(1+$B$2)^(189)</f>
        <v/>
      </c>
      <c r="G1415">
        <f>((B1415*$B$924+C1415*$C$924+D1415*$D$924))/(1+$B$3)^(189)</f>
        <v/>
      </c>
    </row>
    <row r="1416">
      <c r="A1416" t="n">
        <v>191</v>
      </c>
      <c r="B1416">
        <f>IF($B$4="life-table",(B1169+B1170)/2,IF($B$4="beginning",B1169,B1170))</f>
        <v/>
      </c>
      <c r="C1416">
        <f>IF($B$4="life-table",(C1169+C1170)/2,IF($B$4="beginning",C1169,C1170))</f>
        <v/>
      </c>
      <c r="D1416">
        <f>IF($B$4="life-table",(D1169+D1170)/2,IF($B$4="beginning",D1169,D1170))</f>
        <v/>
      </c>
      <c r="F1416">
        <f>((B1416*$B$205+C1416*$C$205+D1416*$D$205)+(B1416*$B$445+C1416*$C$445+D1416*$D$445)+(B1416*$B$685+C1416*$C$685+D1416*$D$685))/(1+$B$2)^(190)</f>
        <v/>
      </c>
      <c r="G1416">
        <f>((B1416*$B$925+C1416*$C$925+D1416*$D$925))/(1+$B$3)^(190)</f>
        <v/>
      </c>
    </row>
    <row r="1417">
      <c r="A1417" t="n">
        <v>192</v>
      </c>
      <c r="B1417">
        <f>IF($B$4="life-table",(B1170+B1171)/2,IF($B$4="beginning",B1170,B1171))</f>
        <v/>
      </c>
      <c r="C1417">
        <f>IF($B$4="life-table",(C1170+C1171)/2,IF($B$4="beginning",C1170,C1171))</f>
        <v/>
      </c>
      <c r="D1417">
        <f>IF($B$4="life-table",(D1170+D1171)/2,IF($B$4="beginning",D1170,D1171))</f>
        <v/>
      </c>
      <c r="F1417">
        <f>((B1417*$B$206+C1417*$C$206+D1417*$D$206)+(B1417*$B$446+C1417*$C$446+D1417*$D$446)+(B1417*$B$686+C1417*$C$686+D1417*$D$686))/(1+$B$2)^(191)</f>
        <v/>
      </c>
      <c r="G1417">
        <f>((B1417*$B$926+C1417*$C$926+D1417*$D$926))/(1+$B$3)^(191)</f>
        <v/>
      </c>
    </row>
    <row r="1418">
      <c r="A1418" t="n">
        <v>193</v>
      </c>
      <c r="B1418">
        <f>IF($B$4="life-table",(B1171+B1172)/2,IF($B$4="beginning",B1171,B1172))</f>
        <v/>
      </c>
      <c r="C1418">
        <f>IF($B$4="life-table",(C1171+C1172)/2,IF($B$4="beginning",C1171,C1172))</f>
        <v/>
      </c>
      <c r="D1418">
        <f>IF($B$4="life-table",(D1171+D1172)/2,IF($B$4="beginning",D1171,D1172))</f>
        <v/>
      </c>
      <c r="F1418">
        <f>((B1418*$B$207+C1418*$C$207+D1418*$D$207)+(B1418*$B$447+C1418*$C$447+D1418*$D$447)+(B1418*$B$687+C1418*$C$687+D1418*$D$687))/(1+$B$2)^(192)</f>
        <v/>
      </c>
      <c r="G1418">
        <f>((B1418*$B$927+C1418*$C$927+D1418*$D$927))/(1+$B$3)^(192)</f>
        <v/>
      </c>
    </row>
    <row r="1419">
      <c r="A1419" t="n">
        <v>194</v>
      </c>
      <c r="B1419">
        <f>IF($B$4="life-table",(B1172+B1173)/2,IF($B$4="beginning",B1172,B1173))</f>
        <v/>
      </c>
      <c r="C1419">
        <f>IF($B$4="life-table",(C1172+C1173)/2,IF($B$4="beginning",C1172,C1173))</f>
        <v/>
      </c>
      <c r="D1419">
        <f>IF($B$4="life-table",(D1172+D1173)/2,IF($B$4="beginning",D1172,D1173))</f>
        <v/>
      </c>
      <c r="F1419">
        <f>((B1419*$B$208+C1419*$C$208+D1419*$D$208)+(B1419*$B$448+C1419*$C$448+D1419*$D$448)+(B1419*$B$688+C1419*$C$688+D1419*$D$688))/(1+$B$2)^(193)</f>
        <v/>
      </c>
      <c r="G1419">
        <f>((B1419*$B$928+C1419*$C$928+D1419*$D$928))/(1+$B$3)^(193)</f>
        <v/>
      </c>
    </row>
    <row r="1420">
      <c r="A1420" t="n">
        <v>195</v>
      </c>
      <c r="B1420">
        <f>IF($B$4="life-table",(B1173+B1174)/2,IF($B$4="beginning",B1173,B1174))</f>
        <v/>
      </c>
      <c r="C1420">
        <f>IF($B$4="life-table",(C1173+C1174)/2,IF($B$4="beginning",C1173,C1174))</f>
        <v/>
      </c>
      <c r="D1420">
        <f>IF($B$4="life-table",(D1173+D1174)/2,IF($B$4="beginning",D1173,D1174))</f>
        <v/>
      </c>
      <c r="F1420">
        <f>((B1420*$B$209+C1420*$C$209+D1420*$D$209)+(B1420*$B$449+C1420*$C$449+D1420*$D$449)+(B1420*$B$689+C1420*$C$689+D1420*$D$689))/(1+$B$2)^(194)</f>
        <v/>
      </c>
      <c r="G1420">
        <f>((B1420*$B$929+C1420*$C$929+D1420*$D$929))/(1+$B$3)^(194)</f>
        <v/>
      </c>
    </row>
    <row r="1421">
      <c r="A1421" t="n">
        <v>196</v>
      </c>
      <c r="B1421">
        <f>IF($B$4="life-table",(B1174+B1175)/2,IF($B$4="beginning",B1174,B1175))</f>
        <v/>
      </c>
      <c r="C1421">
        <f>IF($B$4="life-table",(C1174+C1175)/2,IF($B$4="beginning",C1174,C1175))</f>
        <v/>
      </c>
      <c r="D1421">
        <f>IF($B$4="life-table",(D1174+D1175)/2,IF($B$4="beginning",D1174,D1175))</f>
        <v/>
      </c>
      <c r="F1421">
        <f>((B1421*$B$210+C1421*$C$210+D1421*$D$210)+(B1421*$B$450+C1421*$C$450+D1421*$D$450)+(B1421*$B$690+C1421*$C$690+D1421*$D$690))/(1+$B$2)^(195)</f>
        <v/>
      </c>
      <c r="G1421">
        <f>((B1421*$B$930+C1421*$C$930+D1421*$D$930))/(1+$B$3)^(195)</f>
        <v/>
      </c>
    </row>
    <row r="1422">
      <c r="A1422" t="n">
        <v>197</v>
      </c>
      <c r="B1422">
        <f>IF($B$4="life-table",(B1175+B1176)/2,IF($B$4="beginning",B1175,B1176))</f>
        <v/>
      </c>
      <c r="C1422">
        <f>IF($B$4="life-table",(C1175+C1176)/2,IF($B$4="beginning",C1175,C1176))</f>
        <v/>
      </c>
      <c r="D1422">
        <f>IF($B$4="life-table",(D1175+D1176)/2,IF($B$4="beginning",D1175,D1176))</f>
        <v/>
      </c>
      <c r="F1422">
        <f>((B1422*$B$211+C1422*$C$211+D1422*$D$211)+(B1422*$B$451+C1422*$C$451+D1422*$D$451)+(B1422*$B$691+C1422*$C$691+D1422*$D$691))/(1+$B$2)^(196)</f>
        <v/>
      </c>
      <c r="G1422">
        <f>((B1422*$B$931+C1422*$C$931+D1422*$D$931))/(1+$B$3)^(196)</f>
        <v/>
      </c>
    </row>
    <row r="1423">
      <c r="A1423" t="n">
        <v>198</v>
      </c>
      <c r="B1423">
        <f>IF($B$4="life-table",(B1176+B1177)/2,IF($B$4="beginning",B1176,B1177))</f>
        <v/>
      </c>
      <c r="C1423">
        <f>IF($B$4="life-table",(C1176+C1177)/2,IF($B$4="beginning",C1176,C1177))</f>
        <v/>
      </c>
      <c r="D1423">
        <f>IF($B$4="life-table",(D1176+D1177)/2,IF($B$4="beginning",D1176,D1177))</f>
        <v/>
      </c>
      <c r="F1423">
        <f>((B1423*$B$212+C1423*$C$212+D1423*$D$212)+(B1423*$B$452+C1423*$C$452+D1423*$D$452)+(B1423*$B$692+C1423*$C$692+D1423*$D$692))/(1+$B$2)^(197)</f>
        <v/>
      </c>
      <c r="G1423">
        <f>((B1423*$B$932+C1423*$C$932+D1423*$D$932))/(1+$B$3)^(197)</f>
        <v/>
      </c>
    </row>
    <row r="1424">
      <c r="A1424" t="n">
        <v>199</v>
      </c>
      <c r="B1424">
        <f>IF($B$4="life-table",(B1177+B1178)/2,IF($B$4="beginning",B1177,B1178))</f>
        <v/>
      </c>
      <c r="C1424">
        <f>IF($B$4="life-table",(C1177+C1178)/2,IF($B$4="beginning",C1177,C1178))</f>
        <v/>
      </c>
      <c r="D1424">
        <f>IF($B$4="life-table",(D1177+D1178)/2,IF($B$4="beginning",D1177,D1178))</f>
        <v/>
      </c>
      <c r="F1424">
        <f>((B1424*$B$213+C1424*$C$213+D1424*$D$213)+(B1424*$B$453+C1424*$C$453+D1424*$D$453)+(B1424*$B$693+C1424*$C$693+D1424*$D$693))/(1+$B$2)^(198)</f>
        <v/>
      </c>
      <c r="G1424">
        <f>((B1424*$B$933+C1424*$C$933+D1424*$D$933))/(1+$B$3)^(198)</f>
        <v/>
      </c>
    </row>
    <row r="1425">
      <c r="A1425" t="n">
        <v>200</v>
      </c>
      <c r="B1425">
        <f>IF($B$4="life-table",(B1178+B1179)/2,IF($B$4="beginning",B1178,B1179))</f>
        <v/>
      </c>
      <c r="C1425">
        <f>IF($B$4="life-table",(C1178+C1179)/2,IF($B$4="beginning",C1178,C1179))</f>
        <v/>
      </c>
      <c r="D1425">
        <f>IF($B$4="life-table",(D1178+D1179)/2,IF($B$4="beginning",D1178,D1179))</f>
        <v/>
      </c>
      <c r="F1425">
        <f>((B1425*$B$214+C1425*$C$214+D1425*$D$214)+(B1425*$B$454+C1425*$C$454+D1425*$D$454)+(B1425*$B$694+C1425*$C$694+D1425*$D$694))/(1+$B$2)^(199)</f>
        <v/>
      </c>
      <c r="G1425">
        <f>((B1425*$B$934+C1425*$C$934+D1425*$D$934))/(1+$B$3)^(199)</f>
        <v/>
      </c>
    </row>
    <row r="1426">
      <c r="A1426" t="n">
        <v>201</v>
      </c>
      <c r="B1426">
        <f>IF($B$4="life-table",(B1179+B1180)/2,IF($B$4="beginning",B1179,B1180))</f>
        <v/>
      </c>
      <c r="C1426">
        <f>IF($B$4="life-table",(C1179+C1180)/2,IF($B$4="beginning",C1179,C1180))</f>
        <v/>
      </c>
      <c r="D1426">
        <f>IF($B$4="life-table",(D1179+D1180)/2,IF($B$4="beginning",D1179,D1180))</f>
        <v/>
      </c>
      <c r="F1426">
        <f>((B1426*$B$215+C1426*$C$215+D1426*$D$215)+(B1426*$B$455+C1426*$C$455+D1426*$D$455)+(B1426*$B$695+C1426*$C$695+D1426*$D$695))/(1+$B$2)^(200)</f>
        <v/>
      </c>
      <c r="G1426">
        <f>((B1426*$B$935+C1426*$C$935+D1426*$D$935))/(1+$B$3)^(200)</f>
        <v/>
      </c>
    </row>
    <row r="1427">
      <c r="A1427" t="n">
        <v>202</v>
      </c>
      <c r="B1427">
        <f>IF($B$4="life-table",(B1180+B1181)/2,IF($B$4="beginning",B1180,B1181))</f>
        <v/>
      </c>
      <c r="C1427">
        <f>IF($B$4="life-table",(C1180+C1181)/2,IF($B$4="beginning",C1180,C1181))</f>
        <v/>
      </c>
      <c r="D1427">
        <f>IF($B$4="life-table",(D1180+D1181)/2,IF($B$4="beginning",D1180,D1181))</f>
        <v/>
      </c>
      <c r="F1427">
        <f>((B1427*$B$216+C1427*$C$216+D1427*$D$216)+(B1427*$B$456+C1427*$C$456+D1427*$D$456)+(B1427*$B$696+C1427*$C$696+D1427*$D$696))/(1+$B$2)^(201)</f>
        <v/>
      </c>
      <c r="G1427">
        <f>((B1427*$B$936+C1427*$C$936+D1427*$D$936))/(1+$B$3)^(201)</f>
        <v/>
      </c>
    </row>
    <row r="1428">
      <c r="A1428" t="n">
        <v>203</v>
      </c>
      <c r="B1428">
        <f>IF($B$4="life-table",(B1181+B1182)/2,IF($B$4="beginning",B1181,B1182))</f>
        <v/>
      </c>
      <c r="C1428">
        <f>IF($B$4="life-table",(C1181+C1182)/2,IF($B$4="beginning",C1181,C1182))</f>
        <v/>
      </c>
      <c r="D1428">
        <f>IF($B$4="life-table",(D1181+D1182)/2,IF($B$4="beginning",D1181,D1182))</f>
        <v/>
      </c>
      <c r="F1428">
        <f>((B1428*$B$217+C1428*$C$217+D1428*$D$217)+(B1428*$B$457+C1428*$C$457+D1428*$D$457)+(B1428*$B$697+C1428*$C$697+D1428*$D$697))/(1+$B$2)^(202)</f>
        <v/>
      </c>
      <c r="G1428">
        <f>((B1428*$B$937+C1428*$C$937+D1428*$D$937))/(1+$B$3)^(202)</f>
        <v/>
      </c>
    </row>
    <row r="1429">
      <c r="A1429" t="n">
        <v>204</v>
      </c>
      <c r="B1429">
        <f>IF($B$4="life-table",(B1182+B1183)/2,IF($B$4="beginning",B1182,B1183))</f>
        <v/>
      </c>
      <c r="C1429">
        <f>IF($B$4="life-table",(C1182+C1183)/2,IF($B$4="beginning",C1182,C1183))</f>
        <v/>
      </c>
      <c r="D1429">
        <f>IF($B$4="life-table",(D1182+D1183)/2,IF($B$4="beginning",D1182,D1183))</f>
        <v/>
      </c>
      <c r="F1429">
        <f>((B1429*$B$218+C1429*$C$218+D1429*$D$218)+(B1429*$B$458+C1429*$C$458+D1429*$D$458)+(B1429*$B$698+C1429*$C$698+D1429*$D$698))/(1+$B$2)^(203)</f>
        <v/>
      </c>
      <c r="G1429">
        <f>((B1429*$B$938+C1429*$C$938+D1429*$D$938))/(1+$B$3)^(203)</f>
        <v/>
      </c>
    </row>
    <row r="1430">
      <c r="A1430" t="n">
        <v>205</v>
      </c>
      <c r="B1430">
        <f>IF($B$4="life-table",(B1183+B1184)/2,IF($B$4="beginning",B1183,B1184))</f>
        <v/>
      </c>
      <c r="C1430">
        <f>IF($B$4="life-table",(C1183+C1184)/2,IF($B$4="beginning",C1183,C1184))</f>
        <v/>
      </c>
      <c r="D1430">
        <f>IF($B$4="life-table",(D1183+D1184)/2,IF($B$4="beginning",D1183,D1184))</f>
        <v/>
      </c>
      <c r="F1430">
        <f>((B1430*$B$219+C1430*$C$219+D1430*$D$219)+(B1430*$B$459+C1430*$C$459+D1430*$D$459)+(B1430*$B$699+C1430*$C$699+D1430*$D$699))/(1+$B$2)^(204)</f>
        <v/>
      </c>
      <c r="G1430">
        <f>((B1430*$B$939+C1430*$C$939+D1430*$D$939))/(1+$B$3)^(204)</f>
        <v/>
      </c>
    </row>
    <row r="1431">
      <c r="A1431" t="n">
        <v>206</v>
      </c>
      <c r="B1431">
        <f>IF($B$4="life-table",(B1184+B1185)/2,IF($B$4="beginning",B1184,B1185))</f>
        <v/>
      </c>
      <c r="C1431">
        <f>IF($B$4="life-table",(C1184+C1185)/2,IF($B$4="beginning",C1184,C1185))</f>
        <v/>
      </c>
      <c r="D1431">
        <f>IF($B$4="life-table",(D1184+D1185)/2,IF($B$4="beginning",D1184,D1185))</f>
        <v/>
      </c>
      <c r="F1431">
        <f>((B1431*$B$220+C1431*$C$220+D1431*$D$220)+(B1431*$B$460+C1431*$C$460+D1431*$D$460)+(B1431*$B$700+C1431*$C$700+D1431*$D$700))/(1+$B$2)^(205)</f>
        <v/>
      </c>
      <c r="G1431">
        <f>((B1431*$B$940+C1431*$C$940+D1431*$D$940))/(1+$B$3)^(205)</f>
        <v/>
      </c>
    </row>
    <row r="1432">
      <c r="A1432" t="n">
        <v>207</v>
      </c>
      <c r="B1432">
        <f>IF($B$4="life-table",(B1185+B1186)/2,IF($B$4="beginning",B1185,B1186))</f>
        <v/>
      </c>
      <c r="C1432">
        <f>IF($B$4="life-table",(C1185+C1186)/2,IF($B$4="beginning",C1185,C1186))</f>
        <v/>
      </c>
      <c r="D1432">
        <f>IF($B$4="life-table",(D1185+D1186)/2,IF($B$4="beginning",D1185,D1186))</f>
        <v/>
      </c>
      <c r="F1432">
        <f>((B1432*$B$221+C1432*$C$221+D1432*$D$221)+(B1432*$B$461+C1432*$C$461+D1432*$D$461)+(B1432*$B$701+C1432*$C$701+D1432*$D$701))/(1+$B$2)^(206)</f>
        <v/>
      </c>
      <c r="G1432">
        <f>((B1432*$B$941+C1432*$C$941+D1432*$D$941))/(1+$B$3)^(206)</f>
        <v/>
      </c>
    </row>
    <row r="1433">
      <c r="A1433" t="n">
        <v>208</v>
      </c>
      <c r="B1433">
        <f>IF($B$4="life-table",(B1186+B1187)/2,IF($B$4="beginning",B1186,B1187))</f>
        <v/>
      </c>
      <c r="C1433">
        <f>IF($B$4="life-table",(C1186+C1187)/2,IF($B$4="beginning",C1186,C1187))</f>
        <v/>
      </c>
      <c r="D1433">
        <f>IF($B$4="life-table",(D1186+D1187)/2,IF($B$4="beginning",D1186,D1187))</f>
        <v/>
      </c>
      <c r="F1433">
        <f>((B1433*$B$222+C1433*$C$222+D1433*$D$222)+(B1433*$B$462+C1433*$C$462+D1433*$D$462)+(B1433*$B$702+C1433*$C$702+D1433*$D$702))/(1+$B$2)^(207)</f>
        <v/>
      </c>
      <c r="G1433">
        <f>((B1433*$B$942+C1433*$C$942+D1433*$D$942))/(1+$B$3)^(207)</f>
        <v/>
      </c>
    </row>
    <row r="1434">
      <c r="A1434" t="n">
        <v>209</v>
      </c>
      <c r="B1434">
        <f>IF($B$4="life-table",(B1187+B1188)/2,IF($B$4="beginning",B1187,B1188))</f>
        <v/>
      </c>
      <c r="C1434">
        <f>IF($B$4="life-table",(C1187+C1188)/2,IF($B$4="beginning",C1187,C1188))</f>
        <v/>
      </c>
      <c r="D1434">
        <f>IF($B$4="life-table",(D1187+D1188)/2,IF($B$4="beginning",D1187,D1188))</f>
        <v/>
      </c>
      <c r="F1434">
        <f>((B1434*$B$223+C1434*$C$223+D1434*$D$223)+(B1434*$B$463+C1434*$C$463+D1434*$D$463)+(B1434*$B$703+C1434*$C$703+D1434*$D$703))/(1+$B$2)^(208)</f>
        <v/>
      </c>
      <c r="G1434">
        <f>((B1434*$B$943+C1434*$C$943+D1434*$D$943))/(1+$B$3)^(208)</f>
        <v/>
      </c>
    </row>
    <row r="1435">
      <c r="A1435" t="n">
        <v>210</v>
      </c>
      <c r="B1435">
        <f>IF($B$4="life-table",(B1188+B1189)/2,IF($B$4="beginning",B1188,B1189))</f>
        <v/>
      </c>
      <c r="C1435">
        <f>IF($B$4="life-table",(C1188+C1189)/2,IF($B$4="beginning",C1188,C1189))</f>
        <v/>
      </c>
      <c r="D1435">
        <f>IF($B$4="life-table",(D1188+D1189)/2,IF($B$4="beginning",D1188,D1189))</f>
        <v/>
      </c>
      <c r="F1435">
        <f>((B1435*$B$224+C1435*$C$224+D1435*$D$224)+(B1435*$B$464+C1435*$C$464+D1435*$D$464)+(B1435*$B$704+C1435*$C$704+D1435*$D$704))/(1+$B$2)^(209)</f>
        <v/>
      </c>
      <c r="G1435">
        <f>((B1435*$B$944+C1435*$C$944+D1435*$D$944))/(1+$B$3)^(209)</f>
        <v/>
      </c>
    </row>
    <row r="1436">
      <c r="A1436" t="n">
        <v>211</v>
      </c>
      <c r="B1436">
        <f>IF($B$4="life-table",(B1189+B1190)/2,IF($B$4="beginning",B1189,B1190))</f>
        <v/>
      </c>
      <c r="C1436">
        <f>IF($B$4="life-table",(C1189+C1190)/2,IF($B$4="beginning",C1189,C1190))</f>
        <v/>
      </c>
      <c r="D1436">
        <f>IF($B$4="life-table",(D1189+D1190)/2,IF($B$4="beginning",D1189,D1190))</f>
        <v/>
      </c>
      <c r="F1436">
        <f>((B1436*$B$225+C1436*$C$225+D1436*$D$225)+(B1436*$B$465+C1436*$C$465+D1436*$D$465)+(B1436*$B$705+C1436*$C$705+D1436*$D$705))/(1+$B$2)^(210)</f>
        <v/>
      </c>
      <c r="G1436">
        <f>((B1436*$B$945+C1436*$C$945+D1436*$D$945))/(1+$B$3)^(210)</f>
        <v/>
      </c>
    </row>
    <row r="1437">
      <c r="A1437" t="n">
        <v>212</v>
      </c>
      <c r="B1437">
        <f>IF($B$4="life-table",(B1190+B1191)/2,IF($B$4="beginning",B1190,B1191))</f>
        <v/>
      </c>
      <c r="C1437">
        <f>IF($B$4="life-table",(C1190+C1191)/2,IF($B$4="beginning",C1190,C1191))</f>
        <v/>
      </c>
      <c r="D1437">
        <f>IF($B$4="life-table",(D1190+D1191)/2,IF($B$4="beginning",D1190,D1191))</f>
        <v/>
      </c>
      <c r="F1437">
        <f>((B1437*$B$226+C1437*$C$226+D1437*$D$226)+(B1437*$B$466+C1437*$C$466+D1437*$D$466)+(B1437*$B$706+C1437*$C$706+D1437*$D$706))/(1+$B$2)^(211)</f>
        <v/>
      </c>
      <c r="G1437">
        <f>((B1437*$B$946+C1437*$C$946+D1437*$D$946))/(1+$B$3)^(211)</f>
        <v/>
      </c>
    </row>
    <row r="1438">
      <c r="A1438" t="n">
        <v>213</v>
      </c>
      <c r="B1438">
        <f>IF($B$4="life-table",(B1191+B1192)/2,IF($B$4="beginning",B1191,B1192))</f>
        <v/>
      </c>
      <c r="C1438">
        <f>IF($B$4="life-table",(C1191+C1192)/2,IF($B$4="beginning",C1191,C1192))</f>
        <v/>
      </c>
      <c r="D1438">
        <f>IF($B$4="life-table",(D1191+D1192)/2,IF($B$4="beginning",D1191,D1192))</f>
        <v/>
      </c>
      <c r="F1438">
        <f>((B1438*$B$227+C1438*$C$227+D1438*$D$227)+(B1438*$B$467+C1438*$C$467+D1438*$D$467)+(B1438*$B$707+C1438*$C$707+D1438*$D$707))/(1+$B$2)^(212)</f>
        <v/>
      </c>
      <c r="G1438">
        <f>((B1438*$B$947+C1438*$C$947+D1438*$D$947))/(1+$B$3)^(212)</f>
        <v/>
      </c>
    </row>
    <row r="1439">
      <c r="A1439" t="n">
        <v>214</v>
      </c>
      <c r="B1439">
        <f>IF($B$4="life-table",(B1192+B1193)/2,IF($B$4="beginning",B1192,B1193))</f>
        <v/>
      </c>
      <c r="C1439">
        <f>IF($B$4="life-table",(C1192+C1193)/2,IF($B$4="beginning",C1192,C1193))</f>
        <v/>
      </c>
      <c r="D1439">
        <f>IF($B$4="life-table",(D1192+D1193)/2,IF($B$4="beginning",D1192,D1193))</f>
        <v/>
      </c>
      <c r="F1439">
        <f>((B1439*$B$228+C1439*$C$228+D1439*$D$228)+(B1439*$B$468+C1439*$C$468+D1439*$D$468)+(B1439*$B$708+C1439*$C$708+D1439*$D$708))/(1+$B$2)^(213)</f>
        <v/>
      </c>
      <c r="G1439">
        <f>((B1439*$B$948+C1439*$C$948+D1439*$D$948))/(1+$B$3)^(213)</f>
        <v/>
      </c>
    </row>
    <row r="1440">
      <c r="A1440" t="n">
        <v>215</v>
      </c>
      <c r="B1440">
        <f>IF($B$4="life-table",(B1193+B1194)/2,IF($B$4="beginning",B1193,B1194))</f>
        <v/>
      </c>
      <c r="C1440">
        <f>IF($B$4="life-table",(C1193+C1194)/2,IF($B$4="beginning",C1193,C1194))</f>
        <v/>
      </c>
      <c r="D1440">
        <f>IF($B$4="life-table",(D1193+D1194)/2,IF($B$4="beginning",D1193,D1194))</f>
        <v/>
      </c>
      <c r="F1440">
        <f>((B1440*$B$229+C1440*$C$229+D1440*$D$229)+(B1440*$B$469+C1440*$C$469+D1440*$D$469)+(B1440*$B$709+C1440*$C$709+D1440*$D$709))/(1+$B$2)^(214)</f>
        <v/>
      </c>
      <c r="G1440">
        <f>((B1440*$B$949+C1440*$C$949+D1440*$D$949))/(1+$B$3)^(214)</f>
        <v/>
      </c>
    </row>
    <row r="1441">
      <c r="A1441" t="n">
        <v>216</v>
      </c>
      <c r="B1441">
        <f>IF($B$4="life-table",(B1194+B1195)/2,IF($B$4="beginning",B1194,B1195))</f>
        <v/>
      </c>
      <c r="C1441">
        <f>IF($B$4="life-table",(C1194+C1195)/2,IF($B$4="beginning",C1194,C1195))</f>
        <v/>
      </c>
      <c r="D1441">
        <f>IF($B$4="life-table",(D1194+D1195)/2,IF($B$4="beginning",D1194,D1195))</f>
        <v/>
      </c>
      <c r="F1441">
        <f>((B1441*$B$230+C1441*$C$230+D1441*$D$230)+(B1441*$B$470+C1441*$C$470+D1441*$D$470)+(B1441*$B$710+C1441*$C$710+D1441*$D$710))/(1+$B$2)^(215)</f>
        <v/>
      </c>
      <c r="G1441">
        <f>((B1441*$B$950+C1441*$C$950+D1441*$D$950))/(1+$B$3)^(215)</f>
        <v/>
      </c>
    </row>
    <row r="1442">
      <c r="A1442" t="n">
        <v>217</v>
      </c>
      <c r="B1442">
        <f>IF($B$4="life-table",(B1195+B1196)/2,IF($B$4="beginning",B1195,B1196))</f>
        <v/>
      </c>
      <c r="C1442">
        <f>IF($B$4="life-table",(C1195+C1196)/2,IF($B$4="beginning",C1195,C1196))</f>
        <v/>
      </c>
      <c r="D1442">
        <f>IF($B$4="life-table",(D1195+D1196)/2,IF($B$4="beginning",D1195,D1196))</f>
        <v/>
      </c>
      <c r="F1442">
        <f>((B1442*$B$231+C1442*$C$231+D1442*$D$231)+(B1442*$B$471+C1442*$C$471+D1442*$D$471)+(B1442*$B$711+C1442*$C$711+D1442*$D$711))/(1+$B$2)^(216)</f>
        <v/>
      </c>
      <c r="G1442">
        <f>((B1442*$B$951+C1442*$C$951+D1442*$D$951))/(1+$B$3)^(216)</f>
        <v/>
      </c>
    </row>
    <row r="1443">
      <c r="A1443" t="n">
        <v>218</v>
      </c>
      <c r="B1443">
        <f>IF($B$4="life-table",(B1196+B1197)/2,IF($B$4="beginning",B1196,B1197))</f>
        <v/>
      </c>
      <c r="C1443">
        <f>IF($B$4="life-table",(C1196+C1197)/2,IF($B$4="beginning",C1196,C1197))</f>
        <v/>
      </c>
      <c r="D1443">
        <f>IF($B$4="life-table",(D1196+D1197)/2,IF($B$4="beginning",D1196,D1197))</f>
        <v/>
      </c>
      <c r="F1443">
        <f>((B1443*$B$232+C1443*$C$232+D1443*$D$232)+(B1443*$B$472+C1443*$C$472+D1443*$D$472)+(B1443*$B$712+C1443*$C$712+D1443*$D$712))/(1+$B$2)^(217)</f>
        <v/>
      </c>
      <c r="G1443">
        <f>((B1443*$B$952+C1443*$C$952+D1443*$D$952))/(1+$B$3)^(217)</f>
        <v/>
      </c>
    </row>
    <row r="1444">
      <c r="A1444" t="n">
        <v>219</v>
      </c>
      <c r="B1444">
        <f>IF($B$4="life-table",(B1197+B1198)/2,IF($B$4="beginning",B1197,B1198))</f>
        <v/>
      </c>
      <c r="C1444">
        <f>IF($B$4="life-table",(C1197+C1198)/2,IF($B$4="beginning",C1197,C1198))</f>
        <v/>
      </c>
      <c r="D1444">
        <f>IF($B$4="life-table",(D1197+D1198)/2,IF($B$4="beginning",D1197,D1198))</f>
        <v/>
      </c>
      <c r="F1444">
        <f>((B1444*$B$233+C1444*$C$233+D1444*$D$233)+(B1444*$B$473+C1444*$C$473+D1444*$D$473)+(B1444*$B$713+C1444*$C$713+D1444*$D$713))/(1+$B$2)^(218)</f>
        <v/>
      </c>
      <c r="G1444">
        <f>((B1444*$B$953+C1444*$C$953+D1444*$D$953))/(1+$B$3)^(218)</f>
        <v/>
      </c>
    </row>
    <row r="1445">
      <c r="A1445" t="n">
        <v>220</v>
      </c>
      <c r="B1445">
        <f>IF($B$4="life-table",(B1198+B1199)/2,IF($B$4="beginning",B1198,B1199))</f>
        <v/>
      </c>
      <c r="C1445">
        <f>IF($B$4="life-table",(C1198+C1199)/2,IF($B$4="beginning",C1198,C1199))</f>
        <v/>
      </c>
      <c r="D1445">
        <f>IF($B$4="life-table",(D1198+D1199)/2,IF($B$4="beginning",D1198,D1199))</f>
        <v/>
      </c>
      <c r="F1445">
        <f>((B1445*$B$234+C1445*$C$234+D1445*$D$234)+(B1445*$B$474+C1445*$C$474+D1445*$D$474)+(B1445*$B$714+C1445*$C$714+D1445*$D$714))/(1+$B$2)^(219)</f>
        <v/>
      </c>
      <c r="G1445">
        <f>((B1445*$B$954+C1445*$C$954+D1445*$D$954))/(1+$B$3)^(219)</f>
        <v/>
      </c>
    </row>
    <row r="1446">
      <c r="A1446" t="n">
        <v>221</v>
      </c>
      <c r="B1446">
        <f>IF($B$4="life-table",(B1199+B1200)/2,IF($B$4="beginning",B1199,B1200))</f>
        <v/>
      </c>
      <c r="C1446">
        <f>IF($B$4="life-table",(C1199+C1200)/2,IF($B$4="beginning",C1199,C1200))</f>
        <v/>
      </c>
      <c r="D1446">
        <f>IF($B$4="life-table",(D1199+D1200)/2,IF($B$4="beginning",D1199,D1200))</f>
        <v/>
      </c>
      <c r="F1446">
        <f>((B1446*$B$235+C1446*$C$235+D1446*$D$235)+(B1446*$B$475+C1446*$C$475+D1446*$D$475)+(B1446*$B$715+C1446*$C$715+D1446*$D$715))/(1+$B$2)^(220)</f>
        <v/>
      </c>
      <c r="G1446">
        <f>((B1446*$B$955+C1446*$C$955+D1446*$D$955))/(1+$B$3)^(220)</f>
        <v/>
      </c>
    </row>
    <row r="1447">
      <c r="A1447" t="n">
        <v>222</v>
      </c>
      <c r="B1447">
        <f>IF($B$4="life-table",(B1200+B1201)/2,IF($B$4="beginning",B1200,B1201))</f>
        <v/>
      </c>
      <c r="C1447">
        <f>IF($B$4="life-table",(C1200+C1201)/2,IF($B$4="beginning",C1200,C1201))</f>
        <v/>
      </c>
      <c r="D1447">
        <f>IF($B$4="life-table",(D1200+D1201)/2,IF($B$4="beginning",D1200,D1201))</f>
        <v/>
      </c>
      <c r="F1447">
        <f>((B1447*$B$236+C1447*$C$236+D1447*$D$236)+(B1447*$B$476+C1447*$C$476+D1447*$D$476)+(B1447*$B$716+C1447*$C$716+D1447*$D$716))/(1+$B$2)^(221)</f>
        <v/>
      </c>
      <c r="G1447">
        <f>((B1447*$B$956+C1447*$C$956+D1447*$D$956))/(1+$B$3)^(221)</f>
        <v/>
      </c>
    </row>
    <row r="1448">
      <c r="A1448" t="n">
        <v>223</v>
      </c>
      <c r="B1448">
        <f>IF($B$4="life-table",(B1201+B1202)/2,IF($B$4="beginning",B1201,B1202))</f>
        <v/>
      </c>
      <c r="C1448">
        <f>IF($B$4="life-table",(C1201+C1202)/2,IF($B$4="beginning",C1201,C1202))</f>
        <v/>
      </c>
      <c r="D1448">
        <f>IF($B$4="life-table",(D1201+D1202)/2,IF($B$4="beginning",D1201,D1202))</f>
        <v/>
      </c>
      <c r="F1448">
        <f>((B1448*$B$237+C1448*$C$237+D1448*$D$237)+(B1448*$B$477+C1448*$C$477+D1448*$D$477)+(B1448*$B$717+C1448*$C$717+D1448*$D$717))/(1+$B$2)^(222)</f>
        <v/>
      </c>
      <c r="G1448">
        <f>((B1448*$B$957+C1448*$C$957+D1448*$D$957))/(1+$B$3)^(222)</f>
        <v/>
      </c>
    </row>
    <row r="1449">
      <c r="A1449" t="n">
        <v>224</v>
      </c>
      <c r="B1449">
        <f>IF($B$4="life-table",(B1202+B1203)/2,IF($B$4="beginning",B1202,B1203))</f>
        <v/>
      </c>
      <c r="C1449">
        <f>IF($B$4="life-table",(C1202+C1203)/2,IF($B$4="beginning",C1202,C1203))</f>
        <v/>
      </c>
      <c r="D1449">
        <f>IF($B$4="life-table",(D1202+D1203)/2,IF($B$4="beginning",D1202,D1203))</f>
        <v/>
      </c>
      <c r="F1449">
        <f>((B1449*$B$238+C1449*$C$238+D1449*$D$238)+(B1449*$B$478+C1449*$C$478+D1449*$D$478)+(B1449*$B$718+C1449*$C$718+D1449*$D$718))/(1+$B$2)^(223)</f>
        <v/>
      </c>
      <c r="G1449">
        <f>((B1449*$B$958+C1449*$C$958+D1449*$D$958))/(1+$B$3)^(223)</f>
        <v/>
      </c>
    </row>
    <row r="1450">
      <c r="A1450" t="n">
        <v>225</v>
      </c>
      <c r="B1450">
        <f>IF($B$4="life-table",(B1203+B1204)/2,IF($B$4="beginning",B1203,B1204))</f>
        <v/>
      </c>
      <c r="C1450">
        <f>IF($B$4="life-table",(C1203+C1204)/2,IF($B$4="beginning",C1203,C1204))</f>
        <v/>
      </c>
      <c r="D1450">
        <f>IF($B$4="life-table",(D1203+D1204)/2,IF($B$4="beginning",D1203,D1204))</f>
        <v/>
      </c>
      <c r="F1450">
        <f>((B1450*$B$239+C1450*$C$239+D1450*$D$239)+(B1450*$B$479+C1450*$C$479+D1450*$D$479)+(B1450*$B$719+C1450*$C$719+D1450*$D$719))/(1+$B$2)^(224)</f>
        <v/>
      </c>
      <c r="G1450">
        <f>((B1450*$B$959+C1450*$C$959+D1450*$D$959))/(1+$B$3)^(224)</f>
        <v/>
      </c>
    </row>
    <row r="1451">
      <c r="A1451" t="n">
        <v>226</v>
      </c>
      <c r="B1451">
        <f>IF($B$4="life-table",(B1204+B1205)/2,IF($B$4="beginning",B1204,B1205))</f>
        <v/>
      </c>
      <c r="C1451">
        <f>IF($B$4="life-table",(C1204+C1205)/2,IF($B$4="beginning",C1204,C1205))</f>
        <v/>
      </c>
      <c r="D1451">
        <f>IF($B$4="life-table",(D1204+D1205)/2,IF($B$4="beginning",D1204,D1205))</f>
        <v/>
      </c>
      <c r="F1451">
        <f>((B1451*$B$240+C1451*$C$240+D1451*$D$240)+(B1451*$B$480+C1451*$C$480+D1451*$D$480)+(B1451*$B$720+C1451*$C$720+D1451*$D$720))/(1+$B$2)^(225)</f>
        <v/>
      </c>
      <c r="G1451">
        <f>((B1451*$B$960+C1451*$C$960+D1451*$D$960))/(1+$B$3)^(225)</f>
        <v/>
      </c>
    </row>
    <row r="1452">
      <c r="A1452" t="n">
        <v>227</v>
      </c>
      <c r="B1452">
        <f>IF($B$4="life-table",(B1205+B1206)/2,IF($B$4="beginning",B1205,B1206))</f>
        <v/>
      </c>
      <c r="C1452">
        <f>IF($B$4="life-table",(C1205+C1206)/2,IF($B$4="beginning",C1205,C1206))</f>
        <v/>
      </c>
      <c r="D1452">
        <f>IF($B$4="life-table",(D1205+D1206)/2,IF($B$4="beginning",D1205,D1206))</f>
        <v/>
      </c>
      <c r="F1452">
        <f>((B1452*$B$241+C1452*$C$241+D1452*$D$241)+(B1452*$B$481+C1452*$C$481+D1452*$D$481)+(B1452*$B$721+C1452*$C$721+D1452*$D$721))/(1+$B$2)^(226)</f>
        <v/>
      </c>
      <c r="G1452">
        <f>((B1452*$B$961+C1452*$C$961+D1452*$D$961))/(1+$B$3)^(226)</f>
        <v/>
      </c>
    </row>
    <row r="1453">
      <c r="A1453" t="n">
        <v>228</v>
      </c>
      <c r="B1453">
        <f>IF($B$4="life-table",(B1206+B1207)/2,IF($B$4="beginning",B1206,B1207))</f>
        <v/>
      </c>
      <c r="C1453">
        <f>IF($B$4="life-table",(C1206+C1207)/2,IF($B$4="beginning",C1206,C1207))</f>
        <v/>
      </c>
      <c r="D1453">
        <f>IF($B$4="life-table",(D1206+D1207)/2,IF($B$4="beginning",D1206,D1207))</f>
        <v/>
      </c>
      <c r="F1453">
        <f>((B1453*$B$242+C1453*$C$242+D1453*$D$242)+(B1453*$B$482+C1453*$C$482+D1453*$D$482)+(B1453*$B$722+C1453*$C$722+D1453*$D$722))/(1+$B$2)^(227)</f>
        <v/>
      </c>
      <c r="G1453">
        <f>((B1453*$B$962+C1453*$C$962+D1453*$D$962))/(1+$B$3)^(227)</f>
        <v/>
      </c>
    </row>
    <row r="1454">
      <c r="A1454" t="n">
        <v>229</v>
      </c>
      <c r="B1454">
        <f>IF($B$4="life-table",(B1207+B1208)/2,IF($B$4="beginning",B1207,B1208))</f>
        <v/>
      </c>
      <c r="C1454">
        <f>IF($B$4="life-table",(C1207+C1208)/2,IF($B$4="beginning",C1207,C1208))</f>
        <v/>
      </c>
      <c r="D1454">
        <f>IF($B$4="life-table",(D1207+D1208)/2,IF($B$4="beginning",D1207,D1208))</f>
        <v/>
      </c>
      <c r="F1454">
        <f>((B1454*$B$243+C1454*$C$243+D1454*$D$243)+(B1454*$B$483+C1454*$C$483+D1454*$D$483)+(B1454*$B$723+C1454*$C$723+D1454*$D$723))/(1+$B$2)^(228)</f>
        <v/>
      </c>
      <c r="G1454">
        <f>((B1454*$B$963+C1454*$C$963+D1454*$D$963))/(1+$B$3)^(228)</f>
        <v/>
      </c>
    </row>
    <row r="1455">
      <c r="A1455" t="n">
        <v>230</v>
      </c>
      <c r="B1455">
        <f>IF($B$4="life-table",(B1208+B1209)/2,IF($B$4="beginning",B1208,B1209))</f>
        <v/>
      </c>
      <c r="C1455">
        <f>IF($B$4="life-table",(C1208+C1209)/2,IF($B$4="beginning",C1208,C1209))</f>
        <v/>
      </c>
      <c r="D1455">
        <f>IF($B$4="life-table",(D1208+D1209)/2,IF($B$4="beginning",D1208,D1209))</f>
        <v/>
      </c>
      <c r="F1455">
        <f>((B1455*$B$244+C1455*$C$244+D1455*$D$244)+(B1455*$B$484+C1455*$C$484+D1455*$D$484)+(B1455*$B$724+C1455*$C$724+D1455*$D$724))/(1+$B$2)^(229)</f>
        <v/>
      </c>
      <c r="G1455">
        <f>((B1455*$B$964+C1455*$C$964+D1455*$D$964))/(1+$B$3)^(229)</f>
        <v/>
      </c>
    </row>
    <row r="1456">
      <c r="A1456" t="n">
        <v>231</v>
      </c>
      <c r="B1456">
        <f>IF($B$4="life-table",(B1209+B1210)/2,IF($B$4="beginning",B1209,B1210))</f>
        <v/>
      </c>
      <c r="C1456">
        <f>IF($B$4="life-table",(C1209+C1210)/2,IF($B$4="beginning",C1209,C1210))</f>
        <v/>
      </c>
      <c r="D1456">
        <f>IF($B$4="life-table",(D1209+D1210)/2,IF($B$4="beginning",D1209,D1210))</f>
        <v/>
      </c>
      <c r="F1456">
        <f>((B1456*$B$245+C1456*$C$245+D1456*$D$245)+(B1456*$B$485+C1456*$C$485+D1456*$D$485)+(B1456*$B$725+C1456*$C$725+D1456*$D$725))/(1+$B$2)^(230)</f>
        <v/>
      </c>
      <c r="G1456">
        <f>((B1456*$B$965+C1456*$C$965+D1456*$D$965))/(1+$B$3)^(230)</f>
        <v/>
      </c>
    </row>
    <row r="1457">
      <c r="A1457" t="n">
        <v>232</v>
      </c>
      <c r="B1457">
        <f>IF($B$4="life-table",(B1210+B1211)/2,IF($B$4="beginning",B1210,B1211))</f>
        <v/>
      </c>
      <c r="C1457">
        <f>IF($B$4="life-table",(C1210+C1211)/2,IF($B$4="beginning",C1210,C1211))</f>
        <v/>
      </c>
      <c r="D1457">
        <f>IF($B$4="life-table",(D1210+D1211)/2,IF($B$4="beginning",D1210,D1211))</f>
        <v/>
      </c>
      <c r="F1457">
        <f>((B1457*$B$246+C1457*$C$246+D1457*$D$246)+(B1457*$B$486+C1457*$C$486+D1457*$D$486)+(B1457*$B$726+C1457*$C$726+D1457*$D$726))/(1+$B$2)^(231)</f>
        <v/>
      </c>
      <c r="G1457">
        <f>((B1457*$B$966+C1457*$C$966+D1457*$D$966))/(1+$B$3)^(231)</f>
        <v/>
      </c>
    </row>
    <row r="1458">
      <c r="A1458" t="n">
        <v>233</v>
      </c>
      <c r="B1458">
        <f>IF($B$4="life-table",(B1211+B1212)/2,IF($B$4="beginning",B1211,B1212))</f>
        <v/>
      </c>
      <c r="C1458">
        <f>IF($B$4="life-table",(C1211+C1212)/2,IF($B$4="beginning",C1211,C1212))</f>
        <v/>
      </c>
      <c r="D1458">
        <f>IF($B$4="life-table",(D1211+D1212)/2,IF($B$4="beginning",D1211,D1212))</f>
        <v/>
      </c>
      <c r="F1458">
        <f>((B1458*$B$247+C1458*$C$247+D1458*$D$247)+(B1458*$B$487+C1458*$C$487+D1458*$D$487)+(B1458*$B$727+C1458*$C$727+D1458*$D$727))/(1+$B$2)^(232)</f>
        <v/>
      </c>
      <c r="G1458">
        <f>((B1458*$B$967+C1458*$C$967+D1458*$D$967))/(1+$B$3)^(232)</f>
        <v/>
      </c>
    </row>
    <row r="1459">
      <c r="A1459" t="n">
        <v>234</v>
      </c>
      <c r="B1459">
        <f>IF($B$4="life-table",(B1212+B1213)/2,IF($B$4="beginning",B1212,B1213))</f>
        <v/>
      </c>
      <c r="C1459">
        <f>IF($B$4="life-table",(C1212+C1213)/2,IF($B$4="beginning",C1212,C1213))</f>
        <v/>
      </c>
      <c r="D1459">
        <f>IF($B$4="life-table",(D1212+D1213)/2,IF($B$4="beginning",D1212,D1213))</f>
        <v/>
      </c>
      <c r="F1459">
        <f>((B1459*$B$248+C1459*$C$248+D1459*$D$248)+(B1459*$B$488+C1459*$C$488+D1459*$D$488)+(B1459*$B$728+C1459*$C$728+D1459*$D$728))/(1+$B$2)^(233)</f>
        <v/>
      </c>
      <c r="G1459">
        <f>((B1459*$B$968+C1459*$C$968+D1459*$D$968))/(1+$B$3)^(233)</f>
        <v/>
      </c>
    </row>
    <row r="1460">
      <c r="A1460" t="n">
        <v>235</v>
      </c>
      <c r="B1460">
        <f>IF($B$4="life-table",(B1213+B1214)/2,IF($B$4="beginning",B1213,B1214))</f>
        <v/>
      </c>
      <c r="C1460">
        <f>IF($B$4="life-table",(C1213+C1214)/2,IF($B$4="beginning",C1213,C1214))</f>
        <v/>
      </c>
      <c r="D1460">
        <f>IF($B$4="life-table",(D1213+D1214)/2,IF($B$4="beginning",D1213,D1214))</f>
        <v/>
      </c>
      <c r="F1460">
        <f>((B1460*$B$249+C1460*$C$249+D1460*$D$249)+(B1460*$B$489+C1460*$C$489+D1460*$D$489)+(B1460*$B$729+C1460*$C$729+D1460*$D$729))/(1+$B$2)^(234)</f>
        <v/>
      </c>
      <c r="G1460">
        <f>((B1460*$B$969+C1460*$C$969+D1460*$D$969))/(1+$B$3)^(234)</f>
        <v/>
      </c>
    </row>
    <row r="1461">
      <c r="A1461" t="n">
        <v>236</v>
      </c>
      <c r="B1461">
        <f>IF($B$4="life-table",(B1214+B1215)/2,IF($B$4="beginning",B1214,B1215))</f>
        <v/>
      </c>
      <c r="C1461">
        <f>IF($B$4="life-table",(C1214+C1215)/2,IF($B$4="beginning",C1214,C1215))</f>
        <v/>
      </c>
      <c r="D1461">
        <f>IF($B$4="life-table",(D1214+D1215)/2,IF($B$4="beginning",D1214,D1215))</f>
        <v/>
      </c>
      <c r="F1461">
        <f>((B1461*$B$250+C1461*$C$250+D1461*$D$250)+(B1461*$B$490+C1461*$C$490+D1461*$D$490)+(B1461*$B$730+C1461*$C$730+D1461*$D$730))/(1+$B$2)^(235)</f>
        <v/>
      </c>
      <c r="G1461">
        <f>((B1461*$B$970+C1461*$C$970+D1461*$D$970))/(1+$B$3)^(235)</f>
        <v/>
      </c>
    </row>
    <row r="1462">
      <c r="A1462" t="n">
        <v>237</v>
      </c>
      <c r="B1462">
        <f>IF($B$4="life-table",(B1215+B1216)/2,IF($B$4="beginning",B1215,B1216))</f>
        <v/>
      </c>
      <c r="C1462">
        <f>IF($B$4="life-table",(C1215+C1216)/2,IF($B$4="beginning",C1215,C1216))</f>
        <v/>
      </c>
      <c r="D1462">
        <f>IF($B$4="life-table",(D1215+D1216)/2,IF($B$4="beginning",D1215,D1216))</f>
        <v/>
      </c>
      <c r="F1462">
        <f>((B1462*$B$251+C1462*$C$251+D1462*$D$251)+(B1462*$B$491+C1462*$C$491+D1462*$D$491)+(B1462*$B$731+C1462*$C$731+D1462*$D$731))/(1+$B$2)^(236)</f>
        <v/>
      </c>
      <c r="G1462">
        <f>((B1462*$B$971+C1462*$C$971+D1462*$D$971))/(1+$B$3)^(236)</f>
        <v/>
      </c>
    </row>
    <row r="1463">
      <c r="A1463" t="n">
        <v>238</v>
      </c>
      <c r="B1463">
        <f>IF($B$4="life-table",(B1216+B1217)/2,IF($B$4="beginning",B1216,B1217))</f>
        <v/>
      </c>
      <c r="C1463">
        <f>IF($B$4="life-table",(C1216+C1217)/2,IF($B$4="beginning",C1216,C1217))</f>
        <v/>
      </c>
      <c r="D1463">
        <f>IF($B$4="life-table",(D1216+D1217)/2,IF($B$4="beginning",D1216,D1217))</f>
        <v/>
      </c>
      <c r="F1463">
        <f>((B1463*$B$252+C1463*$C$252+D1463*$D$252)+(B1463*$B$492+C1463*$C$492+D1463*$D$492)+(B1463*$B$732+C1463*$C$732+D1463*$D$732))/(1+$B$2)^(237)</f>
        <v/>
      </c>
      <c r="G1463">
        <f>((B1463*$B$972+C1463*$C$972+D1463*$D$972))/(1+$B$3)^(237)</f>
        <v/>
      </c>
    </row>
    <row r="1464">
      <c r="A1464" t="n">
        <v>239</v>
      </c>
      <c r="B1464">
        <f>IF($B$4="life-table",(B1217+B1218)/2,IF($B$4="beginning",B1217,B1218))</f>
        <v/>
      </c>
      <c r="C1464">
        <f>IF($B$4="life-table",(C1217+C1218)/2,IF($B$4="beginning",C1217,C1218))</f>
        <v/>
      </c>
      <c r="D1464">
        <f>IF($B$4="life-table",(D1217+D1218)/2,IF($B$4="beginning",D1217,D1218))</f>
        <v/>
      </c>
      <c r="F1464">
        <f>((B1464*$B$253+C1464*$C$253+D1464*$D$253)+(B1464*$B$493+C1464*$C$493+D1464*$D$493)+(B1464*$B$733+C1464*$C$733+D1464*$D$733))/(1+$B$2)^(238)</f>
        <v/>
      </c>
      <c r="G1464">
        <f>((B1464*$B$973+C1464*$C$973+D1464*$D$973))/(1+$B$3)^(238)</f>
        <v/>
      </c>
    </row>
    <row r="1465">
      <c r="A1465" t="n">
        <v>240</v>
      </c>
      <c r="B1465">
        <f>IF($B$4="life-table",(B1218+B1219)/2,IF($B$4="beginning",B1218,B1219))</f>
        <v/>
      </c>
      <c r="C1465">
        <f>IF($B$4="life-table",(C1218+C1219)/2,IF($B$4="beginning",C1218,C1219))</f>
        <v/>
      </c>
      <c r="D1465">
        <f>IF($B$4="life-table",(D1218+D1219)/2,IF($B$4="beginning",D1218,D1219))</f>
        <v/>
      </c>
      <c r="F1465">
        <f>((B1465*$B$254+C1465*$C$254+D1465*$D$254)+(B1465*$B$494+C1465*$C$494+D1465*$D$494)+(B1465*$B$734+C1465*$C$734+D1465*$D$734))/(1+$B$2)^(239)</f>
        <v/>
      </c>
      <c r="G1465">
        <f>((B1465*$B$974+C1465*$C$974+D1465*$D$974))/(1+$B$3)^(239)</f>
        <v/>
      </c>
    </row>
  </sheetData>
  <dataValidations count="1">
    <dataValidation sqref="B4" showDropDown="0" showInputMessage="0" showErrorMessage="0" allowBlank="0" type="list">
      <formula1>"beginning,end,life-table"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Cycle length (years)</t>
        </is>
      </c>
      <c r="B1" s="1" t="n">
        <v>0.08333333333333333</v>
      </c>
    </row>
    <row r="2">
      <c r="A2" t="inlineStr">
        <is>
          <t>Cost discount rate per cycle</t>
        </is>
      </c>
      <c r="B2" s="1" t="n">
        <v>0.0024662697723036</v>
      </c>
    </row>
    <row r="3">
      <c r="A3" t="inlineStr">
        <is>
          <t>QALY discount rate per cycle</t>
        </is>
      </c>
      <c r="B3" s="1" t="n">
        <v>0.0024662697723036</v>
      </c>
    </row>
    <row r="4">
      <c r="A4" t="inlineStr">
        <is>
          <t>Occupancy method</t>
        </is>
      </c>
      <c r="B4" s="1" t="inlineStr">
        <is>
          <t>life-table</t>
        </is>
      </c>
    </row>
    <row r="5">
      <c r="A5" t="inlineStr">
        <is>
          <t>Input convention</t>
        </is>
      </c>
      <c r="B5" t="inlineStr">
        <is>
          <t>State costs and QALYs are per cycle; first cycle undiscounted</t>
        </is>
      </c>
    </row>
    <row r="6">
      <c r="A6" t="inlineStr">
        <is>
          <t>Dynamic inputs</t>
        </is>
      </c>
      <c r="B6" t="inlineStr">
        <is>
          <t>Callbacks expanded per cycle; changing source params requires re-export</t>
        </is>
      </c>
    </row>
    <row r="7">
      <c r="A7" t="inlineStr">
        <is>
          <t>Total cost</t>
        </is>
      </c>
      <c r="B7">
        <f>F1226+F1227+F1228+F1229+F1230+F1231+F1232+F1233+F1234+F1235+F1236+F1237+F1238+F1239+F1240+F1241+F1242+F1243+F1244+F1245+F1246+F1247+F1248+F1249+F1250+F1251+F1252+F1253+F1254+F1255+F1256+F1257+F1258+F1259+F1260+F1261+F1262+F1263+F1264+F1265+F1266+F1267+F1268+F1269+F1270+F1271+F1272+F1273+F1274+F1275+F1276+F1277+F1278+F1279+F1280+F1281+F1282+F1283+F1284+F1285+F1286+F1287+F1288+F1289+F1290+F1291+F1292+F1293+F1294+F1295+F1296+F1297+F1298+F1299+F1300+F1301+F1302+F1303+F1304+F1305+F1306+F1307+F1308+F1309+F1310+F1311+F1312+F1313+F1314+F1315+F1316+F1317+F1318+F1319+F1320+F1321+F1322+F1323+F1324+F1325+F1326+F1327+F1328+F1329+F1330+F1331+F1332+F1333+F1334+F1335+F1336+F1337+F1338+F1339+F1340+F1341+F1342+F1343+F1344+F1345+F1346+F1347+F1348+F1349+F1350+F1351+F1352+F1353+F1354+F1355+F1356+F1357+F1358+F1359+F1360+F1361+F1362+F1363+F1364+F1365+F1366+F1367+F1368+F1369+F1370+F1371+F1372+F1373+F1374+F1375+F1376+F1377+F1378+F1379+F1380+F1381+F1382+F1383+F1384+F1385+F1386+F1387+F1388+F1389+F1390+F1391+F1392+F1393+F1394+F1395+F1396+F1397+F1398+F1399+F1400+F1401+F1402+F1403+F1404+F1405+F1406+F1407+F1408+F1409+F1410+F1411+F1412+F1413+F1414+F1415+F1416+F1417+F1418+F1419+F1420+F1421+F1422+F1423+F1424+F1425+F1426+F1427+F1428+F1429+F1430+F1431+F1432+F1433+F1434+F1435+F1436+F1437+F1438+F1439+F1440+F1441+F1442+F1443+F1444+F1445+F1446+F1447+F1448+F1449+F1450+F1451+F1452+F1453+F1454+F1455+F1456+F1457+F1458+F1459+F1460+F1461+F1462+F1463+F1464+F1465</f>
        <v/>
      </c>
    </row>
    <row r="8">
      <c r="A8" t="inlineStr">
        <is>
          <t>Total QALYs</t>
        </is>
      </c>
      <c r="B8">
        <f>G1226+G1227+G1228+G1229+G1230+G1231+G1232+G1233+G1234+G1235+G1236+G1237+G1238+G1239+G1240+G1241+G1242+G1243+G1244+G1245+G1246+G1247+G1248+G1249+G1250+G1251+G1252+G1253+G1254+G1255+G1256+G1257+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+G1309+G1310+G1311+G1312+G1313+G1314+G1315+G1316+G1317+G1318+G1319+G1320+G1321+G1322+G1323+G1324+G1325+G1326+G1327+G1328+G1329+G1330+G1331+G1332+G1333+G1334+G1335+G1336+G1337+G1338+G1339+G1340+G1341+G1342+G1343+G1344+G1345+G1346+G1347+G1348+G1349+G1350+G1351+G1352+G1353+G1354+G1355+G1356+G1357+G1358+G1359+G1360+G1361+G1362+G1363+G1364+G1365+G1366+G1367+G1368+G1369+G1370+G1371+G1372+G1373+G1374+G1375+G1376+G1377+G1378+G1379+G1380+G1381+G1382+G1383+G1384+G1385+G1386+G1387+G1388+G1389+G1390+G1391+G1392+G1393+G1394+G1395+G1396+G1397+G1398+G1399+G1400+G1401+G1402+G1403+G1404+G1405+G1406+G1407+G1408+G1409+G1410+G1411+G1412+G1413+G1414+G1415+G1416+G1417+G1418+G1419+G1420+G1421+G1422+G1423+G1424+G1425+G1426+G1427+G1428+G1429+G1430+G1431+G1432+G1433+G1434+G1435+G1436+G1437+G1438+G1439+G1440+G1441+G1442+G1443+G1444+G1445+G1446+G1447+G1448+G1449+G1450+G1451+G1452+G1453+G1454+G1455+G1456+G1457+G1458+G1459+G1460+G1461+G1462+G1463+G1464+G1465</f>
        <v/>
      </c>
    </row>
    <row r="11">
      <c r="A11" t="inlineStr">
        <is>
          <t>PFS / baseline / Exponential rate</t>
        </is>
      </c>
      <c r="B11" s="1" t="n">
        <v>0.7675000000000001</v>
      </c>
    </row>
    <row r="12">
      <c r="A12" t="inlineStr">
        <is>
          <t>PFS / Time scaling factor</t>
        </is>
      </c>
      <c r="B12" s="1" t="n">
        <v>0.08333333333333333</v>
      </c>
    </row>
    <row r="13">
      <c r="A13" t="inlineStr">
        <is>
          <t>OS / baseline / Exponential rate</t>
        </is>
      </c>
      <c r="B13" s="1" t="n">
        <v>0.3</v>
      </c>
    </row>
    <row r="14">
      <c r="A14" t="inlineStr">
        <is>
          <t>OS / Time scaling factor</t>
        </is>
      </c>
      <c r="B14" s="1" t="n">
        <v>0.08333333333333333</v>
      </c>
    </row>
    <row r="15">
      <c r="A15" t="inlineStr">
        <is>
          <t>cost / drug / cycle 1</t>
        </is>
      </c>
      <c r="B15" s="1" t="n">
        <v>11000</v>
      </c>
      <c r="C15" s="1" t="n">
        <v>0</v>
      </c>
      <c r="D15" s="1" t="n">
        <v>0</v>
      </c>
    </row>
    <row r="16">
      <c r="A16" t="inlineStr">
        <is>
          <t>cost / drug / cycle 2</t>
        </is>
      </c>
      <c r="B16" s="1" t="n">
        <v>11000</v>
      </c>
      <c r="C16" s="1" t="n">
        <v>0</v>
      </c>
      <c r="D16" s="1" t="n">
        <v>0</v>
      </c>
    </row>
    <row r="17">
      <c r="A17" t="inlineStr">
        <is>
          <t>cost / drug / cycle 3</t>
        </is>
      </c>
      <c r="B17" s="1" t="n">
        <v>11000</v>
      </c>
      <c r="C17" s="1" t="n">
        <v>0</v>
      </c>
      <c r="D17" s="1" t="n">
        <v>0</v>
      </c>
    </row>
    <row r="18">
      <c r="A18" t="inlineStr">
        <is>
          <t>cost / drug / cycle 4</t>
        </is>
      </c>
      <c r="B18" s="1" t="n">
        <v>11000</v>
      </c>
      <c r="C18" s="1" t="n">
        <v>0</v>
      </c>
      <c r="D18" s="1" t="n">
        <v>0</v>
      </c>
    </row>
    <row r="19">
      <c r="A19" t="inlineStr">
        <is>
          <t>cost / drug / cycle 5</t>
        </is>
      </c>
      <c r="B19" s="1" t="n">
        <v>11000</v>
      </c>
      <c r="C19" s="1" t="n">
        <v>0</v>
      </c>
      <c r="D19" s="1" t="n">
        <v>0</v>
      </c>
    </row>
    <row r="20">
      <c r="A20" t="inlineStr">
        <is>
          <t>cost / drug / cycle 6</t>
        </is>
      </c>
      <c r="B20" s="1" t="n">
        <v>11000</v>
      </c>
      <c r="C20" s="1" t="n">
        <v>0</v>
      </c>
      <c r="D20" s="1" t="n">
        <v>0</v>
      </c>
    </row>
    <row r="21">
      <c r="A21" t="inlineStr">
        <is>
          <t>cost / drug / cycle 7</t>
        </is>
      </c>
      <c r="B21" s="1" t="n">
        <v>11000</v>
      </c>
      <c r="C21" s="1" t="n">
        <v>0</v>
      </c>
      <c r="D21" s="1" t="n">
        <v>0</v>
      </c>
    </row>
    <row r="22">
      <c r="A22" t="inlineStr">
        <is>
          <t>cost / drug / cycle 8</t>
        </is>
      </c>
      <c r="B22" s="1" t="n">
        <v>11000</v>
      </c>
      <c r="C22" s="1" t="n">
        <v>0</v>
      </c>
      <c r="D22" s="1" t="n">
        <v>0</v>
      </c>
    </row>
    <row r="23">
      <c r="A23" t="inlineStr">
        <is>
          <t>cost / drug / cycle 9</t>
        </is>
      </c>
      <c r="B23" s="1" t="n">
        <v>11000</v>
      </c>
      <c r="C23" s="1" t="n">
        <v>0</v>
      </c>
      <c r="D23" s="1" t="n">
        <v>0</v>
      </c>
    </row>
    <row r="24">
      <c r="A24" t="inlineStr">
        <is>
          <t>cost / drug / cycle 10</t>
        </is>
      </c>
      <c r="B24" s="1" t="n">
        <v>11000</v>
      </c>
      <c r="C24" s="1" t="n">
        <v>0</v>
      </c>
      <c r="D24" s="1" t="n">
        <v>0</v>
      </c>
    </row>
    <row r="25">
      <c r="A25" t="inlineStr">
        <is>
          <t>cost / drug / cycle 11</t>
        </is>
      </c>
      <c r="B25" s="1" t="n">
        <v>11000</v>
      </c>
      <c r="C25" s="1" t="n">
        <v>0</v>
      </c>
      <c r="D25" s="1" t="n">
        <v>0</v>
      </c>
    </row>
    <row r="26">
      <c r="A26" t="inlineStr">
        <is>
          <t>cost / drug / cycle 12</t>
        </is>
      </c>
      <c r="B26" s="1" t="n">
        <v>11000</v>
      </c>
      <c r="C26" s="1" t="n">
        <v>0</v>
      </c>
      <c r="D26" s="1" t="n">
        <v>0</v>
      </c>
    </row>
    <row r="27">
      <c r="A27" t="inlineStr">
        <is>
          <t>cost / drug / cycle 13</t>
        </is>
      </c>
      <c r="B27" s="1" t="n">
        <v>11000</v>
      </c>
      <c r="C27" s="1" t="n">
        <v>0</v>
      </c>
      <c r="D27" s="1" t="n">
        <v>0</v>
      </c>
    </row>
    <row r="28">
      <c r="A28" t="inlineStr">
        <is>
          <t>cost / drug / cycle 14</t>
        </is>
      </c>
      <c r="B28" s="1" t="n">
        <v>11000</v>
      </c>
      <c r="C28" s="1" t="n">
        <v>0</v>
      </c>
      <c r="D28" s="1" t="n">
        <v>0</v>
      </c>
    </row>
    <row r="29">
      <c r="A29" t="inlineStr">
        <is>
          <t>cost / drug / cycle 15</t>
        </is>
      </c>
      <c r="B29" s="1" t="n">
        <v>11000</v>
      </c>
      <c r="C29" s="1" t="n">
        <v>0</v>
      </c>
      <c r="D29" s="1" t="n">
        <v>0</v>
      </c>
    </row>
    <row r="30">
      <c r="A30" t="inlineStr">
        <is>
          <t>cost / drug / cycle 16</t>
        </is>
      </c>
      <c r="B30" s="1" t="n">
        <v>11000</v>
      </c>
      <c r="C30" s="1" t="n">
        <v>0</v>
      </c>
      <c r="D30" s="1" t="n">
        <v>0</v>
      </c>
    </row>
    <row r="31">
      <c r="A31" t="inlineStr">
        <is>
          <t>cost / drug / cycle 17</t>
        </is>
      </c>
      <c r="B31" s="1" t="n">
        <v>11000</v>
      </c>
      <c r="C31" s="1" t="n">
        <v>0</v>
      </c>
      <c r="D31" s="1" t="n">
        <v>0</v>
      </c>
    </row>
    <row r="32">
      <c r="A32" t="inlineStr">
        <is>
          <t>cost / drug / cycle 18</t>
        </is>
      </c>
      <c r="B32" s="1" t="n">
        <v>11000</v>
      </c>
      <c r="C32" s="1" t="n">
        <v>0</v>
      </c>
      <c r="D32" s="1" t="n">
        <v>0</v>
      </c>
    </row>
    <row r="33">
      <c r="A33" t="inlineStr">
        <is>
          <t>cost / drug / cycle 19</t>
        </is>
      </c>
      <c r="B33" s="1" t="n">
        <v>11000</v>
      </c>
      <c r="C33" s="1" t="n">
        <v>0</v>
      </c>
      <c r="D33" s="1" t="n">
        <v>0</v>
      </c>
    </row>
    <row r="34">
      <c r="A34" t="inlineStr">
        <is>
          <t>cost / drug / cycle 20</t>
        </is>
      </c>
      <c r="B34" s="1" t="n">
        <v>11000</v>
      </c>
      <c r="C34" s="1" t="n">
        <v>0</v>
      </c>
      <c r="D34" s="1" t="n">
        <v>0</v>
      </c>
    </row>
    <row r="35">
      <c r="A35" t="inlineStr">
        <is>
          <t>cost / drug / cycle 21</t>
        </is>
      </c>
      <c r="B35" s="1" t="n">
        <v>11000</v>
      </c>
      <c r="C35" s="1" t="n">
        <v>0</v>
      </c>
      <c r="D35" s="1" t="n">
        <v>0</v>
      </c>
    </row>
    <row r="36">
      <c r="A36" t="inlineStr">
        <is>
          <t>cost / drug / cycle 22</t>
        </is>
      </c>
      <c r="B36" s="1" t="n">
        <v>11000</v>
      </c>
      <c r="C36" s="1" t="n">
        <v>0</v>
      </c>
      <c r="D36" s="1" t="n">
        <v>0</v>
      </c>
    </row>
    <row r="37">
      <c r="A37" t="inlineStr">
        <is>
          <t>cost / drug / cycle 23</t>
        </is>
      </c>
      <c r="B37" s="1" t="n">
        <v>11000</v>
      </c>
      <c r="C37" s="1" t="n">
        <v>0</v>
      </c>
      <c r="D37" s="1" t="n">
        <v>0</v>
      </c>
    </row>
    <row r="38">
      <c r="A38" t="inlineStr">
        <is>
          <t>cost / drug / cycle 24</t>
        </is>
      </c>
      <c r="B38" s="1" t="n">
        <v>11000</v>
      </c>
      <c r="C38" s="1" t="n">
        <v>0</v>
      </c>
      <c r="D38" s="1" t="n">
        <v>0</v>
      </c>
    </row>
    <row r="39">
      <c r="A39" t="inlineStr">
        <is>
          <t>cost / drug / cycle 25</t>
        </is>
      </c>
      <c r="B39" s="1" t="n">
        <v>11000</v>
      </c>
      <c r="C39" s="1" t="n">
        <v>0</v>
      </c>
      <c r="D39" s="1" t="n">
        <v>0</v>
      </c>
    </row>
    <row r="40">
      <c r="A40" t="inlineStr">
        <is>
          <t>cost / drug / cycle 26</t>
        </is>
      </c>
      <c r="B40" s="1" t="n">
        <v>11000</v>
      </c>
      <c r="C40" s="1" t="n">
        <v>0</v>
      </c>
      <c r="D40" s="1" t="n">
        <v>0</v>
      </c>
    </row>
    <row r="41">
      <c r="A41" t="inlineStr">
        <is>
          <t>cost / drug / cycle 27</t>
        </is>
      </c>
      <c r="B41" s="1" t="n">
        <v>11000</v>
      </c>
      <c r="C41" s="1" t="n">
        <v>0</v>
      </c>
      <c r="D41" s="1" t="n">
        <v>0</v>
      </c>
    </row>
    <row r="42">
      <c r="A42" t="inlineStr">
        <is>
          <t>cost / drug / cycle 28</t>
        </is>
      </c>
      <c r="B42" s="1" t="n">
        <v>11000</v>
      </c>
      <c r="C42" s="1" t="n">
        <v>0</v>
      </c>
      <c r="D42" s="1" t="n">
        <v>0</v>
      </c>
    </row>
    <row r="43">
      <c r="A43" t="inlineStr">
        <is>
          <t>cost / drug / cycle 29</t>
        </is>
      </c>
      <c r="B43" s="1" t="n">
        <v>11000</v>
      </c>
      <c r="C43" s="1" t="n">
        <v>0</v>
      </c>
      <c r="D43" s="1" t="n">
        <v>0</v>
      </c>
    </row>
    <row r="44">
      <c r="A44" t="inlineStr">
        <is>
          <t>cost / drug / cycle 30</t>
        </is>
      </c>
      <c r="B44" s="1" t="n">
        <v>11000</v>
      </c>
      <c r="C44" s="1" t="n">
        <v>0</v>
      </c>
      <c r="D44" s="1" t="n">
        <v>0</v>
      </c>
    </row>
    <row r="45">
      <c r="A45" t="inlineStr">
        <is>
          <t>cost / drug / cycle 31</t>
        </is>
      </c>
      <c r="B45" s="1" t="n">
        <v>11000</v>
      </c>
      <c r="C45" s="1" t="n">
        <v>0</v>
      </c>
      <c r="D45" s="1" t="n">
        <v>0</v>
      </c>
    </row>
    <row r="46">
      <c r="A46" t="inlineStr">
        <is>
          <t>cost / drug / cycle 32</t>
        </is>
      </c>
      <c r="B46" s="1" t="n">
        <v>11000</v>
      </c>
      <c r="C46" s="1" t="n">
        <v>0</v>
      </c>
      <c r="D46" s="1" t="n">
        <v>0</v>
      </c>
    </row>
    <row r="47">
      <c r="A47" t="inlineStr">
        <is>
          <t>cost / drug / cycle 33</t>
        </is>
      </c>
      <c r="B47" s="1" t="n">
        <v>11000</v>
      </c>
      <c r="C47" s="1" t="n">
        <v>0</v>
      </c>
      <c r="D47" s="1" t="n">
        <v>0</v>
      </c>
    </row>
    <row r="48">
      <c r="A48" t="inlineStr">
        <is>
          <t>cost / drug / cycle 34</t>
        </is>
      </c>
      <c r="B48" s="1" t="n">
        <v>11000</v>
      </c>
      <c r="C48" s="1" t="n">
        <v>0</v>
      </c>
      <c r="D48" s="1" t="n">
        <v>0</v>
      </c>
    </row>
    <row r="49">
      <c r="A49" t="inlineStr">
        <is>
          <t>cost / drug / cycle 35</t>
        </is>
      </c>
      <c r="B49" s="1" t="n">
        <v>11000</v>
      </c>
      <c r="C49" s="1" t="n">
        <v>0</v>
      </c>
      <c r="D49" s="1" t="n">
        <v>0</v>
      </c>
    </row>
    <row r="50">
      <c r="A50" t="inlineStr">
        <is>
          <t>cost / drug / cycle 36</t>
        </is>
      </c>
      <c r="B50" s="1" t="n">
        <v>11000</v>
      </c>
      <c r="C50" s="1" t="n">
        <v>0</v>
      </c>
      <c r="D50" s="1" t="n">
        <v>0</v>
      </c>
    </row>
    <row r="51">
      <c r="A51" t="inlineStr">
        <is>
          <t>cost / drug / cycle 37</t>
        </is>
      </c>
      <c r="B51" s="1" t="n">
        <v>11000</v>
      </c>
      <c r="C51" s="1" t="n">
        <v>0</v>
      </c>
      <c r="D51" s="1" t="n">
        <v>0</v>
      </c>
    </row>
    <row r="52">
      <c r="A52" t="inlineStr">
        <is>
          <t>cost / drug / cycle 38</t>
        </is>
      </c>
      <c r="B52" s="1" t="n">
        <v>11000</v>
      </c>
      <c r="C52" s="1" t="n">
        <v>0</v>
      </c>
      <c r="D52" s="1" t="n">
        <v>0</v>
      </c>
    </row>
    <row r="53">
      <c r="A53" t="inlineStr">
        <is>
          <t>cost / drug / cycle 39</t>
        </is>
      </c>
      <c r="B53" s="1" t="n">
        <v>11000</v>
      </c>
      <c r="C53" s="1" t="n">
        <v>0</v>
      </c>
      <c r="D53" s="1" t="n">
        <v>0</v>
      </c>
    </row>
    <row r="54">
      <c r="A54" t="inlineStr">
        <is>
          <t>cost / drug / cycle 40</t>
        </is>
      </c>
      <c r="B54" s="1" t="n">
        <v>11000</v>
      </c>
      <c r="C54" s="1" t="n">
        <v>0</v>
      </c>
      <c r="D54" s="1" t="n">
        <v>0</v>
      </c>
    </row>
    <row r="55">
      <c r="A55" t="inlineStr">
        <is>
          <t>cost / drug / cycle 41</t>
        </is>
      </c>
      <c r="B55" s="1" t="n">
        <v>11000</v>
      </c>
      <c r="C55" s="1" t="n">
        <v>0</v>
      </c>
      <c r="D55" s="1" t="n">
        <v>0</v>
      </c>
    </row>
    <row r="56">
      <c r="A56" t="inlineStr">
        <is>
          <t>cost / drug / cycle 42</t>
        </is>
      </c>
      <c r="B56" s="1" t="n">
        <v>11000</v>
      </c>
      <c r="C56" s="1" t="n">
        <v>0</v>
      </c>
      <c r="D56" s="1" t="n">
        <v>0</v>
      </c>
    </row>
    <row r="57">
      <c r="A57" t="inlineStr">
        <is>
          <t>cost / drug / cycle 43</t>
        </is>
      </c>
      <c r="B57" s="1" t="n">
        <v>11000</v>
      </c>
      <c r="C57" s="1" t="n">
        <v>0</v>
      </c>
      <c r="D57" s="1" t="n">
        <v>0</v>
      </c>
    </row>
    <row r="58">
      <c r="A58" t="inlineStr">
        <is>
          <t>cost / drug / cycle 44</t>
        </is>
      </c>
      <c r="B58" s="1" t="n">
        <v>11000</v>
      </c>
      <c r="C58" s="1" t="n">
        <v>0</v>
      </c>
      <c r="D58" s="1" t="n">
        <v>0</v>
      </c>
    </row>
    <row r="59">
      <c r="A59" t="inlineStr">
        <is>
          <t>cost / drug / cycle 45</t>
        </is>
      </c>
      <c r="B59" s="1" t="n">
        <v>11000</v>
      </c>
      <c r="C59" s="1" t="n">
        <v>0</v>
      </c>
      <c r="D59" s="1" t="n">
        <v>0</v>
      </c>
    </row>
    <row r="60">
      <c r="A60" t="inlineStr">
        <is>
          <t>cost / drug / cycle 46</t>
        </is>
      </c>
      <c r="B60" s="1" t="n">
        <v>11000</v>
      </c>
      <c r="C60" s="1" t="n">
        <v>0</v>
      </c>
      <c r="D60" s="1" t="n">
        <v>0</v>
      </c>
    </row>
    <row r="61">
      <c r="A61" t="inlineStr">
        <is>
          <t>cost / drug / cycle 47</t>
        </is>
      </c>
      <c r="B61" s="1" t="n">
        <v>11000</v>
      </c>
      <c r="C61" s="1" t="n">
        <v>0</v>
      </c>
      <c r="D61" s="1" t="n">
        <v>0</v>
      </c>
    </row>
    <row r="62">
      <c r="A62" t="inlineStr">
        <is>
          <t>cost / drug / cycle 48</t>
        </is>
      </c>
      <c r="B62" s="1" t="n">
        <v>11000</v>
      </c>
      <c r="C62" s="1" t="n">
        <v>0</v>
      </c>
      <c r="D62" s="1" t="n">
        <v>0</v>
      </c>
    </row>
    <row r="63">
      <c r="A63" t="inlineStr">
        <is>
          <t>cost / drug / cycle 49</t>
        </is>
      </c>
      <c r="B63" s="1" t="n">
        <v>11000</v>
      </c>
      <c r="C63" s="1" t="n">
        <v>0</v>
      </c>
      <c r="D63" s="1" t="n">
        <v>0</v>
      </c>
    </row>
    <row r="64">
      <c r="A64" t="inlineStr">
        <is>
          <t>cost / drug / cycle 50</t>
        </is>
      </c>
      <c r="B64" s="1" t="n">
        <v>11000</v>
      </c>
      <c r="C64" s="1" t="n">
        <v>0</v>
      </c>
      <c r="D64" s="1" t="n">
        <v>0</v>
      </c>
    </row>
    <row r="65">
      <c r="A65" t="inlineStr">
        <is>
          <t>cost / drug / cycle 51</t>
        </is>
      </c>
      <c r="B65" s="1" t="n">
        <v>11000</v>
      </c>
      <c r="C65" s="1" t="n">
        <v>0</v>
      </c>
      <c r="D65" s="1" t="n">
        <v>0</v>
      </c>
    </row>
    <row r="66">
      <c r="A66" t="inlineStr">
        <is>
          <t>cost / drug / cycle 52</t>
        </is>
      </c>
      <c r="B66" s="1" t="n">
        <v>11000</v>
      </c>
      <c r="C66" s="1" t="n">
        <v>0</v>
      </c>
      <c r="D66" s="1" t="n">
        <v>0</v>
      </c>
    </row>
    <row r="67">
      <c r="A67" t="inlineStr">
        <is>
          <t>cost / drug / cycle 53</t>
        </is>
      </c>
      <c r="B67" s="1" t="n">
        <v>11000</v>
      </c>
      <c r="C67" s="1" t="n">
        <v>0</v>
      </c>
      <c r="D67" s="1" t="n">
        <v>0</v>
      </c>
    </row>
    <row r="68">
      <c r="A68" t="inlineStr">
        <is>
          <t>cost / drug / cycle 54</t>
        </is>
      </c>
      <c r="B68" s="1" t="n">
        <v>11000</v>
      </c>
      <c r="C68" s="1" t="n">
        <v>0</v>
      </c>
      <c r="D68" s="1" t="n">
        <v>0</v>
      </c>
    </row>
    <row r="69">
      <c r="A69" t="inlineStr">
        <is>
          <t>cost / drug / cycle 55</t>
        </is>
      </c>
      <c r="B69" s="1" t="n">
        <v>11000</v>
      </c>
      <c r="C69" s="1" t="n">
        <v>0</v>
      </c>
      <c r="D69" s="1" t="n">
        <v>0</v>
      </c>
    </row>
    <row r="70">
      <c r="A70" t="inlineStr">
        <is>
          <t>cost / drug / cycle 56</t>
        </is>
      </c>
      <c r="B70" s="1" t="n">
        <v>11000</v>
      </c>
      <c r="C70" s="1" t="n">
        <v>0</v>
      </c>
      <c r="D70" s="1" t="n">
        <v>0</v>
      </c>
    </row>
    <row r="71">
      <c r="A71" t="inlineStr">
        <is>
          <t>cost / drug / cycle 57</t>
        </is>
      </c>
      <c r="B71" s="1" t="n">
        <v>11000</v>
      </c>
      <c r="C71" s="1" t="n">
        <v>0</v>
      </c>
      <c r="D71" s="1" t="n">
        <v>0</v>
      </c>
    </row>
    <row r="72">
      <c r="A72" t="inlineStr">
        <is>
          <t>cost / drug / cycle 58</t>
        </is>
      </c>
      <c r="B72" s="1" t="n">
        <v>11000</v>
      </c>
      <c r="C72" s="1" t="n">
        <v>0</v>
      </c>
      <c r="D72" s="1" t="n">
        <v>0</v>
      </c>
    </row>
    <row r="73">
      <c r="A73" t="inlineStr">
        <is>
          <t>cost / drug / cycle 59</t>
        </is>
      </c>
      <c r="B73" s="1" t="n">
        <v>11000</v>
      </c>
      <c r="C73" s="1" t="n">
        <v>0</v>
      </c>
      <c r="D73" s="1" t="n">
        <v>0</v>
      </c>
    </row>
    <row r="74">
      <c r="A74" t="inlineStr">
        <is>
          <t>cost / drug / cycle 60</t>
        </is>
      </c>
      <c r="B74" s="1" t="n">
        <v>11000</v>
      </c>
      <c r="C74" s="1" t="n">
        <v>0</v>
      </c>
      <c r="D74" s="1" t="n">
        <v>0</v>
      </c>
    </row>
    <row r="75">
      <c r="A75" t="inlineStr">
        <is>
          <t>cost / drug / cycle 61</t>
        </is>
      </c>
      <c r="B75" s="1" t="n">
        <v>11000</v>
      </c>
      <c r="C75" s="1" t="n">
        <v>0</v>
      </c>
      <c r="D75" s="1" t="n">
        <v>0</v>
      </c>
    </row>
    <row r="76">
      <c r="A76" t="inlineStr">
        <is>
          <t>cost / drug / cycle 62</t>
        </is>
      </c>
      <c r="B76" s="1" t="n">
        <v>11000</v>
      </c>
      <c r="C76" s="1" t="n">
        <v>0</v>
      </c>
      <c r="D76" s="1" t="n">
        <v>0</v>
      </c>
    </row>
    <row r="77">
      <c r="A77" t="inlineStr">
        <is>
          <t>cost / drug / cycle 63</t>
        </is>
      </c>
      <c r="B77" s="1" t="n">
        <v>11000</v>
      </c>
      <c r="C77" s="1" t="n">
        <v>0</v>
      </c>
      <c r="D77" s="1" t="n">
        <v>0</v>
      </c>
    </row>
    <row r="78">
      <c r="A78" t="inlineStr">
        <is>
          <t>cost / drug / cycle 64</t>
        </is>
      </c>
      <c r="B78" s="1" t="n">
        <v>11000</v>
      </c>
      <c r="C78" s="1" t="n">
        <v>0</v>
      </c>
      <c r="D78" s="1" t="n">
        <v>0</v>
      </c>
    </row>
    <row r="79">
      <c r="A79" t="inlineStr">
        <is>
          <t>cost / drug / cycle 65</t>
        </is>
      </c>
      <c r="B79" s="1" t="n">
        <v>11000</v>
      </c>
      <c r="C79" s="1" t="n">
        <v>0</v>
      </c>
      <c r="D79" s="1" t="n">
        <v>0</v>
      </c>
    </row>
    <row r="80">
      <c r="A80" t="inlineStr">
        <is>
          <t>cost / drug / cycle 66</t>
        </is>
      </c>
      <c r="B80" s="1" t="n">
        <v>11000</v>
      </c>
      <c r="C80" s="1" t="n">
        <v>0</v>
      </c>
      <c r="D80" s="1" t="n">
        <v>0</v>
      </c>
    </row>
    <row r="81">
      <c r="A81" t="inlineStr">
        <is>
          <t>cost / drug / cycle 67</t>
        </is>
      </c>
      <c r="B81" s="1" t="n">
        <v>11000</v>
      </c>
      <c r="C81" s="1" t="n">
        <v>0</v>
      </c>
      <c r="D81" s="1" t="n">
        <v>0</v>
      </c>
    </row>
    <row r="82">
      <c r="A82" t="inlineStr">
        <is>
          <t>cost / drug / cycle 68</t>
        </is>
      </c>
      <c r="B82" s="1" t="n">
        <v>11000</v>
      </c>
      <c r="C82" s="1" t="n">
        <v>0</v>
      </c>
      <c r="D82" s="1" t="n">
        <v>0</v>
      </c>
    </row>
    <row r="83">
      <c r="A83" t="inlineStr">
        <is>
          <t>cost / drug / cycle 69</t>
        </is>
      </c>
      <c r="B83" s="1" t="n">
        <v>11000</v>
      </c>
      <c r="C83" s="1" t="n">
        <v>0</v>
      </c>
      <c r="D83" s="1" t="n">
        <v>0</v>
      </c>
    </row>
    <row r="84">
      <c r="A84" t="inlineStr">
        <is>
          <t>cost / drug / cycle 70</t>
        </is>
      </c>
      <c r="B84" s="1" t="n">
        <v>11000</v>
      </c>
      <c r="C84" s="1" t="n">
        <v>0</v>
      </c>
      <c r="D84" s="1" t="n">
        <v>0</v>
      </c>
    </row>
    <row r="85">
      <c r="A85" t="inlineStr">
        <is>
          <t>cost / drug / cycle 71</t>
        </is>
      </c>
      <c r="B85" s="1" t="n">
        <v>11000</v>
      </c>
      <c r="C85" s="1" t="n">
        <v>0</v>
      </c>
      <c r="D85" s="1" t="n">
        <v>0</v>
      </c>
    </row>
    <row r="86">
      <c r="A86" t="inlineStr">
        <is>
          <t>cost / drug / cycle 72</t>
        </is>
      </c>
      <c r="B86" s="1" t="n">
        <v>11000</v>
      </c>
      <c r="C86" s="1" t="n">
        <v>0</v>
      </c>
      <c r="D86" s="1" t="n">
        <v>0</v>
      </c>
    </row>
    <row r="87">
      <c r="A87" t="inlineStr">
        <is>
          <t>cost / drug / cycle 73</t>
        </is>
      </c>
      <c r="B87" s="1" t="n">
        <v>11000</v>
      </c>
      <c r="C87" s="1" t="n">
        <v>0</v>
      </c>
      <c r="D87" s="1" t="n">
        <v>0</v>
      </c>
    </row>
    <row r="88">
      <c r="A88" t="inlineStr">
        <is>
          <t>cost / drug / cycle 74</t>
        </is>
      </c>
      <c r="B88" s="1" t="n">
        <v>11000</v>
      </c>
      <c r="C88" s="1" t="n">
        <v>0</v>
      </c>
      <c r="D88" s="1" t="n">
        <v>0</v>
      </c>
    </row>
    <row r="89">
      <c r="A89" t="inlineStr">
        <is>
          <t>cost / drug / cycle 75</t>
        </is>
      </c>
      <c r="B89" s="1" t="n">
        <v>11000</v>
      </c>
      <c r="C89" s="1" t="n">
        <v>0</v>
      </c>
      <c r="D89" s="1" t="n">
        <v>0</v>
      </c>
    </row>
    <row r="90">
      <c r="A90" t="inlineStr">
        <is>
          <t>cost / drug / cycle 76</t>
        </is>
      </c>
      <c r="B90" s="1" t="n">
        <v>11000</v>
      </c>
      <c r="C90" s="1" t="n">
        <v>0</v>
      </c>
      <c r="D90" s="1" t="n">
        <v>0</v>
      </c>
    </row>
    <row r="91">
      <c r="A91" t="inlineStr">
        <is>
          <t>cost / drug / cycle 77</t>
        </is>
      </c>
      <c r="B91" s="1" t="n">
        <v>11000</v>
      </c>
      <c r="C91" s="1" t="n">
        <v>0</v>
      </c>
      <c r="D91" s="1" t="n">
        <v>0</v>
      </c>
    </row>
    <row r="92">
      <c r="A92" t="inlineStr">
        <is>
          <t>cost / drug / cycle 78</t>
        </is>
      </c>
      <c r="B92" s="1" t="n">
        <v>11000</v>
      </c>
      <c r="C92" s="1" t="n">
        <v>0</v>
      </c>
      <c r="D92" s="1" t="n">
        <v>0</v>
      </c>
    </row>
    <row r="93">
      <c r="A93" t="inlineStr">
        <is>
          <t>cost / drug / cycle 79</t>
        </is>
      </c>
      <c r="B93" s="1" t="n">
        <v>11000</v>
      </c>
      <c r="C93" s="1" t="n">
        <v>0</v>
      </c>
      <c r="D93" s="1" t="n">
        <v>0</v>
      </c>
    </row>
    <row r="94">
      <c r="A94" t="inlineStr">
        <is>
          <t>cost / drug / cycle 80</t>
        </is>
      </c>
      <c r="B94" s="1" t="n">
        <v>11000</v>
      </c>
      <c r="C94" s="1" t="n">
        <v>0</v>
      </c>
      <c r="D94" s="1" t="n">
        <v>0</v>
      </c>
    </row>
    <row r="95">
      <c r="A95" t="inlineStr">
        <is>
          <t>cost / drug / cycle 81</t>
        </is>
      </c>
      <c r="B95" s="1" t="n">
        <v>11000</v>
      </c>
      <c r="C95" s="1" t="n">
        <v>0</v>
      </c>
      <c r="D95" s="1" t="n">
        <v>0</v>
      </c>
    </row>
    <row r="96">
      <c r="A96" t="inlineStr">
        <is>
          <t>cost / drug / cycle 82</t>
        </is>
      </c>
      <c r="B96" s="1" t="n">
        <v>11000</v>
      </c>
      <c r="C96" s="1" t="n">
        <v>0</v>
      </c>
      <c r="D96" s="1" t="n">
        <v>0</v>
      </c>
    </row>
    <row r="97">
      <c r="A97" t="inlineStr">
        <is>
          <t>cost / drug / cycle 83</t>
        </is>
      </c>
      <c r="B97" s="1" t="n">
        <v>11000</v>
      </c>
      <c r="C97" s="1" t="n">
        <v>0</v>
      </c>
      <c r="D97" s="1" t="n">
        <v>0</v>
      </c>
    </row>
    <row r="98">
      <c r="A98" t="inlineStr">
        <is>
          <t>cost / drug / cycle 84</t>
        </is>
      </c>
      <c r="B98" s="1" t="n">
        <v>11000</v>
      </c>
      <c r="C98" s="1" t="n">
        <v>0</v>
      </c>
      <c r="D98" s="1" t="n">
        <v>0</v>
      </c>
    </row>
    <row r="99">
      <c r="A99" t="inlineStr">
        <is>
          <t>cost / drug / cycle 85</t>
        </is>
      </c>
      <c r="B99" s="1" t="n">
        <v>11000</v>
      </c>
      <c r="C99" s="1" t="n">
        <v>0</v>
      </c>
      <c r="D99" s="1" t="n">
        <v>0</v>
      </c>
    </row>
    <row r="100">
      <c r="A100" t="inlineStr">
        <is>
          <t>cost / drug / cycle 86</t>
        </is>
      </c>
      <c r="B100" s="1" t="n">
        <v>11000</v>
      </c>
      <c r="C100" s="1" t="n">
        <v>0</v>
      </c>
      <c r="D100" s="1" t="n">
        <v>0</v>
      </c>
    </row>
    <row r="101">
      <c r="A101" t="inlineStr">
        <is>
          <t>cost / drug / cycle 87</t>
        </is>
      </c>
      <c r="B101" s="1" t="n">
        <v>11000</v>
      </c>
      <c r="C101" s="1" t="n">
        <v>0</v>
      </c>
      <c r="D101" s="1" t="n">
        <v>0</v>
      </c>
    </row>
    <row r="102">
      <c r="A102" t="inlineStr">
        <is>
          <t>cost / drug / cycle 88</t>
        </is>
      </c>
      <c r="B102" s="1" t="n">
        <v>11000</v>
      </c>
      <c r="C102" s="1" t="n">
        <v>0</v>
      </c>
      <c r="D102" s="1" t="n">
        <v>0</v>
      </c>
    </row>
    <row r="103">
      <c r="A103" t="inlineStr">
        <is>
          <t>cost / drug / cycle 89</t>
        </is>
      </c>
      <c r="B103" s="1" t="n">
        <v>11000</v>
      </c>
      <c r="C103" s="1" t="n">
        <v>0</v>
      </c>
      <c r="D103" s="1" t="n">
        <v>0</v>
      </c>
    </row>
    <row r="104">
      <c r="A104" t="inlineStr">
        <is>
          <t>cost / drug / cycle 90</t>
        </is>
      </c>
      <c r="B104" s="1" t="n">
        <v>11000</v>
      </c>
      <c r="C104" s="1" t="n">
        <v>0</v>
      </c>
      <c r="D104" s="1" t="n">
        <v>0</v>
      </c>
    </row>
    <row r="105">
      <c r="A105" t="inlineStr">
        <is>
          <t>cost / drug / cycle 91</t>
        </is>
      </c>
      <c r="B105" s="1" t="n">
        <v>11000</v>
      </c>
      <c r="C105" s="1" t="n">
        <v>0</v>
      </c>
      <c r="D105" s="1" t="n">
        <v>0</v>
      </c>
    </row>
    <row r="106">
      <c r="A106" t="inlineStr">
        <is>
          <t>cost / drug / cycle 92</t>
        </is>
      </c>
      <c r="B106" s="1" t="n">
        <v>11000</v>
      </c>
      <c r="C106" s="1" t="n">
        <v>0</v>
      </c>
      <c r="D106" s="1" t="n">
        <v>0</v>
      </c>
    </row>
    <row r="107">
      <c r="A107" t="inlineStr">
        <is>
          <t>cost / drug / cycle 93</t>
        </is>
      </c>
      <c r="B107" s="1" t="n">
        <v>11000</v>
      </c>
      <c r="C107" s="1" t="n">
        <v>0</v>
      </c>
      <c r="D107" s="1" t="n">
        <v>0</v>
      </c>
    </row>
    <row r="108">
      <c r="A108" t="inlineStr">
        <is>
          <t>cost / drug / cycle 94</t>
        </is>
      </c>
      <c r="B108" s="1" t="n">
        <v>11000</v>
      </c>
      <c r="C108" s="1" t="n">
        <v>0</v>
      </c>
      <c r="D108" s="1" t="n">
        <v>0</v>
      </c>
    </row>
    <row r="109">
      <c r="A109" t="inlineStr">
        <is>
          <t>cost / drug / cycle 95</t>
        </is>
      </c>
      <c r="B109" s="1" t="n">
        <v>11000</v>
      </c>
      <c r="C109" s="1" t="n">
        <v>0</v>
      </c>
      <c r="D109" s="1" t="n">
        <v>0</v>
      </c>
    </row>
    <row r="110">
      <c r="A110" t="inlineStr">
        <is>
          <t>cost / drug / cycle 96</t>
        </is>
      </c>
      <c r="B110" s="1" t="n">
        <v>11000</v>
      </c>
      <c r="C110" s="1" t="n">
        <v>0</v>
      </c>
      <c r="D110" s="1" t="n">
        <v>0</v>
      </c>
    </row>
    <row r="111">
      <c r="A111" t="inlineStr">
        <is>
          <t>cost / drug / cycle 97</t>
        </is>
      </c>
      <c r="B111" s="1" t="n">
        <v>11000</v>
      </c>
      <c r="C111" s="1" t="n">
        <v>0</v>
      </c>
      <c r="D111" s="1" t="n">
        <v>0</v>
      </c>
    </row>
    <row r="112">
      <c r="A112" t="inlineStr">
        <is>
          <t>cost / drug / cycle 98</t>
        </is>
      </c>
      <c r="B112" s="1" t="n">
        <v>11000</v>
      </c>
      <c r="C112" s="1" t="n">
        <v>0</v>
      </c>
      <c r="D112" s="1" t="n">
        <v>0</v>
      </c>
    </row>
    <row r="113">
      <c r="A113" t="inlineStr">
        <is>
          <t>cost / drug / cycle 99</t>
        </is>
      </c>
      <c r="B113" s="1" t="n">
        <v>11000</v>
      </c>
      <c r="C113" s="1" t="n">
        <v>0</v>
      </c>
      <c r="D113" s="1" t="n">
        <v>0</v>
      </c>
    </row>
    <row r="114">
      <c r="A114" t="inlineStr">
        <is>
          <t>cost / drug / cycle 100</t>
        </is>
      </c>
      <c r="B114" s="1" t="n">
        <v>11000</v>
      </c>
      <c r="C114" s="1" t="n">
        <v>0</v>
      </c>
      <c r="D114" s="1" t="n">
        <v>0</v>
      </c>
    </row>
    <row r="115">
      <c r="A115" t="inlineStr">
        <is>
          <t>cost / drug / cycle 101</t>
        </is>
      </c>
      <c r="B115" s="1" t="n">
        <v>11000</v>
      </c>
      <c r="C115" s="1" t="n">
        <v>0</v>
      </c>
      <c r="D115" s="1" t="n">
        <v>0</v>
      </c>
    </row>
    <row r="116">
      <c r="A116" t="inlineStr">
        <is>
          <t>cost / drug / cycle 102</t>
        </is>
      </c>
      <c r="B116" s="1" t="n">
        <v>11000</v>
      </c>
      <c r="C116" s="1" t="n">
        <v>0</v>
      </c>
      <c r="D116" s="1" t="n">
        <v>0</v>
      </c>
    </row>
    <row r="117">
      <c r="A117" t="inlineStr">
        <is>
          <t>cost / drug / cycle 103</t>
        </is>
      </c>
      <c r="B117" s="1" t="n">
        <v>11000</v>
      </c>
      <c r="C117" s="1" t="n">
        <v>0</v>
      </c>
      <c r="D117" s="1" t="n">
        <v>0</v>
      </c>
    </row>
    <row r="118">
      <c r="A118" t="inlineStr">
        <is>
          <t>cost / drug / cycle 104</t>
        </is>
      </c>
      <c r="B118" s="1" t="n">
        <v>11000</v>
      </c>
      <c r="C118" s="1" t="n">
        <v>0</v>
      </c>
      <c r="D118" s="1" t="n">
        <v>0</v>
      </c>
    </row>
    <row r="119">
      <c r="A119" t="inlineStr">
        <is>
          <t>cost / drug / cycle 105</t>
        </is>
      </c>
      <c r="B119" s="1" t="n">
        <v>11000</v>
      </c>
      <c r="C119" s="1" t="n">
        <v>0</v>
      </c>
      <c r="D119" s="1" t="n">
        <v>0</v>
      </c>
    </row>
    <row r="120">
      <c r="A120" t="inlineStr">
        <is>
          <t>cost / drug / cycle 106</t>
        </is>
      </c>
      <c r="B120" s="1" t="n">
        <v>11000</v>
      </c>
      <c r="C120" s="1" t="n">
        <v>0</v>
      </c>
      <c r="D120" s="1" t="n">
        <v>0</v>
      </c>
    </row>
    <row r="121">
      <c r="A121" t="inlineStr">
        <is>
          <t>cost / drug / cycle 107</t>
        </is>
      </c>
      <c r="B121" s="1" t="n">
        <v>11000</v>
      </c>
      <c r="C121" s="1" t="n">
        <v>0</v>
      </c>
      <c r="D121" s="1" t="n">
        <v>0</v>
      </c>
    </row>
    <row r="122">
      <c r="A122" t="inlineStr">
        <is>
          <t>cost / drug / cycle 108</t>
        </is>
      </c>
      <c r="B122" s="1" t="n">
        <v>11000</v>
      </c>
      <c r="C122" s="1" t="n">
        <v>0</v>
      </c>
      <c r="D122" s="1" t="n">
        <v>0</v>
      </c>
    </row>
    <row r="123">
      <c r="A123" t="inlineStr">
        <is>
          <t>cost / drug / cycle 109</t>
        </is>
      </c>
      <c r="B123" s="1" t="n">
        <v>11000</v>
      </c>
      <c r="C123" s="1" t="n">
        <v>0</v>
      </c>
      <c r="D123" s="1" t="n">
        <v>0</v>
      </c>
    </row>
    <row r="124">
      <c r="A124" t="inlineStr">
        <is>
          <t>cost / drug / cycle 110</t>
        </is>
      </c>
      <c r="B124" s="1" t="n">
        <v>11000</v>
      </c>
      <c r="C124" s="1" t="n">
        <v>0</v>
      </c>
      <c r="D124" s="1" t="n">
        <v>0</v>
      </c>
    </row>
    <row r="125">
      <c r="A125" t="inlineStr">
        <is>
          <t>cost / drug / cycle 111</t>
        </is>
      </c>
      <c r="B125" s="1" t="n">
        <v>11000</v>
      </c>
      <c r="C125" s="1" t="n">
        <v>0</v>
      </c>
      <c r="D125" s="1" t="n">
        <v>0</v>
      </c>
    </row>
    <row r="126">
      <c r="A126" t="inlineStr">
        <is>
          <t>cost / drug / cycle 112</t>
        </is>
      </c>
      <c r="B126" s="1" t="n">
        <v>11000</v>
      </c>
      <c r="C126" s="1" t="n">
        <v>0</v>
      </c>
      <c r="D126" s="1" t="n">
        <v>0</v>
      </c>
    </row>
    <row r="127">
      <c r="A127" t="inlineStr">
        <is>
          <t>cost / drug / cycle 113</t>
        </is>
      </c>
      <c r="B127" s="1" t="n">
        <v>11000</v>
      </c>
      <c r="C127" s="1" t="n">
        <v>0</v>
      </c>
      <c r="D127" s="1" t="n">
        <v>0</v>
      </c>
    </row>
    <row r="128">
      <c r="A128" t="inlineStr">
        <is>
          <t>cost / drug / cycle 114</t>
        </is>
      </c>
      <c r="B128" s="1" t="n">
        <v>11000</v>
      </c>
      <c r="C128" s="1" t="n">
        <v>0</v>
      </c>
      <c r="D128" s="1" t="n">
        <v>0</v>
      </c>
    </row>
    <row r="129">
      <c r="A129" t="inlineStr">
        <is>
          <t>cost / drug / cycle 115</t>
        </is>
      </c>
      <c r="B129" s="1" t="n">
        <v>11000</v>
      </c>
      <c r="C129" s="1" t="n">
        <v>0</v>
      </c>
      <c r="D129" s="1" t="n">
        <v>0</v>
      </c>
    </row>
    <row r="130">
      <c r="A130" t="inlineStr">
        <is>
          <t>cost / drug / cycle 116</t>
        </is>
      </c>
      <c r="B130" s="1" t="n">
        <v>11000</v>
      </c>
      <c r="C130" s="1" t="n">
        <v>0</v>
      </c>
      <c r="D130" s="1" t="n">
        <v>0</v>
      </c>
    </row>
    <row r="131">
      <c r="A131" t="inlineStr">
        <is>
          <t>cost / drug / cycle 117</t>
        </is>
      </c>
      <c r="B131" s="1" t="n">
        <v>11000</v>
      </c>
      <c r="C131" s="1" t="n">
        <v>0</v>
      </c>
      <c r="D131" s="1" t="n">
        <v>0</v>
      </c>
    </row>
    <row r="132">
      <c r="A132" t="inlineStr">
        <is>
          <t>cost / drug / cycle 118</t>
        </is>
      </c>
      <c r="B132" s="1" t="n">
        <v>11000</v>
      </c>
      <c r="C132" s="1" t="n">
        <v>0</v>
      </c>
      <c r="D132" s="1" t="n">
        <v>0</v>
      </c>
    </row>
    <row r="133">
      <c r="A133" t="inlineStr">
        <is>
          <t>cost / drug / cycle 119</t>
        </is>
      </c>
      <c r="B133" s="1" t="n">
        <v>11000</v>
      </c>
      <c r="C133" s="1" t="n">
        <v>0</v>
      </c>
      <c r="D133" s="1" t="n">
        <v>0</v>
      </c>
    </row>
    <row r="134">
      <c r="A134" t="inlineStr">
        <is>
          <t>cost / drug / cycle 120</t>
        </is>
      </c>
      <c r="B134" s="1" t="n">
        <v>11000</v>
      </c>
      <c r="C134" s="1" t="n">
        <v>0</v>
      </c>
      <c r="D134" s="1" t="n">
        <v>0</v>
      </c>
    </row>
    <row r="135">
      <c r="A135" t="inlineStr">
        <is>
          <t>cost / drug / cycle 121</t>
        </is>
      </c>
      <c r="B135" s="1" t="n">
        <v>11000</v>
      </c>
      <c r="C135" s="1" t="n">
        <v>0</v>
      </c>
      <c r="D135" s="1" t="n">
        <v>0</v>
      </c>
    </row>
    <row r="136">
      <c r="A136" t="inlineStr">
        <is>
          <t>cost / drug / cycle 122</t>
        </is>
      </c>
      <c r="B136" s="1" t="n">
        <v>11000</v>
      </c>
      <c r="C136" s="1" t="n">
        <v>0</v>
      </c>
      <c r="D136" s="1" t="n">
        <v>0</v>
      </c>
    </row>
    <row r="137">
      <c r="A137" t="inlineStr">
        <is>
          <t>cost / drug / cycle 123</t>
        </is>
      </c>
      <c r="B137" s="1" t="n">
        <v>11000</v>
      </c>
      <c r="C137" s="1" t="n">
        <v>0</v>
      </c>
      <c r="D137" s="1" t="n">
        <v>0</v>
      </c>
    </row>
    <row r="138">
      <c r="A138" t="inlineStr">
        <is>
          <t>cost / drug / cycle 124</t>
        </is>
      </c>
      <c r="B138" s="1" t="n">
        <v>11000</v>
      </c>
      <c r="C138" s="1" t="n">
        <v>0</v>
      </c>
      <c r="D138" s="1" t="n">
        <v>0</v>
      </c>
    </row>
    <row r="139">
      <c r="A139" t="inlineStr">
        <is>
          <t>cost / drug / cycle 125</t>
        </is>
      </c>
      <c r="B139" s="1" t="n">
        <v>11000</v>
      </c>
      <c r="C139" s="1" t="n">
        <v>0</v>
      </c>
      <c r="D139" s="1" t="n">
        <v>0</v>
      </c>
    </row>
    <row r="140">
      <c r="A140" t="inlineStr">
        <is>
          <t>cost / drug / cycle 126</t>
        </is>
      </c>
      <c r="B140" s="1" t="n">
        <v>11000</v>
      </c>
      <c r="C140" s="1" t="n">
        <v>0</v>
      </c>
      <c r="D140" s="1" t="n">
        <v>0</v>
      </c>
    </row>
    <row r="141">
      <c r="A141" t="inlineStr">
        <is>
          <t>cost / drug / cycle 127</t>
        </is>
      </c>
      <c r="B141" s="1" t="n">
        <v>11000</v>
      </c>
      <c r="C141" s="1" t="n">
        <v>0</v>
      </c>
      <c r="D141" s="1" t="n">
        <v>0</v>
      </c>
    </row>
    <row r="142">
      <c r="A142" t="inlineStr">
        <is>
          <t>cost / drug / cycle 128</t>
        </is>
      </c>
      <c r="B142" s="1" t="n">
        <v>11000</v>
      </c>
      <c r="C142" s="1" t="n">
        <v>0</v>
      </c>
      <c r="D142" s="1" t="n">
        <v>0</v>
      </c>
    </row>
    <row r="143">
      <c r="A143" t="inlineStr">
        <is>
          <t>cost / drug / cycle 129</t>
        </is>
      </c>
      <c r="B143" s="1" t="n">
        <v>11000</v>
      </c>
      <c r="C143" s="1" t="n">
        <v>0</v>
      </c>
      <c r="D143" s="1" t="n">
        <v>0</v>
      </c>
    </row>
    <row r="144">
      <c r="A144" t="inlineStr">
        <is>
          <t>cost / drug / cycle 130</t>
        </is>
      </c>
      <c r="B144" s="1" t="n">
        <v>11000</v>
      </c>
      <c r="C144" s="1" t="n">
        <v>0</v>
      </c>
      <c r="D144" s="1" t="n">
        <v>0</v>
      </c>
    </row>
    <row r="145">
      <c r="A145" t="inlineStr">
        <is>
          <t>cost / drug / cycle 131</t>
        </is>
      </c>
      <c r="B145" s="1" t="n">
        <v>11000</v>
      </c>
      <c r="C145" s="1" t="n">
        <v>0</v>
      </c>
      <c r="D145" s="1" t="n">
        <v>0</v>
      </c>
    </row>
    <row r="146">
      <c r="A146" t="inlineStr">
        <is>
          <t>cost / drug / cycle 132</t>
        </is>
      </c>
      <c r="B146" s="1" t="n">
        <v>11000</v>
      </c>
      <c r="C146" s="1" t="n">
        <v>0</v>
      </c>
      <c r="D146" s="1" t="n">
        <v>0</v>
      </c>
    </row>
    <row r="147">
      <c r="A147" t="inlineStr">
        <is>
          <t>cost / drug / cycle 133</t>
        </is>
      </c>
      <c r="B147" s="1" t="n">
        <v>11000</v>
      </c>
      <c r="C147" s="1" t="n">
        <v>0</v>
      </c>
      <c r="D147" s="1" t="n">
        <v>0</v>
      </c>
    </row>
    <row r="148">
      <c r="A148" t="inlineStr">
        <is>
          <t>cost / drug / cycle 134</t>
        </is>
      </c>
      <c r="B148" s="1" t="n">
        <v>11000</v>
      </c>
      <c r="C148" s="1" t="n">
        <v>0</v>
      </c>
      <c r="D148" s="1" t="n">
        <v>0</v>
      </c>
    </row>
    <row r="149">
      <c r="A149" t="inlineStr">
        <is>
          <t>cost / drug / cycle 135</t>
        </is>
      </c>
      <c r="B149" s="1" t="n">
        <v>11000</v>
      </c>
      <c r="C149" s="1" t="n">
        <v>0</v>
      </c>
      <c r="D149" s="1" t="n">
        <v>0</v>
      </c>
    </row>
    <row r="150">
      <c r="A150" t="inlineStr">
        <is>
          <t>cost / drug / cycle 136</t>
        </is>
      </c>
      <c r="B150" s="1" t="n">
        <v>11000</v>
      </c>
      <c r="C150" s="1" t="n">
        <v>0</v>
      </c>
      <c r="D150" s="1" t="n">
        <v>0</v>
      </c>
    </row>
    <row r="151">
      <c r="A151" t="inlineStr">
        <is>
          <t>cost / drug / cycle 137</t>
        </is>
      </c>
      <c r="B151" s="1" t="n">
        <v>11000</v>
      </c>
      <c r="C151" s="1" t="n">
        <v>0</v>
      </c>
      <c r="D151" s="1" t="n">
        <v>0</v>
      </c>
    </row>
    <row r="152">
      <c r="A152" t="inlineStr">
        <is>
          <t>cost / drug / cycle 138</t>
        </is>
      </c>
      <c r="B152" s="1" t="n">
        <v>11000</v>
      </c>
      <c r="C152" s="1" t="n">
        <v>0</v>
      </c>
      <c r="D152" s="1" t="n">
        <v>0</v>
      </c>
    </row>
    <row r="153">
      <c r="A153" t="inlineStr">
        <is>
          <t>cost / drug / cycle 139</t>
        </is>
      </c>
      <c r="B153" s="1" t="n">
        <v>11000</v>
      </c>
      <c r="C153" s="1" t="n">
        <v>0</v>
      </c>
      <c r="D153" s="1" t="n">
        <v>0</v>
      </c>
    </row>
    <row r="154">
      <c r="A154" t="inlineStr">
        <is>
          <t>cost / drug / cycle 140</t>
        </is>
      </c>
      <c r="B154" s="1" t="n">
        <v>11000</v>
      </c>
      <c r="C154" s="1" t="n">
        <v>0</v>
      </c>
      <c r="D154" s="1" t="n">
        <v>0</v>
      </c>
    </row>
    <row r="155">
      <c r="A155" t="inlineStr">
        <is>
          <t>cost / drug / cycle 141</t>
        </is>
      </c>
      <c r="B155" s="1" t="n">
        <v>11000</v>
      </c>
      <c r="C155" s="1" t="n">
        <v>0</v>
      </c>
      <c r="D155" s="1" t="n">
        <v>0</v>
      </c>
    </row>
    <row r="156">
      <c r="A156" t="inlineStr">
        <is>
          <t>cost / drug / cycle 142</t>
        </is>
      </c>
      <c r="B156" s="1" t="n">
        <v>11000</v>
      </c>
      <c r="C156" s="1" t="n">
        <v>0</v>
      </c>
      <c r="D156" s="1" t="n">
        <v>0</v>
      </c>
    </row>
    <row r="157">
      <c r="A157" t="inlineStr">
        <is>
          <t>cost / drug / cycle 143</t>
        </is>
      </c>
      <c r="B157" s="1" t="n">
        <v>11000</v>
      </c>
      <c r="C157" s="1" t="n">
        <v>0</v>
      </c>
      <c r="D157" s="1" t="n">
        <v>0</v>
      </c>
    </row>
    <row r="158">
      <c r="A158" t="inlineStr">
        <is>
          <t>cost / drug / cycle 144</t>
        </is>
      </c>
      <c r="B158" s="1" t="n">
        <v>11000</v>
      </c>
      <c r="C158" s="1" t="n">
        <v>0</v>
      </c>
      <c r="D158" s="1" t="n">
        <v>0</v>
      </c>
    </row>
    <row r="159">
      <c r="A159" t="inlineStr">
        <is>
          <t>cost / drug / cycle 145</t>
        </is>
      </c>
      <c r="B159" s="1" t="n">
        <v>11000</v>
      </c>
      <c r="C159" s="1" t="n">
        <v>0</v>
      </c>
      <c r="D159" s="1" t="n">
        <v>0</v>
      </c>
    </row>
    <row r="160">
      <c r="A160" t="inlineStr">
        <is>
          <t>cost / drug / cycle 146</t>
        </is>
      </c>
      <c r="B160" s="1" t="n">
        <v>11000</v>
      </c>
      <c r="C160" s="1" t="n">
        <v>0</v>
      </c>
      <c r="D160" s="1" t="n">
        <v>0</v>
      </c>
    </row>
    <row r="161">
      <c r="A161" t="inlineStr">
        <is>
          <t>cost / drug / cycle 147</t>
        </is>
      </c>
      <c r="B161" s="1" t="n">
        <v>11000</v>
      </c>
      <c r="C161" s="1" t="n">
        <v>0</v>
      </c>
      <c r="D161" s="1" t="n">
        <v>0</v>
      </c>
    </row>
    <row r="162">
      <c r="A162" t="inlineStr">
        <is>
          <t>cost / drug / cycle 148</t>
        </is>
      </c>
      <c r="B162" s="1" t="n">
        <v>11000</v>
      </c>
      <c r="C162" s="1" t="n">
        <v>0</v>
      </c>
      <c r="D162" s="1" t="n">
        <v>0</v>
      </c>
    </row>
    <row r="163">
      <c r="A163" t="inlineStr">
        <is>
          <t>cost / drug / cycle 149</t>
        </is>
      </c>
      <c r="B163" s="1" t="n">
        <v>11000</v>
      </c>
      <c r="C163" s="1" t="n">
        <v>0</v>
      </c>
      <c r="D163" s="1" t="n">
        <v>0</v>
      </c>
    </row>
    <row r="164">
      <c r="A164" t="inlineStr">
        <is>
          <t>cost / drug / cycle 150</t>
        </is>
      </c>
      <c r="B164" s="1" t="n">
        <v>11000</v>
      </c>
      <c r="C164" s="1" t="n">
        <v>0</v>
      </c>
      <c r="D164" s="1" t="n">
        <v>0</v>
      </c>
    </row>
    <row r="165">
      <c r="A165" t="inlineStr">
        <is>
          <t>cost / drug / cycle 151</t>
        </is>
      </c>
      <c r="B165" s="1" t="n">
        <v>11000</v>
      </c>
      <c r="C165" s="1" t="n">
        <v>0</v>
      </c>
      <c r="D165" s="1" t="n">
        <v>0</v>
      </c>
    </row>
    <row r="166">
      <c r="A166" t="inlineStr">
        <is>
          <t>cost / drug / cycle 152</t>
        </is>
      </c>
      <c r="B166" s="1" t="n">
        <v>11000</v>
      </c>
      <c r="C166" s="1" t="n">
        <v>0</v>
      </c>
      <c r="D166" s="1" t="n">
        <v>0</v>
      </c>
    </row>
    <row r="167">
      <c r="A167" t="inlineStr">
        <is>
          <t>cost / drug / cycle 153</t>
        </is>
      </c>
      <c r="B167" s="1" t="n">
        <v>11000</v>
      </c>
      <c r="C167" s="1" t="n">
        <v>0</v>
      </c>
      <c r="D167" s="1" t="n">
        <v>0</v>
      </c>
    </row>
    <row r="168">
      <c r="A168" t="inlineStr">
        <is>
          <t>cost / drug / cycle 154</t>
        </is>
      </c>
      <c r="B168" s="1" t="n">
        <v>11000</v>
      </c>
      <c r="C168" s="1" t="n">
        <v>0</v>
      </c>
      <c r="D168" s="1" t="n">
        <v>0</v>
      </c>
    </row>
    <row r="169">
      <c r="A169" t="inlineStr">
        <is>
          <t>cost / drug / cycle 155</t>
        </is>
      </c>
      <c r="B169" s="1" t="n">
        <v>11000</v>
      </c>
      <c r="C169" s="1" t="n">
        <v>0</v>
      </c>
      <c r="D169" s="1" t="n">
        <v>0</v>
      </c>
    </row>
    <row r="170">
      <c r="A170" t="inlineStr">
        <is>
          <t>cost / drug / cycle 156</t>
        </is>
      </c>
      <c r="B170" s="1" t="n">
        <v>11000</v>
      </c>
      <c r="C170" s="1" t="n">
        <v>0</v>
      </c>
      <c r="D170" s="1" t="n">
        <v>0</v>
      </c>
    </row>
    <row r="171">
      <c r="A171" t="inlineStr">
        <is>
          <t>cost / drug / cycle 157</t>
        </is>
      </c>
      <c r="B171" s="1" t="n">
        <v>11000</v>
      </c>
      <c r="C171" s="1" t="n">
        <v>0</v>
      </c>
      <c r="D171" s="1" t="n">
        <v>0</v>
      </c>
    </row>
    <row r="172">
      <c r="A172" t="inlineStr">
        <is>
          <t>cost / drug / cycle 158</t>
        </is>
      </c>
      <c r="B172" s="1" t="n">
        <v>11000</v>
      </c>
      <c r="C172" s="1" t="n">
        <v>0</v>
      </c>
      <c r="D172" s="1" t="n">
        <v>0</v>
      </c>
    </row>
    <row r="173">
      <c r="A173" t="inlineStr">
        <is>
          <t>cost / drug / cycle 159</t>
        </is>
      </c>
      <c r="B173" s="1" t="n">
        <v>11000</v>
      </c>
      <c r="C173" s="1" t="n">
        <v>0</v>
      </c>
      <c r="D173" s="1" t="n">
        <v>0</v>
      </c>
    </row>
    <row r="174">
      <c r="A174" t="inlineStr">
        <is>
          <t>cost / drug / cycle 160</t>
        </is>
      </c>
      <c r="B174" s="1" t="n">
        <v>11000</v>
      </c>
      <c r="C174" s="1" t="n">
        <v>0</v>
      </c>
      <c r="D174" s="1" t="n">
        <v>0</v>
      </c>
    </row>
    <row r="175">
      <c r="A175" t="inlineStr">
        <is>
          <t>cost / drug / cycle 161</t>
        </is>
      </c>
      <c r="B175" s="1" t="n">
        <v>11000</v>
      </c>
      <c r="C175" s="1" t="n">
        <v>0</v>
      </c>
      <c r="D175" s="1" t="n">
        <v>0</v>
      </c>
    </row>
    <row r="176">
      <c r="A176" t="inlineStr">
        <is>
          <t>cost / drug / cycle 162</t>
        </is>
      </c>
      <c r="B176" s="1" t="n">
        <v>11000</v>
      </c>
      <c r="C176" s="1" t="n">
        <v>0</v>
      </c>
      <c r="D176" s="1" t="n">
        <v>0</v>
      </c>
    </row>
    <row r="177">
      <c r="A177" t="inlineStr">
        <is>
          <t>cost / drug / cycle 163</t>
        </is>
      </c>
      <c r="B177" s="1" t="n">
        <v>11000</v>
      </c>
      <c r="C177" s="1" t="n">
        <v>0</v>
      </c>
      <c r="D177" s="1" t="n">
        <v>0</v>
      </c>
    </row>
    <row r="178">
      <c r="A178" t="inlineStr">
        <is>
          <t>cost / drug / cycle 164</t>
        </is>
      </c>
      <c r="B178" s="1" t="n">
        <v>11000</v>
      </c>
      <c r="C178" s="1" t="n">
        <v>0</v>
      </c>
      <c r="D178" s="1" t="n">
        <v>0</v>
      </c>
    </row>
    <row r="179">
      <c r="A179" t="inlineStr">
        <is>
          <t>cost / drug / cycle 165</t>
        </is>
      </c>
      <c r="B179" s="1" t="n">
        <v>11000</v>
      </c>
      <c r="C179" s="1" t="n">
        <v>0</v>
      </c>
      <c r="D179" s="1" t="n">
        <v>0</v>
      </c>
    </row>
    <row r="180">
      <c r="A180" t="inlineStr">
        <is>
          <t>cost / drug / cycle 166</t>
        </is>
      </c>
      <c r="B180" s="1" t="n">
        <v>11000</v>
      </c>
      <c r="C180" s="1" t="n">
        <v>0</v>
      </c>
      <c r="D180" s="1" t="n">
        <v>0</v>
      </c>
    </row>
    <row r="181">
      <c r="A181" t="inlineStr">
        <is>
          <t>cost / drug / cycle 167</t>
        </is>
      </c>
      <c r="B181" s="1" t="n">
        <v>11000</v>
      </c>
      <c r="C181" s="1" t="n">
        <v>0</v>
      </c>
      <c r="D181" s="1" t="n">
        <v>0</v>
      </c>
    </row>
    <row r="182">
      <c r="A182" t="inlineStr">
        <is>
          <t>cost / drug / cycle 168</t>
        </is>
      </c>
      <c r="B182" s="1" t="n">
        <v>11000</v>
      </c>
      <c r="C182" s="1" t="n">
        <v>0</v>
      </c>
      <c r="D182" s="1" t="n">
        <v>0</v>
      </c>
    </row>
    <row r="183">
      <c r="A183" t="inlineStr">
        <is>
          <t>cost / drug / cycle 169</t>
        </is>
      </c>
      <c r="B183" s="1" t="n">
        <v>11000</v>
      </c>
      <c r="C183" s="1" t="n">
        <v>0</v>
      </c>
      <c r="D183" s="1" t="n">
        <v>0</v>
      </c>
    </row>
    <row r="184">
      <c r="A184" t="inlineStr">
        <is>
          <t>cost / drug / cycle 170</t>
        </is>
      </c>
      <c r="B184" s="1" t="n">
        <v>11000</v>
      </c>
      <c r="C184" s="1" t="n">
        <v>0</v>
      </c>
      <c r="D184" s="1" t="n">
        <v>0</v>
      </c>
    </row>
    <row r="185">
      <c r="A185" t="inlineStr">
        <is>
          <t>cost / drug / cycle 171</t>
        </is>
      </c>
      <c r="B185" s="1" t="n">
        <v>11000</v>
      </c>
      <c r="C185" s="1" t="n">
        <v>0</v>
      </c>
      <c r="D185" s="1" t="n">
        <v>0</v>
      </c>
    </row>
    <row r="186">
      <c r="A186" t="inlineStr">
        <is>
          <t>cost / drug / cycle 172</t>
        </is>
      </c>
      <c r="B186" s="1" t="n">
        <v>11000</v>
      </c>
      <c r="C186" s="1" t="n">
        <v>0</v>
      </c>
      <c r="D186" s="1" t="n">
        <v>0</v>
      </c>
    </row>
    <row r="187">
      <c r="A187" t="inlineStr">
        <is>
          <t>cost / drug / cycle 173</t>
        </is>
      </c>
      <c r="B187" s="1" t="n">
        <v>11000</v>
      </c>
      <c r="C187" s="1" t="n">
        <v>0</v>
      </c>
      <c r="D187" s="1" t="n">
        <v>0</v>
      </c>
    </row>
    <row r="188">
      <c r="A188" t="inlineStr">
        <is>
          <t>cost / drug / cycle 174</t>
        </is>
      </c>
      <c r="B188" s="1" t="n">
        <v>11000</v>
      </c>
      <c r="C188" s="1" t="n">
        <v>0</v>
      </c>
      <c r="D188" s="1" t="n">
        <v>0</v>
      </c>
    </row>
    <row r="189">
      <c r="A189" t="inlineStr">
        <is>
          <t>cost / drug / cycle 175</t>
        </is>
      </c>
      <c r="B189" s="1" t="n">
        <v>11000</v>
      </c>
      <c r="C189" s="1" t="n">
        <v>0</v>
      </c>
      <c r="D189" s="1" t="n">
        <v>0</v>
      </c>
    </row>
    <row r="190">
      <c r="A190" t="inlineStr">
        <is>
          <t>cost / drug / cycle 176</t>
        </is>
      </c>
      <c r="B190" s="1" t="n">
        <v>11000</v>
      </c>
      <c r="C190" s="1" t="n">
        <v>0</v>
      </c>
      <c r="D190" s="1" t="n">
        <v>0</v>
      </c>
    </row>
    <row r="191">
      <c r="A191" t="inlineStr">
        <is>
          <t>cost / drug / cycle 177</t>
        </is>
      </c>
      <c r="B191" s="1" t="n">
        <v>11000</v>
      </c>
      <c r="C191" s="1" t="n">
        <v>0</v>
      </c>
      <c r="D191" s="1" t="n">
        <v>0</v>
      </c>
    </row>
    <row r="192">
      <c r="A192" t="inlineStr">
        <is>
          <t>cost / drug / cycle 178</t>
        </is>
      </c>
      <c r="B192" s="1" t="n">
        <v>11000</v>
      </c>
      <c r="C192" s="1" t="n">
        <v>0</v>
      </c>
      <c r="D192" s="1" t="n">
        <v>0</v>
      </c>
    </row>
    <row r="193">
      <c r="A193" t="inlineStr">
        <is>
          <t>cost / drug / cycle 179</t>
        </is>
      </c>
      <c r="B193" s="1" t="n">
        <v>11000</v>
      </c>
      <c r="C193" s="1" t="n">
        <v>0</v>
      </c>
      <c r="D193" s="1" t="n">
        <v>0</v>
      </c>
    </row>
    <row r="194">
      <c r="A194" t="inlineStr">
        <is>
          <t>cost / drug / cycle 180</t>
        </is>
      </c>
      <c r="B194" s="1" t="n">
        <v>11000</v>
      </c>
      <c r="C194" s="1" t="n">
        <v>0</v>
      </c>
      <c r="D194" s="1" t="n">
        <v>0</v>
      </c>
    </row>
    <row r="195">
      <c r="A195" t="inlineStr">
        <is>
          <t>cost / drug / cycle 181</t>
        </is>
      </c>
      <c r="B195" s="1" t="n">
        <v>11000</v>
      </c>
      <c r="C195" s="1" t="n">
        <v>0</v>
      </c>
      <c r="D195" s="1" t="n">
        <v>0</v>
      </c>
    </row>
    <row r="196">
      <c r="A196" t="inlineStr">
        <is>
          <t>cost / drug / cycle 182</t>
        </is>
      </c>
      <c r="B196" s="1" t="n">
        <v>11000</v>
      </c>
      <c r="C196" s="1" t="n">
        <v>0</v>
      </c>
      <c r="D196" s="1" t="n">
        <v>0</v>
      </c>
    </row>
    <row r="197">
      <c r="A197" t="inlineStr">
        <is>
          <t>cost / drug / cycle 183</t>
        </is>
      </c>
      <c r="B197" s="1" t="n">
        <v>11000</v>
      </c>
      <c r="C197" s="1" t="n">
        <v>0</v>
      </c>
      <c r="D197" s="1" t="n">
        <v>0</v>
      </c>
    </row>
    <row r="198">
      <c r="A198" t="inlineStr">
        <is>
          <t>cost / drug / cycle 184</t>
        </is>
      </c>
      <c r="B198" s="1" t="n">
        <v>11000</v>
      </c>
      <c r="C198" s="1" t="n">
        <v>0</v>
      </c>
      <c r="D198" s="1" t="n">
        <v>0</v>
      </c>
    </row>
    <row r="199">
      <c r="A199" t="inlineStr">
        <is>
          <t>cost / drug / cycle 185</t>
        </is>
      </c>
      <c r="B199" s="1" t="n">
        <v>11000</v>
      </c>
      <c r="C199" s="1" t="n">
        <v>0</v>
      </c>
      <c r="D199" s="1" t="n">
        <v>0</v>
      </c>
    </row>
    <row r="200">
      <c r="A200" t="inlineStr">
        <is>
          <t>cost / drug / cycle 186</t>
        </is>
      </c>
      <c r="B200" s="1" t="n">
        <v>11000</v>
      </c>
      <c r="C200" s="1" t="n">
        <v>0</v>
      </c>
      <c r="D200" s="1" t="n">
        <v>0</v>
      </c>
    </row>
    <row r="201">
      <c r="A201" t="inlineStr">
        <is>
          <t>cost / drug / cycle 187</t>
        </is>
      </c>
      <c r="B201" s="1" t="n">
        <v>11000</v>
      </c>
      <c r="C201" s="1" t="n">
        <v>0</v>
      </c>
      <c r="D201" s="1" t="n">
        <v>0</v>
      </c>
    </row>
    <row r="202">
      <c r="A202" t="inlineStr">
        <is>
          <t>cost / drug / cycle 188</t>
        </is>
      </c>
      <c r="B202" s="1" t="n">
        <v>11000</v>
      </c>
      <c r="C202" s="1" t="n">
        <v>0</v>
      </c>
      <c r="D202" s="1" t="n">
        <v>0</v>
      </c>
    </row>
    <row r="203">
      <c r="A203" t="inlineStr">
        <is>
          <t>cost / drug / cycle 189</t>
        </is>
      </c>
      <c r="B203" s="1" t="n">
        <v>11000</v>
      </c>
      <c r="C203" s="1" t="n">
        <v>0</v>
      </c>
      <c r="D203" s="1" t="n">
        <v>0</v>
      </c>
    </row>
    <row r="204">
      <c r="A204" t="inlineStr">
        <is>
          <t>cost / drug / cycle 190</t>
        </is>
      </c>
      <c r="B204" s="1" t="n">
        <v>11000</v>
      </c>
      <c r="C204" s="1" t="n">
        <v>0</v>
      </c>
      <c r="D204" s="1" t="n">
        <v>0</v>
      </c>
    </row>
    <row r="205">
      <c r="A205" t="inlineStr">
        <is>
          <t>cost / drug / cycle 191</t>
        </is>
      </c>
      <c r="B205" s="1" t="n">
        <v>11000</v>
      </c>
      <c r="C205" s="1" t="n">
        <v>0</v>
      </c>
      <c r="D205" s="1" t="n">
        <v>0</v>
      </c>
    </row>
    <row r="206">
      <c r="A206" t="inlineStr">
        <is>
          <t>cost / drug / cycle 192</t>
        </is>
      </c>
      <c r="B206" s="1" t="n">
        <v>11000</v>
      </c>
      <c r="C206" s="1" t="n">
        <v>0</v>
      </c>
      <c r="D206" s="1" t="n">
        <v>0</v>
      </c>
    </row>
    <row r="207">
      <c r="A207" t="inlineStr">
        <is>
          <t>cost / drug / cycle 193</t>
        </is>
      </c>
      <c r="B207" s="1" t="n">
        <v>11000</v>
      </c>
      <c r="C207" s="1" t="n">
        <v>0</v>
      </c>
      <c r="D207" s="1" t="n">
        <v>0</v>
      </c>
    </row>
    <row r="208">
      <c r="A208" t="inlineStr">
        <is>
          <t>cost / drug / cycle 194</t>
        </is>
      </c>
      <c r="B208" s="1" t="n">
        <v>11000</v>
      </c>
      <c r="C208" s="1" t="n">
        <v>0</v>
      </c>
      <c r="D208" s="1" t="n">
        <v>0</v>
      </c>
    </row>
    <row r="209">
      <c r="A209" t="inlineStr">
        <is>
          <t>cost / drug / cycle 195</t>
        </is>
      </c>
      <c r="B209" s="1" t="n">
        <v>11000</v>
      </c>
      <c r="C209" s="1" t="n">
        <v>0</v>
      </c>
      <c r="D209" s="1" t="n">
        <v>0</v>
      </c>
    </row>
    <row r="210">
      <c r="A210" t="inlineStr">
        <is>
          <t>cost / drug / cycle 196</t>
        </is>
      </c>
      <c r="B210" s="1" t="n">
        <v>11000</v>
      </c>
      <c r="C210" s="1" t="n">
        <v>0</v>
      </c>
      <c r="D210" s="1" t="n">
        <v>0</v>
      </c>
    </row>
    <row r="211">
      <c r="A211" t="inlineStr">
        <is>
          <t>cost / drug / cycle 197</t>
        </is>
      </c>
      <c r="B211" s="1" t="n">
        <v>11000</v>
      </c>
      <c r="C211" s="1" t="n">
        <v>0</v>
      </c>
      <c r="D211" s="1" t="n">
        <v>0</v>
      </c>
    </row>
    <row r="212">
      <c r="A212" t="inlineStr">
        <is>
          <t>cost / drug / cycle 198</t>
        </is>
      </c>
      <c r="B212" s="1" t="n">
        <v>11000</v>
      </c>
      <c r="C212" s="1" t="n">
        <v>0</v>
      </c>
      <c r="D212" s="1" t="n">
        <v>0</v>
      </c>
    </row>
    <row r="213">
      <c r="A213" t="inlineStr">
        <is>
          <t>cost / drug / cycle 199</t>
        </is>
      </c>
      <c r="B213" s="1" t="n">
        <v>11000</v>
      </c>
      <c r="C213" s="1" t="n">
        <v>0</v>
      </c>
      <c r="D213" s="1" t="n">
        <v>0</v>
      </c>
    </row>
    <row r="214">
      <c r="A214" t="inlineStr">
        <is>
          <t>cost / drug / cycle 200</t>
        </is>
      </c>
      <c r="B214" s="1" t="n">
        <v>11000</v>
      </c>
      <c r="C214" s="1" t="n">
        <v>0</v>
      </c>
      <c r="D214" s="1" t="n">
        <v>0</v>
      </c>
    </row>
    <row r="215">
      <c r="A215" t="inlineStr">
        <is>
          <t>cost / drug / cycle 201</t>
        </is>
      </c>
      <c r="B215" s="1" t="n">
        <v>11000</v>
      </c>
      <c r="C215" s="1" t="n">
        <v>0</v>
      </c>
      <c r="D215" s="1" t="n">
        <v>0</v>
      </c>
    </row>
    <row r="216">
      <c r="A216" t="inlineStr">
        <is>
          <t>cost / drug / cycle 202</t>
        </is>
      </c>
      <c r="B216" s="1" t="n">
        <v>11000</v>
      </c>
      <c r="C216" s="1" t="n">
        <v>0</v>
      </c>
      <c r="D216" s="1" t="n">
        <v>0</v>
      </c>
    </row>
    <row r="217">
      <c r="A217" t="inlineStr">
        <is>
          <t>cost / drug / cycle 203</t>
        </is>
      </c>
      <c r="B217" s="1" t="n">
        <v>11000</v>
      </c>
      <c r="C217" s="1" t="n">
        <v>0</v>
      </c>
      <c r="D217" s="1" t="n">
        <v>0</v>
      </c>
    </row>
    <row r="218">
      <c r="A218" t="inlineStr">
        <is>
          <t>cost / drug / cycle 204</t>
        </is>
      </c>
      <c r="B218" s="1" t="n">
        <v>11000</v>
      </c>
      <c r="C218" s="1" t="n">
        <v>0</v>
      </c>
      <c r="D218" s="1" t="n">
        <v>0</v>
      </c>
    </row>
    <row r="219">
      <c r="A219" t="inlineStr">
        <is>
          <t>cost / drug / cycle 205</t>
        </is>
      </c>
      <c r="B219" s="1" t="n">
        <v>11000</v>
      </c>
      <c r="C219" s="1" t="n">
        <v>0</v>
      </c>
      <c r="D219" s="1" t="n">
        <v>0</v>
      </c>
    </row>
    <row r="220">
      <c r="A220" t="inlineStr">
        <is>
          <t>cost / drug / cycle 206</t>
        </is>
      </c>
      <c r="B220" s="1" t="n">
        <v>11000</v>
      </c>
      <c r="C220" s="1" t="n">
        <v>0</v>
      </c>
      <c r="D220" s="1" t="n">
        <v>0</v>
      </c>
    </row>
    <row r="221">
      <c r="A221" t="inlineStr">
        <is>
          <t>cost / drug / cycle 207</t>
        </is>
      </c>
      <c r="B221" s="1" t="n">
        <v>11000</v>
      </c>
      <c r="C221" s="1" t="n">
        <v>0</v>
      </c>
      <c r="D221" s="1" t="n">
        <v>0</v>
      </c>
    </row>
    <row r="222">
      <c r="A222" t="inlineStr">
        <is>
          <t>cost / drug / cycle 208</t>
        </is>
      </c>
      <c r="B222" s="1" t="n">
        <v>11000</v>
      </c>
      <c r="C222" s="1" t="n">
        <v>0</v>
      </c>
      <c r="D222" s="1" t="n">
        <v>0</v>
      </c>
    </row>
    <row r="223">
      <c r="A223" t="inlineStr">
        <is>
          <t>cost / drug / cycle 209</t>
        </is>
      </c>
      <c r="B223" s="1" t="n">
        <v>11000</v>
      </c>
      <c r="C223" s="1" t="n">
        <v>0</v>
      </c>
      <c r="D223" s="1" t="n">
        <v>0</v>
      </c>
    </row>
    <row r="224">
      <c r="A224" t="inlineStr">
        <is>
          <t>cost / drug / cycle 210</t>
        </is>
      </c>
      <c r="B224" s="1" t="n">
        <v>11000</v>
      </c>
      <c r="C224" s="1" t="n">
        <v>0</v>
      </c>
      <c r="D224" s="1" t="n">
        <v>0</v>
      </c>
    </row>
    <row r="225">
      <c r="A225" t="inlineStr">
        <is>
          <t>cost / drug / cycle 211</t>
        </is>
      </c>
      <c r="B225" s="1" t="n">
        <v>11000</v>
      </c>
      <c r="C225" s="1" t="n">
        <v>0</v>
      </c>
      <c r="D225" s="1" t="n">
        <v>0</v>
      </c>
    </row>
    <row r="226">
      <c r="A226" t="inlineStr">
        <is>
          <t>cost / drug / cycle 212</t>
        </is>
      </c>
      <c r="B226" s="1" t="n">
        <v>11000</v>
      </c>
      <c r="C226" s="1" t="n">
        <v>0</v>
      </c>
      <c r="D226" s="1" t="n">
        <v>0</v>
      </c>
    </row>
    <row r="227">
      <c r="A227" t="inlineStr">
        <is>
          <t>cost / drug / cycle 213</t>
        </is>
      </c>
      <c r="B227" s="1" t="n">
        <v>11000</v>
      </c>
      <c r="C227" s="1" t="n">
        <v>0</v>
      </c>
      <c r="D227" s="1" t="n">
        <v>0</v>
      </c>
    </row>
    <row r="228">
      <c r="A228" t="inlineStr">
        <is>
          <t>cost / drug / cycle 214</t>
        </is>
      </c>
      <c r="B228" s="1" t="n">
        <v>11000</v>
      </c>
      <c r="C228" s="1" t="n">
        <v>0</v>
      </c>
      <c r="D228" s="1" t="n">
        <v>0</v>
      </c>
    </row>
    <row r="229">
      <c r="A229" t="inlineStr">
        <is>
          <t>cost / drug / cycle 215</t>
        </is>
      </c>
      <c r="B229" s="1" t="n">
        <v>11000</v>
      </c>
      <c r="C229" s="1" t="n">
        <v>0</v>
      </c>
      <c r="D229" s="1" t="n">
        <v>0</v>
      </c>
    </row>
    <row r="230">
      <c r="A230" t="inlineStr">
        <is>
          <t>cost / drug / cycle 216</t>
        </is>
      </c>
      <c r="B230" s="1" t="n">
        <v>11000</v>
      </c>
      <c r="C230" s="1" t="n">
        <v>0</v>
      </c>
      <c r="D230" s="1" t="n">
        <v>0</v>
      </c>
    </row>
    <row r="231">
      <c r="A231" t="inlineStr">
        <is>
          <t>cost / drug / cycle 217</t>
        </is>
      </c>
      <c r="B231" s="1" t="n">
        <v>11000</v>
      </c>
      <c r="C231" s="1" t="n">
        <v>0</v>
      </c>
      <c r="D231" s="1" t="n">
        <v>0</v>
      </c>
    </row>
    <row r="232">
      <c r="A232" t="inlineStr">
        <is>
          <t>cost / drug / cycle 218</t>
        </is>
      </c>
      <c r="B232" s="1" t="n">
        <v>11000</v>
      </c>
      <c r="C232" s="1" t="n">
        <v>0</v>
      </c>
      <c r="D232" s="1" t="n">
        <v>0</v>
      </c>
    </row>
    <row r="233">
      <c r="A233" t="inlineStr">
        <is>
          <t>cost / drug / cycle 219</t>
        </is>
      </c>
      <c r="B233" s="1" t="n">
        <v>11000</v>
      </c>
      <c r="C233" s="1" t="n">
        <v>0</v>
      </c>
      <c r="D233" s="1" t="n">
        <v>0</v>
      </c>
    </row>
    <row r="234">
      <c r="A234" t="inlineStr">
        <is>
          <t>cost / drug / cycle 220</t>
        </is>
      </c>
      <c r="B234" s="1" t="n">
        <v>11000</v>
      </c>
      <c r="C234" s="1" t="n">
        <v>0</v>
      </c>
      <c r="D234" s="1" t="n">
        <v>0</v>
      </c>
    </row>
    <row r="235">
      <c r="A235" t="inlineStr">
        <is>
          <t>cost / drug / cycle 221</t>
        </is>
      </c>
      <c r="B235" s="1" t="n">
        <v>11000</v>
      </c>
      <c r="C235" s="1" t="n">
        <v>0</v>
      </c>
      <c r="D235" s="1" t="n">
        <v>0</v>
      </c>
    </row>
    <row r="236">
      <c r="A236" t="inlineStr">
        <is>
          <t>cost / drug / cycle 222</t>
        </is>
      </c>
      <c r="B236" s="1" t="n">
        <v>11000</v>
      </c>
      <c r="C236" s="1" t="n">
        <v>0</v>
      </c>
      <c r="D236" s="1" t="n">
        <v>0</v>
      </c>
    </row>
    <row r="237">
      <c r="A237" t="inlineStr">
        <is>
          <t>cost / drug / cycle 223</t>
        </is>
      </c>
      <c r="B237" s="1" t="n">
        <v>11000</v>
      </c>
      <c r="C237" s="1" t="n">
        <v>0</v>
      </c>
      <c r="D237" s="1" t="n">
        <v>0</v>
      </c>
    </row>
    <row r="238">
      <c r="A238" t="inlineStr">
        <is>
          <t>cost / drug / cycle 224</t>
        </is>
      </c>
      <c r="B238" s="1" t="n">
        <v>11000</v>
      </c>
      <c r="C238" s="1" t="n">
        <v>0</v>
      </c>
      <c r="D238" s="1" t="n">
        <v>0</v>
      </c>
    </row>
    <row r="239">
      <c r="A239" t="inlineStr">
        <is>
          <t>cost / drug / cycle 225</t>
        </is>
      </c>
      <c r="B239" s="1" t="n">
        <v>11000</v>
      </c>
      <c r="C239" s="1" t="n">
        <v>0</v>
      </c>
      <c r="D239" s="1" t="n">
        <v>0</v>
      </c>
    </row>
    <row r="240">
      <c r="A240" t="inlineStr">
        <is>
          <t>cost / drug / cycle 226</t>
        </is>
      </c>
      <c r="B240" s="1" t="n">
        <v>11000</v>
      </c>
      <c r="C240" s="1" t="n">
        <v>0</v>
      </c>
      <c r="D240" s="1" t="n">
        <v>0</v>
      </c>
    </row>
    <row r="241">
      <c r="A241" t="inlineStr">
        <is>
          <t>cost / drug / cycle 227</t>
        </is>
      </c>
      <c r="B241" s="1" t="n">
        <v>11000</v>
      </c>
      <c r="C241" s="1" t="n">
        <v>0</v>
      </c>
      <c r="D241" s="1" t="n">
        <v>0</v>
      </c>
    </row>
    <row r="242">
      <c r="A242" t="inlineStr">
        <is>
          <t>cost / drug / cycle 228</t>
        </is>
      </c>
      <c r="B242" s="1" t="n">
        <v>11000</v>
      </c>
      <c r="C242" s="1" t="n">
        <v>0</v>
      </c>
      <c r="D242" s="1" t="n">
        <v>0</v>
      </c>
    </row>
    <row r="243">
      <c r="A243" t="inlineStr">
        <is>
          <t>cost / drug / cycle 229</t>
        </is>
      </c>
      <c r="B243" s="1" t="n">
        <v>11000</v>
      </c>
      <c r="C243" s="1" t="n">
        <v>0</v>
      </c>
      <c r="D243" s="1" t="n">
        <v>0</v>
      </c>
    </row>
    <row r="244">
      <c r="A244" t="inlineStr">
        <is>
          <t>cost / drug / cycle 230</t>
        </is>
      </c>
      <c r="B244" s="1" t="n">
        <v>11000</v>
      </c>
      <c r="C244" s="1" t="n">
        <v>0</v>
      </c>
      <c r="D244" s="1" t="n">
        <v>0</v>
      </c>
    </row>
    <row r="245">
      <c r="A245" t="inlineStr">
        <is>
          <t>cost / drug / cycle 231</t>
        </is>
      </c>
      <c r="B245" s="1" t="n">
        <v>11000</v>
      </c>
      <c r="C245" s="1" t="n">
        <v>0</v>
      </c>
      <c r="D245" s="1" t="n">
        <v>0</v>
      </c>
    </row>
    <row r="246">
      <c r="A246" t="inlineStr">
        <is>
          <t>cost / drug / cycle 232</t>
        </is>
      </c>
      <c r="B246" s="1" t="n">
        <v>11000</v>
      </c>
      <c r="C246" s="1" t="n">
        <v>0</v>
      </c>
      <c r="D246" s="1" t="n">
        <v>0</v>
      </c>
    </row>
    <row r="247">
      <c r="A247" t="inlineStr">
        <is>
          <t>cost / drug / cycle 233</t>
        </is>
      </c>
      <c r="B247" s="1" t="n">
        <v>11000</v>
      </c>
      <c r="C247" s="1" t="n">
        <v>0</v>
      </c>
      <c r="D247" s="1" t="n">
        <v>0</v>
      </c>
    </row>
    <row r="248">
      <c r="A248" t="inlineStr">
        <is>
          <t>cost / drug / cycle 234</t>
        </is>
      </c>
      <c r="B248" s="1" t="n">
        <v>11000</v>
      </c>
      <c r="C248" s="1" t="n">
        <v>0</v>
      </c>
      <c r="D248" s="1" t="n">
        <v>0</v>
      </c>
    </row>
    <row r="249">
      <c r="A249" t="inlineStr">
        <is>
          <t>cost / drug / cycle 235</t>
        </is>
      </c>
      <c r="B249" s="1" t="n">
        <v>11000</v>
      </c>
      <c r="C249" s="1" t="n">
        <v>0</v>
      </c>
      <c r="D249" s="1" t="n">
        <v>0</v>
      </c>
    </row>
    <row r="250">
      <c r="A250" t="inlineStr">
        <is>
          <t>cost / drug / cycle 236</t>
        </is>
      </c>
      <c r="B250" s="1" t="n">
        <v>11000</v>
      </c>
      <c r="C250" s="1" t="n">
        <v>0</v>
      </c>
      <c r="D250" s="1" t="n">
        <v>0</v>
      </c>
    </row>
    <row r="251">
      <c r="A251" t="inlineStr">
        <is>
          <t>cost / drug / cycle 237</t>
        </is>
      </c>
      <c r="B251" s="1" t="n">
        <v>11000</v>
      </c>
      <c r="C251" s="1" t="n">
        <v>0</v>
      </c>
      <c r="D251" s="1" t="n">
        <v>0</v>
      </c>
    </row>
    <row r="252">
      <c r="A252" t="inlineStr">
        <is>
          <t>cost / drug / cycle 238</t>
        </is>
      </c>
      <c r="B252" s="1" t="n">
        <v>11000</v>
      </c>
      <c r="C252" s="1" t="n">
        <v>0</v>
      </c>
      <c r="D252" s="1" t="n">
        <v>0</v>
      </c>
    </row>
    <row r="253">
      <c r="A253" t="inlineStr">
        <is>
          <t>cost / drug / cycle 239</t>
        </is>
      </c>
      <c r="B253" s="1" t="n">
        <v>11000</v>
      </c>
      <c r="C253" s="1" t="n">
        <v>0</v>
      </c>
      <c r="D253" s="1" t="n">
        <v>0</v>
      </c>
    </row>
    <row r="254">
      <c r="A254" t="inlineStr">
        <is>
          <t>cost / drug / cycle 240</t>
        </is>
      </c>
      <c r="B254" s="1" t="n">
        <v>11000</v>
      </c>
      <c r="C254" s="1" t="n">
        <v>0</v>
      </c>
      <c r="D254" s="1" t="n">
        <v>0</v>
      </c>
    </row>
    <row r="255">
      <c r="A255" t="inlineStr">
        <is>
          <t>cost / prog_care / cycle 1</t>
        </is>
      </c>
      <c r="B255" s="1" t="n">
        <v>0</v>
      </c>
      <c r="C255" s="1" t="n">
        <v>5000</v>
      </c>
      <c r="D255" s="1" t="n">
        <v>0</v>
      </c>
    </row>
    <row r="256">
      <c r="A256" t="inlineStr">
        <is>
          <t>cost / prog_care / cycle 2</t>
        </is>
      </c>
      <c r="B256" s="1" t="n">
        <v>0</v>
      </c>
      <c r="C256" s="1" t="n">
        <v>5000</v>
      </c>
      <c r="D256" s="1" t="n">
        <v>0</v>
      </c>
    </row>
    <row r="257">
      <c r="A257" t="inlineStr">
        <is>
          <t>cost / prog_care / cycle 3</t>
        </is>
      </c>
      <c r="B257" s="1" t="n">
        <v>0</v>
      </c>
      <c r="C257" s="1" t="n">
        <v>5000</v>
      </c>
      <c r="D257" s="1" t="n">
        <v>0</v>
      </c>
    </row>
    <row r="258">
      <c r="A258" t="inlineStr">
        <is>
          <t>cost / prog_care / cycle 4</t>
        </is>
      </c>
      <c r="B258" s="1" t="n">
        <v>0</v>
      </c>
      <c r="C258" s="1" t="n">
        <v>5000</v>
      </c>
      <c r="D258" s="1" t="n">
        <v>0</v>
      </c>
    </row>
    <row r="259">
      <c r="A259" t="inlineStr">
        <is>
          <t>cost / prog_care / cycle 5</t>
        </is>
      </c>
      <c r="B259" s="1" t="n">
        <v>0</v>
      </c>
      <c r="C259" s="1" t="n">
        <v>5000</v>
      </c>
      <c r="D259" s="1" t="n">
        <v>0</v>
      </c>
    </row>
    <row r="260">
      <c r="A260" t="inlineStr">
        <is>
          <t>cost / prog_care / cycle 6</t>
        </is>
      </c>
      <c r="B260" s="1" t="n">
        <v>0</v>
      </c>
      <c r="C260" s="1" t="n">
        <v>5000</v>
      </c>
      <c r="D260" s="1" t="n">
        <v>0</v>
      </c>
    </row>
    <row r="261">
      <c r="A261" t="inlineStr">
        <is>
          <t>cost / prog_care / cycle 7</t>
        </is>
      </c>
      <c r="B261" s="1" t="n">
        <v>0</v>
      </c>
      <c r="C261" s="1" t="n">
        <v>5000</v>
      </c>
      <c r="D261" s="1" t="n">
        <v>0</v>
      </c>
    </row>
    <row r="262">
      <c r="A262" t="inlineStr">
        <is>
          <t>cost / prog_care / cycle 8</t>
        </is>
      </c>
      <c r="B262" s="1" t="n">
        <v>0</v>
      </c>
      <c r="C262" s="1" t="n">
        <v>5000</v>
      </c>
      <c r="D262" s="1" t="n">
        <v>0</v>
      </c>
    </row>
    <row r="263">
      <c r="A263" t="inlineStr">
        <is>
          <t>cost / prog_care / cycle 9</t>
        </is>
      </c>
      <c r="B263" s="1" t="n">
        <v>0</v>
      </c>
      <c r="C263" s="1" t="n">
        <v>5000</v>
      </c>
      <c r="D263" s="1" t="n">
        <v>0</v>
      </c>
    </row>
    <row r="264">
      <c r="A264" t="inlineStr">
        <is>
          <t>cost / prog_care / cycle 10</t>
        </is>
      </c>
      <c r="B264" s="1" t="n">
        <v>0</v>
      </c>
      <c r="C264" s="1" t="n">
        <v>5000</v>
      </c>
      <c r="D264" s="1" t="n">
        <v>0</v>
      </c>
    </row>
    <row r="265">
      <c r="A265" t="inlineStr">
        <is>
          <t>cost / prog_care / cycle 11</t>
        </is>
      </c>
      <c r="B265" s="1" t="n">
        <v>0</v>
      </c>
      <c r="C265" s="1" t="n">
        <v>5000</v>
      </c>
      <c r="D265" s="1" t="n">
        <v>0</v>
      </c>
    </row>
    <row r="266">
      <c r="A266" t="inlineStr">
        <is>
          <t>cost / prog_care / cycle 12</t>
        </is>
      </c>
      <c r="B266" s="1" t="n">
        <v>0</v>
      </c>
      <c r="C266" s="1" t="n">
        <v>5000</v>
      </c>
      <c r="D266" s="1" t="n">
        <v>0</v>
      </c>
    </row>
    <row r="267">
      <c r="A267" t="inlineStr">
        <is>
          <t>cost / prog_care / cycle 13</t>
        </is>
      </c>
      <c r="B267" s="1" t="n">
        <v>0</v>
      </c>
      <c r="C267" s="1" t="n">
        <v>5000</v>
      </c>
      <c r="D267" s="1" t="n">
        <v>0</v>
      </c>
    </row>
    <row r="268">
      <c r="A268" t="inlineStr">
        <is>
          <t>cost / prog_care / cycle 14</t>
        </is>
      </c>
      <c r="B268" s="1" t="n">
        <v>0</v>
      </c>
      <c r="C268" s="1" t="n">
        <v>5000</v>
      </c>
      <c r="D268" s="1" t="n">
        <v>0</v>
      </c>
    </row>
    <row r="269">
      <c r="A269" t="inlineStr">
        <is>
          <t>cost / prog_care / cycle 15</t>
        </is>
      </c>
      <c r="B269" s="1" t="n">
        <v>0</v>
      </c>
      <c r="C269" s="1" t="n">
        <v>5000</v>
      </c>
      <c r="D269" s="1" t="n">
        <v>0</v>
      </c>
    </row>
    <row r="270">
      <c r="A270" t="inlineStr">
        <is>
          <t>cost / prog_care / cycle 16</t>
        </is>
      </c>
      <c r="B270" s="1" t="n">
        <v>0</v>
      </c>
      <c r="C270" s="1" t="n">
        <v>5000</v>
      </c>
      <c r="D270" s="1" t="n">
        <v>0</v>
      </c>
    </row>
    <row r="271">
      <c r="A271" t="inlineStr">
        <is>
          <t>cost / prog_care / cycle 17</t>
        </is>
      </c>
      <c r="B271" s="1" t="n">
        <v>0</v>
      </c>
      <c r="C271" s="1" t="n">
        <v>5000</v>
      </c>
      <c r="D271" s="1" t="n">
        <v>0</v>
      </c>
    </row>
    <row r="272">
      <c r="A272" t="inlineStr">
        <is>
          <t>cost / prog_care / cycle 18</t>
        </is>
      </c>
      <c r="B272" s="1" t="n">
        <v>0</v>
      </c>
      <c r="C272" s="1" t="n">
        <v>5000</v>
      </c>
      <c r="D272" s="1" t="n">
        <v>0</v>
      </c>
    </row>
    <row r="273">
      <c r="A273" t="inlineStr">
        <is>
          <t>cost / prog_care / cycle 19</t>
        </is>
      </c>
      <c r="B273" s="1" t="n">
        <v>0</v>
      </c>
      <c r="C273" s="1" t="n">
        <v>5000</v>
      </c>
      <c r="D273" s="1" t="n">
        <v>0</v>
      </c>
    </row>
    <row r="274">
      <c r="A274" t="inlineStr">
        <is>
          <t>cost / prog_care / cycle 20</t>
        </is>
      </c>
      <c r="B274" s="1" t="n">
        <v>0</v>
      </c>
      <c r="C274" s="1" t="n">
        <v>5000</v>
      </c>
      <c r="D274" s="1" t="n">
        <v>0</v>
      </c>
    </row>
    <row r="275">
      <c r="A275" t="inlineStr">
        <is>
          <t>cost / prog_care / cycle 21</t>
        </is>
      </c>
      <c r="B275" s="1" t="n">
        <v>0</v>
      </c>
      <c r="C275" s="1" t="n">
        <v>5000</v>
      </c>
      <c r="D275" s="1" t="n">
        <v>0</v>
      </c>
    </row>
    <row r="276">
      <c r="A276" t="inlineStr">
        <is>
          <t>cost / prog_care / cycle 22</t>
        </is>
      </c>
      <c r="B276" s="1" t="n">
        <v>0</v>
      </c>
      <c r="C276" s="1" t="n">
        <v>5000</v>
      </c>
      <c r="D276" s="1" t="n">
        <v>0</v>
      </c>
    </row>
    <row r="277">
      <c r="A277" t="inlineStr">
        <is>
          <t>cost / prog_care / cycle 23</t>
        </is>
      </c>
      <c r="B277" s="1" t="n">
        <v>0</v>
      </c>
      <c r="C277" s="1" t="n">
        <v>5000</v>
      </c>
      <c r="D277" s="1" t="n">
        <v>0</v>
      </c>
    </row>
    <row r="278">
      <c r="A278" t="inlineStr">
        <is>
          <t>cost / prog_care / cycle 24</t>
        </is>
      </c>
      <c r="B278" s="1" t="n">
        <v>0</v>
      </c>
      <c r="C278" s="1" t="n">
        <v>5000</v>
      </c>
      <c r="D278" s="1" t="n">
        <v>0</v>
      </c>
    </row>
    <row r="279">
      <c r="A279" t="inlineStr">
        <is>
          <t>cost / prog_care / cycle 25</t>
        </is>
      </c>
      <c r="B279" s="1" t="n">
        <v>0</v>
      </c>
      <c r="C279" s="1" t="n">
        <v>5000</v>
      </c>
      <c r="D279" s="1" t="n">
        <v>0</v>
      </c>
    </row>
    <row r="280">
      <c r="A280" t="inlineStr">
        <is>
          <t>cost / prog_care / cycle 26</t>
        </is>
      </c>
      <c r="B280" s="1" t="n">
        <v>0</v>
      </c>
      <c r="C280" s="1" t="n">
        <v>5000</v>
      </c>
      <c r="D280" s="1" t="n">
        <v>0</v>
      </c>
    </row>
    <row r="281">
      <c r="A281" t="inlineStr">
        <is>
          <t>cost / prog_care / cycle 27</t>
        </is>
      </c>
      <c r="B281" s="1" t="n">
        <v>0</v>
      </c>
      <c r="C281" s="1" t="n">
        <v>5000</v>
      </c>
      <c r="D281" s="1" t="n">
        <v>0</v>
      </c>
    </row>
    <row r="282">
      <c r="A282" t="inlineStr">
        <is>
          <t>cost / prog_care / cycle 28</t>
        </is>
      </c>
      <c r="B282" s="1" t="n">
        <v>0</v>
      </c>
      <c r="C282" s="1" t="n">
        <v>5000</v>
      </c>
      <c r="D282" s="1" t="n">
        <v>0</v>
      </c>
    </row>
    <row r="283">
      <c r="A283" t="inlineStr">
        <is>
          <t>cost / prog_care / cycle 29</t>
        </is>
      </c>
      <c r="B283" s="1" t="n">
        <v>0</v>
      </c>
      <c r="C283" s="1" t="n">
        <v>5000</v>
      </c>
      <c r="D283" s="1" t="n">
        <v>0</v>
      </c>
    </row>
    <row r="284">
      <c r="A284" t="inlineStr">
        <is>
          <t>cost / prog_care / cycle 30</t>
        </is>
      </c>
      <c r="B284" s="1" t="n">
        <v>0</v>
      </c>
      <c r="C284" s="1" t="n">
        <v>5000</v>
      </c>
      <c r="D284" s="1" t="n">
        <v>0</v>
      </c>
    </row>
    <row r="285">
      <c r="A285" t="inlineStr">
        <is>
          <t>cost / prog_care / cycle 31</t>
        </is>
      </c>
      <c r="B285" s="1" t="n">
        <v>0</v>
      </c>
      <c r="C285" s="1" t="n">
        <v>5000</v>
      </c>
      <c r="D285" s="1" t="n">
        <v>0</v>
      </c>
    </row>
    <row r="286">
      <c r="A286" t="inlineStr">
        <is>
          <t>cost / prog_care / cycle 32</t>
        </is>
      </c>
      <c r="B286" s="1" t="n">
        <v>0</v>
      </c>
      <c r="C286" s="1" t="n">
        <v>5000</v>
      </c>
      <c r="D286" s="1" t="n">
        <v>0</v>
      </c>
    </row>
    <row r="287">
      <c r="A287" t="inlineStr">
        <is>
          <t>cost / prog_care / cycle 33</t>
        </is>
      </c>
      <c r="B287" s="1" t="n">
        <v>0</v>
      </c>
      <c r="C287" s="1" t="n">
        <v>5000</v>
      </c>
      <c r="D287" s="1" t="n">
        <v>0</v>
      </c>
    </row>
    <row r="288">
      <c r="A288" t="inlineStr">
        <is>
          <t>cost / prog_care / cycle 34</t>
        </is>
      </c>
      <c r="B288" s="1" t="n">
        <v>0</v>
      </c>
      <c r="C288" s="1" t="n">
        <v>5000</v>
      </c>
      <c r="D288" s="1" t="n">
        <v>0</v>
      </c>
    </row>
    <row r="289">
      <c r="A289" t="inlineStr">
        <is>
          <t>cost / prog_care / cycle 35</t>
        </is>
      </c>
      <c r="B289" s="1" t="n">
        <v>0</v>
      </c>
      <c r="C289" s="1" t="n">
        <v>5000</v>
      </c>
      <c r="D289" s="1" t="n">
        <v>0</v>
      </c>
    </row>
    <row r="290">
      <c r="A290" t="inlineStr">
        <is>
          <t>cost / prog_care / cycle 36</t>
        </is>
      </c>
      <c r="B290" s="1" t="n">
        <v>0</v>
      </c>
      <c r="C290" s="1" t="n">
        <v>5000</v>
      </c>
      <c r="D290" s="1" t="n">
        <v>0</v>
      </c>
    </row>
    <row r="291">
      <c r="A291" t="inlineStr">
        <is>
          <t>cost / prog_care / cycle 37</t>
        </is>
      </c>
      <c r="B291" s="1" t="n">
        <v>0</v>
      </c>
      <c r="C291" s="1" t="n">
        <v>5000</v>
      </c>
      <c r="D291" s="1" t="n">
        <v>0</v>
      </c>
    </row>
    <row r="292">
      <c r="A292" t="inlineStr">
        <is>
          <t>cost / prog_care / cycle 38</t>
        </is>
      </c>
      <c r="B292" s="1" t="n">
        <v>0</v>
      </c>
      <c r="C292" s="1" t="n">
        <v>5000</v>
      </c>
      <c r="D292" s="1" t="n">
        <v>0</v>
      </c>
    </row>
    <row r="293">
      <c r="A293" t="inlineStr">
        <is>
          <t>cost / prog_care / cycle 39</t>
        </is>
      </c>
      <c r="B293" s="1" t="n">
        <v>0</v>
      </c>
      <c r="C293" s="1" t="n">
        <v>5000</v>
      </c>
      <c r="D293" s="1" t="n">
        <v>0</v>
      </c>
    </row>
    <row r="294">
      <c r="A294" t="inlineStr">
        <is>
          <t>cost / prog_care / cycle 40</t>
        </is>
      </c>
      <c r="B294" s="1" t="n">
        <v>0</v>
      </c>
      <c r="C294" s="1" t="n">
        <v>5000</v>
      </c>
      <c r="D294" s="1" t="n">
        <v>0</v>
      </c>
    </row>
    <row r="295">
      <c r="A295" t="inlineStr">
        <is>
          <t>cost / prog_care / cycle 41</t>
        </is>
      </c>
      <c r="B295" s="1" t="n">
        <v>0</v>
      </c>
      <c r="C295" s="1" t="n">
        <v>5000</v>
      </c>
      <c r="D295" s="1" t="n">
        <v>0</v>
      </c>
    </row>
    <row r="296">
      <c r="A296" t="inlineStr">
        <is>
          <t>cost / prog_care / cycle 42</t>
        </is>
      </c>
      <c r="B296" s="1" t="n">
        <v>0</v>
      </c>
      <c r="C296" s="1" t="n">
        <v>5000</v>
      </c>
      <c r="D296" s="1" t="n">
        <v>0</v>
      </c>
    </row>
    <row r="297">
      <c r="A297" t="inlineStr">
        <is>
          <t>cost / prog_care / cycle 43</t>
        </is>
      </c>
      <c r="B297" s="1" t="n">
        <v>0</v>
      </c>
      <c r="C297" s="1" t="n">
        <v>5000</v>
      </c>
      <c r="D297" s="1" t="n">
        <v>0</v>
      </c>
    </row>
    <row r="298">
      <c r="A298" t="inlineStr">
        <is>
          <t>cost / prog_care / cycle 44</t>
        </is>
      </c>
      <c r="B298" s="1" t="n">
        <v>0</v>
      </c>
      <c r="C298" s="1" t="n">
        <v>5000</v>
      </c>
      <c r="D298" s="1" t="n">
        <v>0</v>
      </c>
    </row>
    <row r="299">
      <c r="A299" t="inlineStr">
        <is>
          <t>cost / prog_care / cycle 45</t>
        </is>
      </c>
      <c r="B299" s="1" t="n">
        <v>0</v>
      </c>
      <c r="C299" s="1" t="n">
        <v>5000</v>
      </c>
      <c r="D299" s="1" t="n">
        <v>0</v>
      </c>
    </row>
    <row r="300">
      <c r="A300" t="inlineStr">
        <is>
          <t>cost / prog_care / cycle 46</t>
        </is>
      </c>
      <c r="B300" s="1" t="n">
        <v>0</v>
      </c>
      <c r="C300" s="1" t="n">
        <v>5000</v>
      </c>
      <c r="D300" s="1" t="n">
        <v>0</v>
      </c>
    </row>
    <row r="301">
      <c r="A301" t="inlineStr">
        <is>
          <t>cost / prog_care / cycle 47</t>
        </is>
      </c>
      <c r="B301" s="1" t="n">
        <v>0</v>
      </c>
      <c r="C301" s="1" t="n">
        <v>5000</v>
      </c>
      <c r="D301" s="1" t="n">
        <v>0</v>
      </c>
    </row>
    <row r="302">
      <c r="A302" t="inlineStr">
        <is>
          <t>cost / prog_care / cycle 48</t>
        </is>
      </c>
      <c r="B302" s="1" t="n">
        <v>0</v>
      </c>
      <c r="C302" s="1" t="n">
        <v>5000</v>
      </c>
      <c r="D302" s="1" t="n">
        <v>0</v>
      </c>
    </row>
    <row r="303">
      <c r="A303" t="inlineStr">
        <is>
          <t>cost / prog_care / cycle 49</t>
        </is>
      </c>
      <c r="B303" s="1" t="n">
        <v>0</v>
      </c>
      <c r="C303" s="1" t="n">
        <v>5000</v>
      </c>
      <c r="D303" s="1" t="n">
        <v>0</v>
      </c>
    </row>
    <row r="304">
      <c r="A304" t="inlineStr">
        <is>
          <t>cost / prog_care / cycle 50</t>
        </is>
      </c>
      <c r="B304" s="1" t="n">
        <v>0</v>
      </c>
      <c r="C304" s="1" t="n">
        <v>5000</v>
      </c>
      <c r="D304" s="1" t="n">
        <v>0</v>
      </c>
    </row>
    <row r="305">
      <c r="A305" t="inlineStr">
        <is>
          <t>cost / prog_care / cycle 51</t>
        </is>
      </c>
      <c r="B305" s="1" t="n">
        <v>0</v>
      </c>
      <c r="C305" s="1" t="n">
        <v>5000</v>
      </c>
      <c r="D305" s="1" t="n">
        <v>0</v>
      </c>
    </row>
    <row r="306">
      <c r="A306" t="inlineStr">
        <is>
          <t>cost / prog_care / cycle 52</t>
        </is>
      </c>
      <c r="B306" s="1" t="n">
        <v>0</v>
      </c>
      <c r="C306" s="1" t="n">
        <v>5000</v>
      </c>
      <c r="D306" s="1" t="n">
        <v>0</v>
      </c>
    </row>
    <row r="307">
      <c r="A307" t="inlineStr">
        <is>
          <t>cost / prog_care / cycle 53</t>
        </is>
      </c>
      <c r="B307" s="1" t="n">
        <v>0</v>
      </c>
      <c r="C307" s="1" t="n">
        <v>5000</v>
      </c>
      <c r="D307" s="1" t="n">
        <v>0</v>
      </c>
    </row>
    <row r="308">
      <c r="A308" t="inlineStr">
        <is>
          <t>cost / prog_care / cycle 54</t>
        </is>
      </c>
      <c r="B308" s="1" t="n">
        <v>0</v>
      </c>
      <c r="C308" s="1" t="n">
        <v>5000</v>
      </c>
      <c r="D308" s="1" t="n">
        <v>0</v>
      </c>
    </row>
    <row r="309">
      <c r="A309" t="inlineStr">
        <is>
          <t>cost / prog_care / cycle 55</t>
        </is>
      </c>
      <c r="B309" s="1" t="n">
        <v>0</v>
      </c>
      <c r="C309" s="1" t="n">
        <v>5000</v>
      </c>
      <c r="D309" s="1" t="n">
        <v>0</v>
      </c>
    </row>
    <row r="310">
      <c r="A310" t="inlineStr">
        <is>
          <t>cost / prog_care / cycle 56</t>
        </is>
      </c>
      <c r="B310" s="1" t="n">
        <v>0</v>
      </c>
      <c r="C310" s="1" t="n">
        <v>5000</v>
      </c>
      <c r="D310" s="1" t="n">
        <v>0</v>
      </c>
    </row>
    <row r="311">
      <c r="A311" t="inlineStr">
        <is>
          <t>cost / prog_care / cycle 57</t>
        </is>
      </c>
      <c r="B311" s="1" t="n">
        <v>0</v>
      </c>
      <c r="C311" s="1" t="n">
        <v>5000</v>
      </c>
      <c r="D311" s="1" t="n">
        <v>0</v>
      </c>
    </row>
    <row r="312">
      <c r="A312" t="inlineStr">
        <is>
          <t>cost / prog_care / cycle 58</t>
        </is>
      </c>
      <c r="B312" s="1" t="n">
        <v>0</v>
      </c>
      <c r="C312" s="1" t="n">
        <v>5000</v>
      </c>
      <c r="D312" s="1" t="n">
        <v>0</v>
      </c>
    </row>
    <row r="313">
      <c r="A313" t="inlineStr">
        <is>
          <t>cost / prog_care / cycle 59</t>
        </is>
      </c>
      <c r="B313" s="1" t="n">
        <v>0</v>
      </c>
      <c r="C313" s="1" t="n">
        <v>5000</v>
      </c>
      <c r="D313" s="1" t="n">
        <v>0</v>
      </c>
    </row>
    <row r="314">
      <c r="A314" t="inlineStr">
        <is>
          <t>cost / prog_care / cycle 60</t>
        </is>
      </c>
      <c r="B314" s="1" t="n">
        <v>0</v>
      </c>
      <c r="C314" s="1" t="n">
        <v>5000</v>
      </c>
      <c r="D314" s="1" t="n">
        <v>0</v>
      </c>
    </row>
    <row r="315">
      <c r="A315" t="inlineStr">
        <is>
          <t>cost / prog_care / cycle 61</t>
        </is>
      </c>
      <c r="B315" s="1" t="n">
        <v>0</v>
      </c>
      <c r="C315" s="1" t="n">
        <v>5000</v>
      </c>
      <c r="D315" s="1" t="n">
        <v>0</v>
      </c>
    </row>
    <row r="316">
      <c r="A316" t="inlineStr">
        <is>
          <t>cost / prog_care / cycle 62</t>
        </is>
      </c>
      <c r="B316" s="1" t="n">
        <v>0</v>
      </c>
      <c r="C316" s="1" t="n">
        <v>5000</v>
      </c>
      <c r="D316" s="1" t="n">
        <v>0</v>
      </c>
    </row>
    <row r="317">
      <c r="A317" t="inlineStr">
        <is>
          <t>cost / prog_care / cycle 63</t>
        </is>
      </c>
      <c r="B317" s="1" t="n">
        <v>0</v>
      </c>
      <c r="C317" s="1" t="n">
        <v>5000</v>
      </c>
      <c r="D317" s="1" t="n">
        <v>0</v>
      </c>
    </row>
    <row r="318">
      <c r="A318" t="inlineStr">
        <is>
          <t>cost / prog_care / cycle 64</t>
        </is>
      </c>
      <c r="B318" s="1" t="n">
        <v>0</v>
      </c>
      <c r="C318" s="1" t="n">
        <v>5000</v>
      </c>
      <c r="D318" s="1" t="n">
        <v>0</v>
      </c>
    </row>
    <row r="319">
      <c r="A319" t="inlineStr">
        <is>
          <t>cost / prog_care / cycle 65</t>
        </is>
      </c>
      <c r="B319" s="1" t="n">
        <v>0</v>
      </c>
      <c r="C319" s="1" t="n">
        <v>5000</v>
      </c>
      <c r="D319" s="1" t="n">
        <v>0</v>
      </c>
    </row>
    <row r="320">
      <c r="A320" t="inlineStr">
        <is>
          <t>cost / prog_care / cycle 66</t>
        </is>
      </c>
      <c r="B320" s="1" t="n">
        <v>0</v>
      </c>
      <c r="C320" s="1" t="n">
        <v>5000</v>
      </c>
      <c r="D320" s="1" t="n">
        <v>0</v>
      </c>
    </row>
    <row r="321">
      <c r="A321" t="inlineStr">
        <is>
          <t>cost / prog_care / cycle 67</t>
        </is>
      </c>
      <c r="B321" s="1" t="n">
        <v>0</v>
      </c>
      <c r="C321" s="1" t="n">
        <v>5000</v>
      </c>
      <c r="D321" s="1" t="n">
        <v>0</v>
      </c>
    </row>
    <row r="322">
      <c r="A322" t="inlineStr">
        <is>
          <t>cost / prog_care / cycle 68</t>
        </is>
      </c>
      <c r="B322" s="1" t="n">
        <v>0</v>
      </c>
      <c r="C322" s="1" t="n">
        <v>5000</v>
      </c>
      <c r="D322" s="1" t="n">
        <v>0</v>
      </c>
    </row>
    <row r="323">
      <c r="A323" t="inlineStr">
        <is>
          <t>cost / prog_care / cycle 69</t>
        </is>
      </c>
      <c r="B323" s="1" t="n">
        <v>0</v>
      </c>
      <c r="C323" s="1" t="n">
        <v>5000</v>
      </c>
      <c r="D323" s="1" t="n">
        <v>0</v>
      </c>
    </row>
    <row r="324">
      <c r="A324" t="inlineStr">
        <is>
          <t>cost / prog_care / cycle 70</t>
        </is>
      </c>
      <c r="B324" s="1" t="n">
        <v>0</v>
      </c>
      <c r="C324" s="1" t="n">
        <v>5000</v>
      </c>
      <c r="D324" s="1" t="n">
        <v>0</v>
      </c>
    </row>
    <row r="325">
      <c r="A325" t="inlineStr">
        <is>
          <t>cost / prog_care / cycle 71</t>
        </is>
      </c>
      <c r="B325" s="1" t="n">
        <v>0</v>
      </c>
      <c r="C325" s="1" t="n">
        <v>5000</v>
      </c>
      <c r="D325" s="1" t="n">
        <v>0</v>
      </c>
    </row>
    <row r="326">
      <c r="A326" t="inlineStr">
        <is>
          <t>cost / prog_care / cycle 72</t>
        </is>
      </c>
      <c r="B326" s="1" t="n">
        <v>0</v>
      </c>
      <c r="C326" s="1" t="n">
        <v>5000</v>
      </c>
      <c r="D326" s="1" t="n">
        <v>0</v>
      </c>
    </row>
    <row r="327">
      <c r="A327" t="inlineStr">
        <is>
          <t>cost / prog_care / cycle 73</t>
        </is>
      </c>
      <c r="B327" s="1" t="n">
        <v>0</v>
      </c>
      <c r="C327" s="1" t="n">
        <v>5000</v>
      </c>
      <c r="D327" s="1" t="n">
        <v>0</v>
      </c>
    </row>
    <row r="328">
      <c r="A328" t="inlineStr">
        <is>
          <t>cost / prog_care / cycle 74</t>
        </is>
      </c>
      <c r="B328" s="1" t="n">
        <v>0</v>
      </c>
      <c r="C328" s="1" t="n">
        <v>5000</v>
      </c>
      <c r="D328" s="1" t="n">
        <v>0</v>
      </c>
    </row>
    <row r="329">
      <c r="A329" t="inlineStr">
        <is>
          <t>cost / prog_care / cycle 75</t>
        </is>
      </c>
      <c r="B329" s="1" t="n">
        <v>0</v>
      </c>
      <c r="C329" s="1" t="n">
        <v>5000</v>
      </c>
      <c r="D329" s="1" t="n">
        <v>0</v>
      </c>
    </row>
    <row r="330">
      <c r="A330" t="inlineStr">
        <is>
          <t>cost / prog_care / cycle 76</t>
        </is>
      </c>
      <c r="B330" s="1" t="n">
        <v>0</v>
      </c>
      <c r="C330" s="1" t="n">
        <v>5000</v>
      </c>
      <c r="D330" s="1" t="n">
        <v>0</v>
      </c>
    </row>
    <row r="331">
      <c r="A331" t="inlineStr">
        <is>
          <t>cost / prog_care / cycle 77</t>
        </is>
      </c>
      <c r="B331" s="1" t="n">
        <v>0</v>
      </c>
      <c r="C331" s="1" t="n">
        <v>5000</v>
      </c>
      <c r="D331" s="1" t="n">
        <v>0</v>
      </c>
    </row>
    <row r="332">
      <c r="A332" t="inlineStr">
        <is>
          <t>cost / prog_care / cycle 78</t>
        </is>
      </c>
      <c r="B332" s="1" t="n">
        <v>0</v>
      </c>
      <c r="C332" s="1" t="n">
        <v>5000</v>
      </c>
      <c r="D332" s="1" t="n">
        <v>0</v>
      </c>
    </row>
    <row r="333">
      <c r="A333" t="inlineStr">
        <is>
          <t>cost / prog_care / cycle 79</t>
        </is>
      </c>
      <c r="B333" s="1" t="n">
        <v>0</v>
      </c>
      <c r="C333" s="1" t="n">
        <v>5000</v>
      </c>
      <c r="D333" s="1" t="n">
        <v>0</v>
      </c>
    </row>
    <row r="334">
      <c r="A334" t="inlineStr">
        <is>
          <t>cost / prog_care / cycle 80</t>
        </is>
      </c>
      <c r="B334" s="1" t="n">
        <v>0</v>
      </c>
      <c r="C334" s="1" t="n">
        <v>5000</v>
      </c>
      <c r="D334" s="1" t="n">
        <v>0</v>
      </c>
    </row>
    <row r="335">
      <c r="A335" t="inlineStr">
        <is>
          <t>cost / prog_care / cycle 81</t>
        </is>
      </c>
      <c r="B335" s="1" t="n">
        <v>0</v>
      </c>
      <c r="C335" s="1" t="n">
        <v>5000</v>
      </c>
      <c r="D335" s="1" t="n">
        <v>0</v>
      </c>
    </row>
    <row r="336">
      <c r="A336" t="inlineStr">
        <is>
          <t>cost / prog_care / cycle 82</t>
        </is>
      </c>
      <c r="B336" s="1" t="n">
        <v>0</v>
      </c>
      <c r="C336" s="1" t="n">
        <v>5000</v>
      </c>
      <c r="D336" s="1" t="n">
        <v>0</v>
      </c>
    </row>
    <row r="337">
      <c r="A337" t="inlineStr">
        <is>
          <t>cost / prog_care / cycle 83</t>
        </is>
      </c>
      <c r="B337" s="1" t="n">
        <v>0</v>
      </c>
      <c r="C337" s="1" t="n">
        <v>5000</v>
      </c>
      <c r="D337" s="1" t="n">
        <v>0</v>
      </c>
    </row>
    <row r="338">
      <c r="A338" t="inlineStr">
        <is>
          <t>cost / prog_care / cycle 84</t>
        </is>
      </c>
      <c r="B338" s="1" t="n">
        <v>0</v>
      </c>
      <c r="C338" s="1" t="n">
        <v>5000</v>
      </c>
      <c r="D338" s="1" t="n">
        <v>0</v>
      </c>
    </row>
    <row r="339">
      <c r="A339" t="inlineStr">
        <is>
          <t>cost / prog_care / cycle 85</t>
        </is>
      </c>
      <c r="B339" s="1" t="n">
        <v>0</v>
      </c>
      <c r="C339" s="1" t="n">
        <v>5000</v>
      </c>
      <c r="D339" s="1" t="n">
        <v>0</v>
      </c>
    </row>
    <row r="340">
      <c r="A340" t="inlineStr">
        <is>
          <t>cost / prog_care / cycle 86</t>
        </is>
      </c>
      <c r="B340" s="1" t="n">
        <v>0</v>
      </c>
      <c r="C340" s="1" t="n">
        <v>5000</v>
      </c>
      <c r="D340" s="1" t="n">
        <v>0</v>
      </c>
    </row>
    <row r="341">
      <c r="A341" t="inlineStr">
        <is>
          <t>cost / prog_care / cycle 87</t>
        </is>
      </c>
      <c r="B341" s="1" t="n">
        <v>0</v>
      </c>
      <c r="C341" s="1" t="n">
        <v>5000</v>
      </c>
      <c r="D341" s="1" t="n">
        <v>0</v>
      </c>
    </row>
    <row r="342">
      <c r="A342" t="inlineStr">
        <is>
          <t>cost / prog_care / cycle 88</t>
        </is>
      </c>
      <c r="B342" s="1" t="n">
        <v>0</v>
      </c>
      <c r="C342" s="1" t="n">
        <v>5000</v>
      </c>
      <c r="D342" s="1" t="n">
        <v>0</v>
      </c>
    </row>
    <row r="343">
      <c r="A343" t="inlineStr">
        <is>
          <t>cost / prog_care / cycle 89</t>
        </is>
      </c>
      <c r="B343" s="1" t="n">
        <v>0</v>
      </c>
      <c r="C343" s="1" t="n">
        <v>5000</v>
      </c>
      <c r="D343" s="1" t="n">
        <v>0</v>
      </c>
    </row>
    <row r="344">
      <c r="A344" t="inlineStr">
        <is>
          <t>cost / prog_care / cycle 90</t>
        </is>
      </c>
      <c r="B344" s="1" t="n">
        <v>0</v>
      </c>
      <c r="C344" s="1" t="n">
        <v>5000</v>
      </c>
      <c r="D344" s="1" t="n">
        <v>0</v>
      </c>
    </row>
    <row r="345">
      <c r="A345" t="inlineStr">
        <is>
          <t>cost / prog_care / cycle 91</t>
        </is>
      </c>
      <c r="B345" s="1" t="n">
        <v>0</v>
      </c>
      <c r="C345" s="1" t="n">
        <v>5000</v>
      </c>
      <c r="D345" s="1" t="n">
        <v>0</v>
      </c>
    </row>
    <row r="346">
      <c r="A346" t="inlineStr">
        <is>
          <t>cost / prog_care / cycle 92</t>
        </is>
      </c>
      <c r="B346" s="1" t="n">
        <v>0</v>
      </c>
      <c r="C346" s="1" t="n">
        <v>5000</v>
      </c>
      <c r="D346" s="1" t="n">
        <v>0</v>
      </c>
    </row>
    <row r="347">
      <c r="A347" t="inlineStr">
        <is>
          <t>cost / prog_care / cycle 93</t>
        </is>
      </c>
      <c r="B347" s="1" t="n">
        <v>0</v>
      </c>
      <c r="C347" s="1" t="n">
        <v>5000</v>
      </c>
      <c r="D347" s="1" t="n">
        <v>0</v>
      </c>
    </row>
    <row r="348">
      <c r="A348" t="inlineStr">
        <is>
          <t>cost / prog_care / cycle 94</t>
        </is>
      </c>
      <c r="B348" s="1" t="n">
        <v>0</v>
      </c>
      <c r="C348" s="1" t="n">
        <v>5000</v>
      </c>
      <c r="D348" s="1" t="n">
        <v>0</v>
      </c>
    </row>
    <row r="349">
      <c r="A349" t="inlineStr">
        <is>
          <t>cost / prog_care / cycle 95</t>
        </is>
      </c>
      <c r="B349" s="1" t="n">
        <v>0</v>
      </c>
      <c r="C349" s="1" t="n">
        <v>5000</v>
      </c>
      <c r="D349" s="1" t="n">
        <v>0</v>
      </c>
    </row>
    <row r="350">
      <c r="A350" t="inlineStr">
        <is>
          <t>cost / prog_care / cycle 96</t>
        </is>
      </c>
      <c r="B350" s="1" t="n">
        <v>0</v>
      </c>
      <c r="C350" s="1" t="n">
        <v>5000</v>
      </c>
      <c r="D350" s="1" t="n">
        <v>0</v>
      </c>
    </row>
    <row r="351">
      <c r="A351" t="inlineStr">
        <is>
          <t>cost / prog_care / cycle 97</t>
        </is>
      </c>
      <c r="B351" s="1" t="n">
        <v>0</v>
      </c>
      <c r="C351" s="1" t="n">
        <v>5000</v>
      </c>
      <c r="D351" s="1" t="n">
        <v>0</v>
      </c>
    </row>
    <row r="352">
      <c r="A352" t="inlineStr">
        <is>
          <t>cost / prog_care / cycle 98</t>
        </is>
      </c>
      <c r="B352" s="1" t="n">
        <v>0</v>
      </c>
      <c r="C352" s="1" t="n">
        <v>5000</v>
      </c>
      <c r="D352" s="1" t="n">
        <v>0</v>
      </c>
    </row>
    <row r="353">
      <c r="A353" t="inlineStr">
        <is>
          <t>cost / prog_care / cycle 99</t>
        </is>
      </c>
      <c r="B353" s="1" t="n">
        <v>0</v>
      </c>
      <c r="C353" s="1" t="n">
        <v>5000</v>
      </c>
      <c r="D353" s="1" t="n">
        <v>0</v>
      </c>
    </row>
    <row r="354">
      <c r="A354" t="inlineStr">
        <is>
          <t>cost / prog_care / cycle 100</t>
        </is>
      </c>
      <c r="B354" s="1" t="n">
        <v>0</v>
      </c>
      <c r="C354" s="1" t="n">
        <v>5000</v>
      </c>
      <c r="D354" s="1" t="n">
        <v>0</v>
      </c>
    </row>
    <row r="355">
      <c r="A355" t="inlineStr">
        <is>
          <t>cost / prog_care / cycle 101</t>
        </is>
      </c>
      <c r="B355" s="1" t="n">
        <v>0</v>
      </c>
      <c r="C355" s="1" t="n">
        <v>5000</v>
      </c>
      <c r="D355" s="1" t="n">
        <v>0</v>
      </c>
    </row>
    <row r="356">
      <c r="A356" t="inlineStr">
        <is>
          <t>cost / prog_care / cycle 102</t>
        </is>
      </c>
      <c r="B356" s="1" t="n">
        <v>0</v>
      </c>
      <c r="C356" s="1" t="n">
        <v>5000</v>
      </c>
      <c r="D356" s="1" t="n">
        <v>0</v>
      </c>
    </row>
    <row r="357">
      <c r="A357" t="inlineStr">
        <is>
          <t>cost / prog_care / cycle 103</t>
        </is>
      </c>
      <c r="B357" s="1" t="n">
        <v>0</v>
      </c>
      <c r="C357" s="1" t="n">
        <v>5000</v>
      </c>
      <c r="D357" s="1" t="n">
        <v>0</v>
      </c>
    </row>
    <row r="358">
      <c r="A358" t="inlineStr">
        <is>
          <t>cost / prog_care / cycle 104</t>
        </is>
      </c>
      <c r="B358" s="1" t="n">
        <v>0</v>
      </c>
      <c r="C358" s="1" t="n">
        <v>5000</v>
      </c>
      <c r="D358" s="1" t="n">
        <v>0</v>
      </c>
    </row>
    <row r="359">
      <c r="A359" t="inlineStr">
        <is>
          <t>cost / prog_care / cycle 105</t>
        </is>
      </c>
      <c r="B359" s="1" t="n">
        <v>0</v>
      </c>
      <c r="C359" s="1" t="n">
        <v>5000</v>
      </c>
      <c r="D359" s="1" t="n">
        <v>0</v>
      </c>
    </row>
    <row r="360">
      <c r="A360" t="inlineStr">
        <is>
          <t>cost / prog_care / cycle 106</t>
        </is>
      </c>
      <c r="B360" s="1" t="n">
        <v>0</v>
      </c>
      <c r="C360" s="1" t="n">
        <v>5000</v>
      </c>
      <c r="D360" s="1" t="n">
        <v>0</v>
      </c>
    </row>
    <row r="361">
      <c r="A361" t="inlineStr">
        <is>
          <t>cost / prog_care / cycle 107</t>
        </is>
      </c>
      <c r="B361" s="1" t="n">
        <v>0</v>
      </c>
      <c r="C361" s="1" t="n">
        <v>5000</v>
      </c>
      <c r="D361" s="1" t="n">
        <v>0</v>
      </c>
    </row>
    <row r="362">
      <c r="A362" t="inlineStr">
        <is>
          <t>cost / prog_care / cycle 108</t>
        </is>
      </c>
      <c r="B362" s="1" t="n">
        <v>0</v>
      </c>
      <c r="C362" s="1" t="n">
        <v>5000</v>
      </c>
      <c r="D362" s="1" t="n">
        <v>0</v>
      </c>
    </row>
    <row r="363">
      <c r="A363" t="inlineStr">
        <is>
          <t>cost / prog_care / cycle 109</t>
        </is>
      </c>
      <c r="B363" s="1" t="n">
        <v>0</v>
      </c>
      <c r="C363" s="1" t="n">
        <v>5000</v>
      </c>
      <c r="D363" s="1" t="n">
        <v>0</v>
      </c>
    </row>
    <row r="364">
      <c r="A364" t="inlineStr">
        <is>
          <t>cost / prog_care / cycle 110</t>
        </is>
      </c>
      <c r="B364" s="1" t="n">
        <v>0</v>
      </c>
      <c r="C364" s="1" t="n">
        <v>5000</v>
      </c>
      <c r="D364" s="1" t="n">
        <v>0</v>
      </c>
    </row>
    <row r="365">
      <c r="A365" t="inlineStr">
        <is>
          <t>cost / prog_care / cycle 111</t>
        </is>
      </c>
      <c r="B365" s="1" t="n">
        <v>0</v>
      </c>
      <c r="C365" s="1" t="n">
        <v>5000</v>
      </c>
      <c r="D365" s="1" t="n">
        <v>0</v>
      </c>
    </row>
    <row r="366">
      <c r="A366" t="inlineStr">
        <is>
          <t>cost / prog_care / cycle 112</t>
        </is>
      </c>
      <c r="B366" s="1" t="n">
        <v>0</v>
      </c>
      <c r="C366" s="1" t="n">
        <v>5000</v>
      </c>
      <c r="D366" s="1" t="n">
        <v>0</v>
      </c>
    </row>
    <row r="367">
      <c r="A367" t="inlineStr">
        <is>
          <t>cost / prog_care / cycle 113</t>
        </is>
      </c>
      <c r="B367" s="1" t="n">
        <v>0</v>
      </c>
      <c r="C367" s="1" t="n">
        <v>5000</v>
      </c>
      <c r="D367" s="1" t="n">
        <v>0</v>
      </c>
    </row>
    <row r="368">
      <c r="A368" t="inlineStr">
        <is>
          <t>cost / prog_care / cycle 114</t>
        </is>
      </c>
      <c r="B368" s="1" t="n">
        <v>0</v>
      </c>
      <c r="C368" s="1" t="n">
        <v>5000</v>
      </c>
      <c r="D368" s="1" t="n">
        <v>0</v>
      </c>
    </row>
    <row r="369">
      <c r="A369" t="inlineStr">
        <is>
          <t>cost / prog_care / cycle 115</t>
        </is>
      </c>
      <c r="B369" s="1" t="n">
        <v>0</v>
      </c>
      <c r="C369" s="1" t="n">
        <v>5000</v>
      </c>
      <c r="D369" s="1" t="n">
        <v>0</v>
      </c>
    </row>
    <row r="370">
      <c r="A370" t="inlineStr">
        <is>
          <t>cost / prog_care / cycle 116</t>
        </is>
      </c>
      <c r="B370" s="1" t="n">
        <v>0</v>
      </c>
      <c r="C370" s="1" t="n">
        <v>5000</v>
      </c>
      <c r="D370" s="1" t="n">
        <v>0</v>
      </c>
    </row>
    <row r="371">
      <c r="A371" t="inlineStr">
        <is>
          <t>cost / prog_care / cycle 117</t>
        </is>
      </c>
      <c r="B371" s="1" t="n">
        <v>0</v>
      </c>
      <c r="C371" s="1" t="n">
        <v>5000</v>
      </c>
      <c r="D371" s="1" t="n">
        <v>0</v>
      </c>
    </row>
    <row r="372">
      <c r="A372" t="inlineStr">
        <is>
          <t>cost / prog_care / cycle 118</t>
        </is>
      </c>
      <c r="B372" s="1" t="n">
        <v>0</v>
      </c>
      <c r="C372" s="1" t="n">
        <v>5000</v>
      </c>
      <c r="D372" s="1" t="n">
        <v>0</v>
      </c>
    </row>
    <row r="373">
      <c r="A373" t="inlineStr">
        <is>
          <t>cost / prog_care / cycle 119</t>
        </is>
      </c>
      <c r="B373" s="1" t="n">
        <v>0</v>
      </c>
      <c r="C373" s="1" t="n">
        <v>5000</v>
      </c>
      <c r="D373" s="1" t="n">
        <v>0</v>
      </c>
    </row>
    <row r="374">
      <c r="A374" t="inlineStr">
        <is>
          <t>cost / prog_care / cycle 120</t>
        </is>
      </c>
      <c r="B374" s="1" t="n">
        <v>0</v>
      </c>
      <c r="C374" s="1" t="n">
        <v>5000</v>
      </c>
      <c r="D374" s="1" t="n">
        <v>0</v>
      </c>
    </row>
    <row r="375">
      <c r="A375" t="inlineStr">
        <is>
          <t>cost / prog_care / cycle 121</t>
        </is>
      </c>
      <c r="B375" s="1" t="n">
        <v>0</v>
      </c>
      <c r="C375" s="1" t="n">
        <v>5000</v>
      </c>
      <c r="D375" s="1" t="n">
        <v>0</v>
      </c>
    </row>
    <row r="376">
      <c r="A376" t="inlineStr">
        <is>
          <t>cost / prog_care / cycle 122</t>
        </is>
      </c>
      <c r="B376" s="1" t="n">
        <v>0</v>
      </c>
      <c r="C376" s="1" t="n">
        <v>5000</v>
      </c>
      <c r="D376" s="1" t="n">
        <v>0</v>
      </c>
    </row>
    <row r="377">
      <c r="A377" t="inlineStr">
        <is>
          <t>cost / prog_care / cycle 123</t>
        </is>
      </c>
      <c r="B377" s="1" t="n">
        <v>0</v>
      </c>
      <c r="C377" s="1" t="n">
        <v>5000</v>
      </c>
      <c r="D377" s="1" t="n">
        <v>0</v>
      </c>
    </row>
    <row r="378">
      <c r="A378" t="inlineStr">
        <is>
          <t>cost / prog_care / cycle 124</t>
        </is>
      </c>
      <c r="B378" s="1" t="n">
        <v>0</v>
      </c>
      <c r="C378" s="1" t="n">
        <v>5000</v>
      </c>
      <c r="D378" s="1" t="n">
        <v>0</v>
      </c>
    </row>
    <row r="379">
      <c r="A379" t="inlineStr">
        <is>
          <t>cost / prog_care / cycle 125</t>
        </is>
      </c>
      <c r="B379" s="1" t="n">
        <v>0</v>
      </c>
      <c r="C379" s="1" t="n">
        <v>5000</v>
      </c>
      <c r="D379" s="1" t="n">
        <v>0</v>
      </c>
    </row>
    <row r="380">
      <c r="A380" t="inlineStr">
        <is>
          <t>cost / prog_care / cycle 126</t>
        </is>
      </c>
      <c r="B380" s="1" t="n">
        <v>0</v>
      </c>
      <c r="C380" s="1" t="n">
        <v>5000</v>
      </c>
      <c r="D380" s="1" t="n">
        <v>0</v>
      </c>
    </row>
    <row r="381">
      <c r="A381" t="inlineStr">
        <is>
          <t>cost / prog_care / cycle 127</t>
        </is>
      </c>
      <c r="B381" s="1" t="n">
        <v>0</v>
      </c>
      <c r="C381" s="1" t="n">
        <v>5000</v>
      </c>
      <c r="D381" s="1" t="n">
        <v>0</v>
      </c>
    </row>
    <row r="382">
      <c r="A382" t="inlineStr">
        <is>
          <t>cost / prog_care / cycle 128</t>
        </is>
      </c>
      <c r="B382" s="1" t="n">
        <v>0</v>
      </c>
      <c r="C382" s="1" t="n">
        <v>5000</v>
      </c>
      <c r="D382" s="1" t="n">
        <v>0</v>
      </c>
    </row>
    <row r="383">
      <c r="A383" t="inlineStr">
        <is>
          <t>cost / prog_care / cycle 129</t>
        </is>
      </c>
      <c r="B383" s="1" t="n">
        <v>0</v>
      </c>
      <c r="C383" s="1" t="n">
        <v>5000</v>
      </c>
      <c r="D383" s="1" t="n">
        <v>0</v>
      </c>
    </row>
    <row r="384">
      <c r="A384" t="inlineStr">
        <is>
          <t>cost / prog_care / cycle 130</t>
        </is>
      </c>
      <c r="B384" s="1" t="n">
        <v>0</v>
      </c>
      <c r="C384" s="1" t="n">
        <v>5000</v>
      </c>
      <c r="D384" s="1" t="n">
        <v>0</v>
      </c>
    </row>
    <row r="385">
      <c r="A385" t="inlineStr">
        <is>
          <t>cost / prog_care / cycle 131</t>
        </is>
      </c>
      <c r="B385" s="1" t="n">
        <v>0</v>
      </c>
      <c r="C385" s="1" t="n">
        <v>5000</v>
      </c>
      <c r="D385" s="1" t="n">
        <v>0</v>
      </c>
    </row>
    <row r="386">
      <c r="A386" t="inlineStr">
        <is>
          <t>cost / prog_care / cycle 132</t>
        </is>
      </c>
      <c r="B386" s="1" t="n">
        <v>0</v>
      </c>
      <c r="C386" s="1" t="n">
        <v>5000</v>
      </c>
      <c r="D386" s="1" t="n">
        <v>0</v>
      </c>
    </row>
    <row r="387">
      <c r="A387" t="inlineStr">
        <is>
          <t>cost / prog_care / cycle 133</t>
        </is>
      </c>
      <c r="B387" s="1" t="n">
        <v>0</v>
      </c>
      <c r="C387" s="1" t="n">
        <v>5000</v>
      </c>
      <c r="D387" s="1" t="n">
        <v>0</v>
      </c>
    </row>
    <row r="388">
      <c r="A388" t="inlineStr">
        <is>
          <t>cost / prog_care / cycle 134</t>
        </is>
      </c>
      <c r="B388" s="1" t="n">
        <v>0</v>
      </c>
      <c r="C388" s="1" t="n">
        <v>5000</v>
      </c>
      <c r="D388" s="1" t="n">
        <v>0</v>
      </c>
    </row>
    <row r="389">
      <c r="A389" t="inlineStr">
        <is>
          <t>cost / prog_care / cycle 135</t>
        </is>
      </c>
      <c r="B389" s="1" t="n">
        <v>0</v>
      </c>
      <c r="C389" s="1" t="n">
        <v>5000</v>
      </c>
      <c r="D389" s="1" t="n">
        <v>0</v>
      </c>
    </row>
    <row r="390">
      <c r="A390" t="inlineStr">
        <is>
          <t>cost / prog_care / cycle 136</t>
        </is>
      </c>
      <c r="B390" s="1" t="n">
        <v>0</v>
      </c>
      <c r="C390" s="1" t="n">
        <v>5000</v>
      </c>
      <c r="D390" s="1" t="n">
        <v>0</v>
      </c>
    </row>
    <row r="391">
      <c r="A391" t="inlineStr">
        <is>
          <t>cost / prog_care / cycle 137</t>
        </is>
      </c>
      <c r="B391" s="1" t="n">
        <v>0</v>
      </c>
      <c r="C391" s="1" t="n">
        <v>5000</v>
      </c>
      <c r="D391" s="1" t="n">
        <v>0</v>
      </c>
    </row>
    <row r="392">
      <c r="A392" t="inlineStr">
        <is>
          <t>cost / prog_care / cycle 138</t>
        </is>
      </c>
      <c r="B392" s="1" t="n">
        <v>0</v>
      </c>
      <c r="C392" s="1" t="n">
        <v>5000</v>
      </c>
      <c r="D392" s="1" t="n">
        <v>0</v>
      </c>
    </row>
    <row r="393">
      <c r="A393" t="inlineStr">
        <is>
          <t>cost / prog_care / cycle 139</t>
        </is>
      </c>
      <c r="B393" s="1" t="n">
        <v>0</v>
      </c>
      <c r="C393" s="1" t="n">
        <v>5000</v>
      </c>
      <c r="D393" s="1" t="n">
        <v>0</v>
      </c>
    </row>
    <row r="394">
      <c r="A394" t="inlineStr">
        <is>
          <t>cost / prog_care / cycle 140</t>
        </is>
      </c>
      <c r="B394" s="1" t="n">
        <v>0</v>
      </c>
      <c r="C394" s="1" t="n">
        <v>5000</v>
      </c>
      <c r="D394" s="1" t="n">
        <v>0</v>
      </c>
    </row>
    <row r="395">
      <c r="A395" t="inlineStr">
        <is>
          <t>cost / prog_care / cycle 141</t>
        </is>
      </c>
      <c r="B395" s="1" t="n">
        <v>0</v>
      </c>
      <c r="C395" s="1" t="n">
        <v>5000</v>
      </c>
      <c r="D395" s="1" t="n">
        <v>0</v>
      </c>
    </row>
    <row r="396">
      <c r="A396" t="inlineStr">
        <is>
          <t>cost / prog_care / cycle 142</t>
        </is>
      </c>
      <c r="B396" s="1" t="n">
        <v>0</v>
      </c>
      <c r="C396" s="1" t="n">
        <v>5000</v>
      </c>
      <c r="D396" s="1" t="n">
        <v>0</v>
      </c>
    </row>
    <row r="397">
      <c r="A397" t="inlineStr">
        <is>
          <t>cost / prog_care / cycle 143</t>
        </is>
      </c>
      <c r="B397" s="1" t="n">
        <v>0</v>
      </c>
      <c r="C397" s="1" t="n">
        <v>5000</v>
      </c>
      <c r="D397" s="1" t="n">
        <v>0</v>
      </c>
    </row>
    <row r="398">
      <c r="A398" t="inlineStr">
        <is>
          <t>cost / prog_care / cycle 144</t>
        </is>
      </c>
      <c r="B398" s="1" t="n">
        <v>0</v>
      </c>
      <c r="C398" s="1" t="n">
        <v>5000</v>
      </c>
      <c r="D398" s="1" t="n">
        <v>0</v>
      </c>
    </row>
    <row r="399">
      <c r="A399" t="inlineStr">
        <is>
          <t>cost / prog_care / cycle 145</t>
        </is>
      </c>
      <c r="B399" s="1" t="n">
        <v>0</v>
      </c>
      <c r="C399" s="1" t="n">
        <v>5000</v>
      </c>
      <c r="D399" s="1" t="n">
        <v>0</v>
      </c>
    </row>
    <row r="400">
      <c r="A400" t="inlineStr">
        <is>
          <t>cost / prog_care / cycle 146</t>
        </is>
      </c>
      <c r="B400" s="1" t="n">
        <v>0</v>
      </c>
      <c r="C400" s="1" t="n">
        <v>5000</v>
      </c>
      <c r="D400" s="1" t="n">
        <v>0</v>
      </c>
    </row>
    <row r="401">
      <c r="A401" t="inlineStr">
        <is>
          <t>cost / prog_care / cycle 147</t>
        </is>
      </c>
      <c r="B401" s="1" t="n">
        <v>0</v>
      </c>
      <c r="C401" s="1" t="n">
        <v>5000</v>
      </c>
      <c r="D401" s="1" t="n">
        <v>0</v>
      </c>
    </row>
    <row r="402">
      <c r="A402" t="inlineStr">
        <is>
          <t>cost / prog_care / cycle 148</t>
        </is>
      </c>
      <c r="B402" s="1" t="n">
        <v>0</v>
      </c>
      <c r="C402" s="1" t="n">
        <v>5000</v>
      </c>
      <c r="D402" s="1" t="n">
        <v>0</v>
      </c>
    </row>
    <row r="403">
      <c r="A403" t="inlineStr">
        <is>
          <t>cost / prog_care / cycle 149</t>
        </is>
      </c>
      <c r="B403" s="1" t="n">
        <v>0</v>
      </c>
      <c r="C403" s="1" t="n">
        <v>5000</v>
      </c>
      <c r="D403" s="1" t="n">
        <v>0</v>
      </c>
    </row>
    <row r="404">
      <c r="A404" t="inlineStr">
        <is>
          <t>cost / prog_care / cycle 150</t>
        </is>
      </c>
      <c r="B404" s="1" t="n">
        <v>0</v>
      </c>
      <c r="C404" s="1" t="n">
        <v>5000</v>
      </c>
      <c r="D404" s="1" t="n">
        <v>0</v>
      </c>
    </row>
    <row r="405">
      <c r="A405" t="inlineStr">
        <is>
          <t>cost / prog_care / cycle 151</t>
        </is>
      </c>
      <c r="B405" s="1" t="n">
        <v>0</v>
      </c>
      <c r="C405" s="1" t="n">
        <v>5000</v>
      </c>
      <c r="D405" s="1" t="n">
        <v>0</v>
      </c>
    </row>
    <row r="406">
      <c r="A406" t="inlineStr">
        <is>
          <t>cost / prog_care / cycle 152</t>
        </is>
      </c>
      <c r="B406" s="1" t="n">
        <v>0</v>
      </c>
      <c r="C406" s="1" t="n">
        <v>5000</v>
      </c>
      <c r="D406" s="1" t="n">
        <v>0</v>
      </c>
    </row>
    <row r="407">
      <c r="A407" t="inlineStr">
        <is>
          <t>cost / prog_care / cycle 153</t>
        </is>
      </c>
      <c r="B407" s="1" t="n">
        <v>0</v>
      </c>
      <c r="C407" s="1" t="n">
        <v>5000</v>
      </c>
      <c r="D407" s="1" t="n">
        <v>0</v>
      </c>
    </row>
    <row r="408">
      <c r="A408" t="inlineStr">
        <is>
          <t>cost / prog_care / cycle 154</t>
        </is>
      </c>
      <c r="B408" s="1" t="n">
        <v>0</v>
      </c>
      <c r="C408" s="1" t="n">
        <v>5000</v>
      </c>
      <c r="D408" s="1" t="n">
        <v>0</v>
      </c>
    </row>
    <row r="409">
      <c r="A409" t="inlineStr">
        <is>
          <t>cost / prog_care / cycle 155</t>
        </is>
      </c>
      <c r="B409" s="1" t="n">
        <v>0</v>
      </c>
      <c r="C409" s="1" t="n">
        <v>5000</v>
      </c>
      <c r="D409" s="1" t="n">
        <v>0</v>
      </c>
    </row>
    <row r="410">
      <c r="A410" t="inlineStr">
        <is>
          <t>cost / prog_care / cycle 156</t>
        </is>
      </c>
      <c r="B410" s="1" t="n">
        <v>0</v>
      </c>
      <c r="C410" s="1" t="n">
        <v>5000</v>
      </c>
      <c r="D410" s="1" t="n">
        <v>0</v>
      </c>
    </row>
    <row r="411">
      <c r="A411" t="inlineStr">
        <is>
          <t>cost / prog_care / cycle 157</t>
        </is>
      </c>
      <c r="B411" s="1" t="n">
        <v>0</v>
      </c>
      <c r="C411" s="1" t="n">
        <v>5000</v>
      </c>
      <c r="D411" s="1" t="n">
        <v>0</v>
      </c>
    </row>
    <row r="412">
      <c r="A412" t="inlineStr">
        <is>
          <t>cost / prog_care / cycle 158</t>
        </is>
      </c>
      <c r="B412" s="1" t="n">
        <v>0</v>
      </c>
      <c r="C412" s="1" t="n">
        <v>5000</v>
      </c>
      <c r="D412" s="1" t="n">
        <v>0</v>
      </c>
    </row>
    <row r="413">
      <c r="A413" t="inlineStr">
        <is>
          <t>cost / prog_care / cycle 159</t>
        </is>
      </c>
      <c r="B413" s="1" t="n">
        <v>0</v>
      </c>
      <c r="C413" s="1" t="n">
        <v>5000</v>
      </c>
      <c r="D413" s="1" t="n">
        <v>0</v>
      </c>
    </row>
    <row r="414">
      <c r="A414" t="inlineStr">
        <is>
          <t>cost / prog_care / cycle 160</t>
        </is>
      </c>
      <c r="B414" s="1" t="n">
        <v>0</v>
      </c>
      <c r="C414" s="1" t="n">
        <v>5000</v>
      </c>
      <c r="D414" s="1" t="n">
        <v>0</v>
      </c>
    </row>
    <row r="415">
      <c r="A415" t="inlineStr">
        <is>
          <t>cost / prog_care / cycle 161</t>
        </is>
      </c>
      <c r="B415" s="1" t="n">
        <v>0</v>
      </c>
      <c r="C415" s="1" t="n">
        <v>5000</v>
      </c>
      <c r="D415" s="1" t="n">
        <v>0</v>
      </c>
    </row>
    <row r="416">
      <c r="A416" t="inlineStr">
        <is>
          <t>cost / prog_care / cycle 162</t>
        </is>
      </c>
      <c r="B416" s="1" t="n">
        <v>0</v>
      </c>
      <c r="C416" s="1" t="n">
        <v>5000</v>
      </c>
      <c r="D416" s="1" t="n">
        <v>0</v>
      </c>
    </row>
    <row r="417">
      <c r="A417" t="inlineStr">
        <is>
          <t>cost / prog_care / cycle 163</t>
        </is>
      </c>
      <c r="B417" s="1" t="n">
        <v>0</v>
      </c>
      <c r="C417" s="1" t="n">
        <v>5000</v>
      </c>
      <c r="D417" s="1" t="n">
        <v>0</v>
      </c>
    </row>
    <row r="418">
      <c r="A418" t="inlineStr">
        <is>
          <t>cost / prog_care / cycle 164</t>
        </is>
      </c>
      <c r="B418" s="1" t="n">
        <v>0</v>
      </c>
      <c r="C418" s="1" t="n">
        <v>5000</v>
      </c>
      <c r="D418" s="1" t="n">
        <v>0</v>
      </c>
    </row>
    <row r="419">
      <c r="A419" t="inlineStr">
        <is>
          <t>cost / prog_care / cycle 165</t>
        </is>
      </c>
      <c r="B419" s="1" t="n">
        <v>0</v>
      </c>
      <c r="C419" s="1" t="n">
        <v>5000</v>
      </c>
      <c r="D419" s="1" t="n">
        <v>0</v>
      </c>
    </row>
    <row r="420">
      <c r="A420" t="inlineStr">
        <is>
          <t>cost / prog_care / cycle 166</t>
        </is>
      </c>
      <c r="B420" s="1" t="n">
        <v>0</v>
      </c>
      <c r="C420" s="1" t="n">
        <v>5000</v>
      </c>
      <c r="D420" s="1" t="n">
        <v>0</v>
      </c>
    </row>
    <row r="421">
      <c r="A421" t="inlineStr">
        <is>
          <t>cost / prog_care / cycle 167</t>
        </is>
      </c>
      <c r="B421" s="1" t="n">
        <v>0</v>
      </c>
      <c r="C421" s="1" t="n">
        <v>5000</v>
      </c>
      <c r="D421" s="1" t="n">
        <v>0</v>
      </c>
    </row>
    <row r="422">
      <c r="A422" t="inlineStr">
        <is>
          <t>cost / prog_care / cycle 168</t>
        </is>
      </c>
      <c r="B422" s="1" t="n">
        <v>0</v>
      </c>
      <c r="C422" s="1" t="n">
        <v>5000</v>
      </c>
      <c r="D422" s="1" t="n">
        <v>0</v>
      </c>
    </row>
    <row r="423">
      <c r="A423" t="inlineStr">
        <is>
          <t>cost / prog_care / cycle 169</t>
        </is>
      </c>
      <c r="B423" s="1" t="n">
        <v>0</v>
      </c>
      <c r="C423" s="1" t="n">
        <v>5000</v>
      </c>
      <c r="D423" s="1" t="n">
        <v>0</v>
      </c>
    </row>
    <row r="424">
      <c r="A424" t="inlineStr">
        <is>
          <t>cost / prog_care / cycle 170</t>
        </is>
      </c>
      <c r="B424" s="1" t="n">
        <v>0</v>
      </c>
      <c r="C424" s="1" t="n">
        <v>5000</v>
      </c>
      <c r="D424" s="1" t="n">
        <v>0</v>
      </c>
    </row>
    <row r="425">
      <c r="A425" t="inlineStr">
        <is>
          <t>cost / prog_care / cycle 171</t>
        </is>
      </c>
      <c r="B425" s="1" t="n">
        <v>0</v>
      </c>
      <c r="C425" s="1" t="n">
        <v>5000</v>
      </c>
      <c r="D425" s="1" t="n">
        <v>0</v>
      </c>
    </row>
    <row r="426">
      <c r="A426" t="inlineStr">
        <is>
          <t>cost / prog_care / cycle 172</t>
        </is>
      </c>
      <c r="B426" s="1" t="n">
        <v>0</v>
      </c>
      <c r="C426" s="1" t="n">
        <v>5000</v>
      </c>
      <c r="D426" s="1" t="n">
        <v>0</v>
      </c>
    </row>
    <row r="427">
      <c r="A427" t="inlineStr">
        <is>
          <t>cost / prog_care / cycle 173</t>
        </is>
      </c>
      <c r="B427" s="1" t="n">
        <v>0</v>
      </c>
      <c r="C427" s="1" t="n">
        <v>5000</v>
      </c>
      <c r="D427" s="1" t="n">
        <v>0</v>
      </c>
    </row>
    <row r="428">
      <c r="A428" t="inlineStr">
        <is>
          <t>cost / prog_care / cycle 174</t>
        </is>
      </c>
      <c r="B428" s="1" t="n">
        <v>0</v>
      </c>
      <c r="C428" s="1" t="n">
        <v>5000</v>
      </c>
      <c r="D428" s="1" t="n">
        <v>0</v>
      </c>
    </row>
    <row r="429">
      <c r="A429" t="inlineStr">
        <is>
          <t>cost / prog_care / cycle 175</t>
        </is>
      </c>
      <c r="B429" s="1" t="n">
        <v>0</v>
      </c>
      <c r="C429" s="1" t="n">
        <v>5000</v>
      </c>
      <c r="D429" s="1" t="n">
        <v>0</v>
      </c>
    </row>
    <row r="430">
      <c r="A430" t="inlineStr">
        <is>
          <t>cost / prog_care / cycle 176</t>
        </is>
      </c>
      <c r="B430" s="1" t="n">
        <v>0</v>
      </c>
      <c r="C430" s="1" t="n">
        <v>5000</v>
      </c>
      <c r="D430" s="1" t="n">
        <v>0</v>
      </c>
    </row>
    <row r="431">
      <c r="A431" t="inlineStr">
        <is>
          <t>cost / prog_care / cycle 177</t>
        </is>
      </c>
      <c r="B431" s="1" t="n">
        <v>0</v>
      </c>
      <c r="C431" s="1" t="n">
        <v>5000</v>
      </c>
      <c r="D431" s="1" t="n">
        <v>0</v>
      </c>
    </row>
    <row r="432">
      <c r="A432" t="inlineStr">
        <is>
          <t>cost / prog_care / cycle 178</t>
        </is>
      </c>
      <c r="B432" s="1" t="n">
        <v>0</v>
      </c>
      <c r="C432" s="1" t="n">
        <v>5000</v>
      </c>
      <c r="D432" s="1" t="n">
        <v>0</v>
      </c>
    </row>
    <row r="433">
      <c r="A433" t="inlineStr">
        <is>
          <t>cost / prog_care / cycle 179</t>
        </is>
      </c>
      <c r="B433" s="1" t="n">
        <v>0</v>
      </c>
      <c r="C433" s="1" t="n">
        <v>5000</v>
      </c>
      <c r="D433" s="1" t="n">
        <v>0</v>
      </c>
    </row>
    <row r="434">
      <c r="A434" t="inlineStr">
        <is>
          <t>cost / prog_care / cycle 180</t>
        </is>
      </c>
      <c r="B434" s="1" t="n">
        <v>0</v>
      </c>
      <c r="C434" s="1" t="n">
        <v>5000</v>
      </c>
      <c r="D434" s="1" t="n">
        <v>0</v>
      </c>
    </row>
    <row r="435">
      <c r="A435" t="inlineStr">
        <is>
          <t>cost / prog_care / cycle 181</t>
        </is>
      </c>
      <c r="B435" s="1" t="n">
        <v>0</v>
      </c>
      <c r="C435" s="1" t="n">
        <v>5000</v>
      </c>
      <c r="D435" s="1" t="n">
        <v>0</v>
      </c>
    </row>
    <row r="436">
      <c r="A436" t="inlineStr">
        <is>
          <t>cost / prog_care / cycle 182</t>
        </is>
      </c>
      <c r="B436" s="1" t="n">
        <v>0</v>
      </c>
      <c r="C436" s="1" t="n">
        <v>5000</v>
      </c>
      <c r="D436" s="1" t="n">
        <v>0</v>
      </c>
    </row>
    <row r="437">
      <c r="A437" t="inlineStr">
        <is>
          <t>cost / prog_care / cycle 183</t>
        </is>
      </c>
      <c r="B437" s="1" t="n">
        <v>0</v>
      </c>
      <c r="C437" s="1" t="n">
        <v>5000</v>
      </c>
      <c r="D437" s="1" t="n">
        <v>0</v>
      </c>
    </row>
    <row r="438">
      <c r="A438" t="inlineStr">
        <is>
          <t>cost / prog_care / cycle 184</t>
        </is>
      </c>
      <c r="B438" s="1" t="n">
        <v>0</v>
      </c>
      <c r="C438" s="1" t="n">
        <v>5000</v>
      </c>
      <c r="D438" s="1" t="n">
        <v>0</v>
      </c>
    </row>
    <row r="439">
      <c r="A439" t="inlineStr">
        <is>
          <t>cost / prog_care / cycle 185</t>
        </is>
      </c>
      <c r="B439" s="1" t="n">
        <v>0</v>
      </c>
      <c r="C439" s="1" t="n">
        <v>5000</v>
      </c>
      <c r="D439" s="1" t="n">
        <v>0</v>
      </c>
    </row>
    <row r="440">
      <c r="A440" t="inlineStr">
        <is>
          <t>cost / prog_care / cycle 186</t>
        </is>
      </c>
      <c r="B440" s="1" t="n">
        <v>0</v>
      </c>
      <c r="C440" s="1" t="n">
        <v>5000</v>
      </c>
      <c r="D440" s="1" t="n">
        <v>0</v>
      </c>
    </row>
    <row r="441">
      <c r="A441" t="inlineStr">
        <is>
          <t>cost / prog_care / cycle 187</t>
        </is>
      </c>
      <c r="B441" s="1" t="n">
        <v>0</v>
      </c>
      <c r="C441" s="1" t="n">
        <v>5000</v>
      </c>
      <c r="D441" s="1" t="n">
        <v>0</v>
      </c>
    </row>
    <row r="442">
      <c r="A442" t="inlineStr">
        <is>
          <t>cost / prog_care / cycle 188</t>
        </is>
      </c>
      <c r="B442" s="1" t="n">
        <v>0</v>
      </c>
      <c r="C442" s="1" t="n">
        <v>5000</v>
      </c>
      <c r="D442" s="1" t="n">
        <v>0</v>
      </c>
    </row>
    <row r="443">
      <c r="A443" t="inlineStr">
        <is>
          <t>cost / prog_care / cycle 189</t>
        </is>
      </c>
      <c r="B443" s="1" t="n">
        <v>0</v>
      </c>
      <c r="C443" s="1" t="n">
        <v>5000</v>
      </c>
      <c r="D443" s="1" t="n">
        <v>0</v>
      </c>
    </row>
    <row r="444">
      <c r="A444" t="inlineStr">
        <is>
          <t>cost / prog_care / cycle 190</t>
        </is>
      </c>
      <c r="B444" s="1" t="n">
        <v>0</v>
      </c>
      <c r="C444" s="1" t="n">
        <v>5000</v>
      </c>
      <c r="D444" s="1" t="n">
        <v>0</v>
      </c>
    </row>
    <row r="445">
      <c r="A445" t="inlineStr">
        <is>
          <t>cost / prog_care / cycle 191</t>
        </is>
      </c>
      <c r="B445" s="1" t="n">
        <v>0</v>
      </c>
      <c r="C445" s="1" t="n">
        <v>5000</v>
      </c>
      <c r="D445" s="1" t="n">
        <v>0</v>
      </c>
    </row>
    <row r="446">
      <c r="A446" t="inlineStr">
        <is>
          <t>cost / prog_care / cycle 192</t>
        </is>
      </c>
      <c r="B446" s="1" t="n">
        <v>0</v>
      </c>
      <c r="C446" s="1" t="n">
        <v>5000</v>
      </c>
      <c r="D446" s="1" t="n">
        <v>0</v>
      </c>
    </row>
    <row r="447">
      <c r="A447" t="inlineStr">
        <is>
          <t>cost / prog_care / cycle 193</t>
        </is>
      </c>
      <c r="B447" s="1" t="n">
        <v>0</v>
      </c>
      <c r="C447" s="1" t="n">
        <v>5000</v>
      </c>
      <c r="D447" s="1" t="n">
        <v>0</v>
      </c>
    </row>
    <row r="448">
      <c r="A448" t="inlineStr">
        <is>
          <t>cost / prog_care / cycle 194</t>
        </is>
      </c>
      <c r="B448" s="1" t="n">
        <v>0</v>
      </c>
      <c r="C448" s="1" t="n">
        <v>5000</v>
      </c>
      <c r="D448" s="1" t="n">
        <v>0</v>
      </c>
    </row>
    <row r="449">
      <c r="A449" t="inlineStr">
        <is>
          <t>cost / prog_care / cycle 195</t>
        </is>
      </c>
      <c r="B449" s="1" t="n">
        <v>0</v>
      </c>
      <c r="C449" s="1" t="n">
        <v>5000</v>
      </c>
      <c r="D449" s="1" t="n">
        <v>0</v>
      </c>
    </row>
    <row r="450">
      <c r="A450" t="inlineStr">
        <is>
          <t>cost / prog_care / cycle 196</t>
        </is>
      </c>
      <c r="B450" s="1" t="n">
        <v>0</v>
      </c>
      <c r="C450" s="1" t="n">
        <v>5000</v>
      </c>
      <c r="D450" s="1" t="n">
        <v>0</v>
      </c>
    </row>
    <row r="451">
      <c r="A451" t="inlineStr">
        <is>
          <t>cost / prog_care / cycle 197</t>
        </is>
      </c>
      <c r="B451" s="1" t="n">
        <v>0</v>
      </c>
      <c r="C451" s="1" t="n">
        <v>5000</v>
      </c>
      <c r="D451" s="1" t="n">
        <v>0</v>
      </c>
    </row>
    <row r="452">
      <c r="A452" t="inlineStr">
        <is>
          <t>cost / prog_care / cycle 198</t>
        </is>
      </c>
      <c r="B452" s="1" t="n">
        <v>0</v>
      </c>
      <c r="C452" s="1" t="n">
        <v>5000</v>
      </c>
      <c r="D452" s="1" t="n">
        <v>0</v>
      </c>
    </row>
    <row r="453">
      <c r="A453" t="inlineStr">
        <is>
          <t>cost / prog_care / cycle 199</t>
        </is>
      </c>
      <c r="B453" s="1" t="n">
        <v>0</v>
      </c>
      <c r="C453" s="1" t="n">
        <v>5000</v>
      </c>
      <c r="D453" s="1" t="n">
        <v>0</v>
      </c>
    </row>
    <row r="454">
      <c r="A454" t="inlineStr">
        <is>
          <t>cost / prog_care / cycle 200</t>
        </is>
      </c>
      <c r="B454" s="1" t="n">
        <v>0</v>
      </c>
      <c r="C454" s="1" t="n">
        <v>5000</v>
      </c>
      <c r="D454" s="1" t="n">
        <v>0</v>
      </c>
    </row>
    <row r="455">
      <c r="A455" t="inlineStr">
        <is>
          <t>cost / prog_care / cycle 201</t>
        </is>
      </c>
      <c r="B455" s="1" t="n">
        <v>0</v>
      </c>
      <c r="C455" s="1" t="n">
        <v>5000</v>
      </c>
      <c r="D455" s="1" t="n">
        <v>0</v>
      </c>
    </row>
    <row r="456">
      <c r="A456" t="inlineStr">
        <is>
          <t>cost / prog_care / cycle 202</t>
        </is>
      </c>
      <c r="B456" s="1" t="n">
        <v>0</v>
      </c>
      <c r="C456" s="1" t="n">
        <v>5000</v>
      </c>
      <c r="D456" s="1" t="n">
        <v>0</v>
      </c>
    </row>
    <row r="457">
      <c r="A457" t="inlineStr">
        <is>
          <t>cost / prog_care / cycle 203</t>
        </is>
      </c>
      <c r="B457" s="1" t="n">
        <v>0</v>
      </c>
      <c r="C457" s="1" t="n">
        <v>5000</v>
      </c>
      <c r="D457" s="1" t="n">
        <v>0</v>
      </c>
    </row>
    <row r="458">
      <c r="A458" t="inlineStr">
        <is>
          <t>cost / prog_care / cycle 204</t>
        </is>
      </c>
      <c r="B458" s="1" t="n">
        <v>0</v>
      </c>
      <c r="C458" s="1" t="n">
        <v>5000</v>
      </c>
      <c r="D458" s="1" t="n">
        <v>0</v>
      </c>
    </row>
    <row r="459">
      <c r="A459" t="inlineStr">
        <is>
          <t>cost / prog_care / cycle 205</t>
        </is>
      </c>
      <c r="B459" s="1" t="n">
        <v>0</v>
      </c>
      <c r="C459" s="1" t="n">
        <v>5000</v>
      </c>
      <c r="D459" s="1" t="n">
        <v>0</v>
      </c>
    </row>
    <row r="460">
      <c r="A460" t="inlineStr">
        <is>
          <t>cost / prog_care / cycle 206</t>
        </is>
      </c>
      <c r="B460" s="1" t="n">
        <v>0</v>
      </c>
      <c r="C460" s="1" t="n">
        <v>5000</v>
      </c>
      <c r="D460" s="1" t="n">
        <v>0</v>
      </c>
    </row>
    <row r="461">
      <c r="A461" t="inlineStr">
        <is>
          <t>cost / prog_care / cycle 207</t>
        </is>
      </c>
      <c r="B461" s="1" t="n">
        <v>0</v>
      </c>
      <c r="C461" s="1" t="n">
        <v>5000</v>
      </c>
      <c r="D461" s="1" t="n">
        <v>0</v>
      </c>
    </row>
    <row r="462">
      <c r="A462" t="inlineStr">
        <is>
          <t>cost / prog_care / cycle 208</t>
        </is>
      </c>
      <c r="B462" s="1" t="n">
        <v>0</v>
      </c>
      <c r="C462" s="1" t="n">
        <v>5000</v>
      </c>
      <c r="D462" s="1" t="n">
        <v>0</v>
      </c>
    </row>
    <row r="463">
      <c r="A463" t="inlineStr">
        <is>
          <t>cost / prog_care / cycle 209</t>
        </is>
      </c>
      <c r="B463" s="1" t="n">
        <v>0</v>
      </c>
      <c r="C463" s="1" t="n">
        <v>5000</v>
      </c>
      <c r="D463" s="1" t="n">
        <v>0</v>
      </c>
    </row>
    <row r="464">
      <c r="A464" t="inlineStr">
        <is>
          <t>cost / prog_care / cycle 210</t>
        </is>
      </c>
      <c r="B464" s="1" t="n">
        <v>0</v>
      </c>
      <c r="C464" s="1" t="n">
        <v>5000</v>
      </c>
      <c r="D464" s="1" t="n">
        <v>0</v>
      </c>
    </row>
    <row r="465">
      <c r="A465" t="inlineStr">
        <is>
          <t>cost / prog_care / cycle 211</t>
        </is>
      </c>
      <c r="B465" s="1" t="n">
        <v>0</v>
      </c>
      <c r="C465" s="1" t="n">
        <v>5000</v>
      </c>
      <c r="D465" s="1" t="n">
        <v>0</v>
      </c>
    </row>
    <row r="466">
      <c r="A466" t="inlineStr">
        <is>
          <t>cost / prog_care / cycle 212</t>
        </is>
      </c>
      <c r="B466" s="1" t="n">
        <v>0</v>
      </c>
      <c r="C466" s="1" t="n">
        <v>5000</v>
      </c>
      <c r="D466" s="1" t="n">
        <v>0</v>
      </c>
    </row>
    <row r="467">
      <c r="A467" t="inlineStr">
        <is>
          <t>cost / prog_care / cycle 213</t>
        </is>
      </c>
      <c r="B467" s="1" t="n">
        <v>0</v>
      </c>
      <c r="C467" s="1" t="n">
        <v>5000</v>
      </c>
      <c r="D467" s="1" t="n">
        <v>0</v>
      </c>
    </row>
    <row r="468">
      <c r="A468" t="inlineStr">
        <is>
          <t>cost / prog_care / cycle 214</t>
        </is>
      </c>
      <c r="B468" s="1" t="n">
        <v>0</v>
      </c>
      <c r="C468" s="1" t="n">
        <v>5000</v>
      </c>
      <c r="D468" s="1" t="n">
        <v>0</v>
      </c>
    </row>
    <row r="469">
      <c r="A469" t="inlineStr">
        <is>
          <t>cost / prog_care / cycle 215</t>
        </is>
      </c>
      <c r="B469" s="1" t="n">
        <v>0</v>
      </c>
      <c r="C469" s="1" t="n">
        <v>5000</v>
      </c>
      <c r="D469" s="1" t="n">
        <v>0</v>
      </c>
    </row>
    <row r="470">
      <c r="A470" t="inlineStr">
        <is>
          <t>cost / prog_care / cycle 216</t>
        </is>
      </c>
      <c r="B470" s="1" t="n">
        <v>0</v>
      </c>
      <c r="C470" s="1" t="n">
        <v>5000</v>
      </c>
      <c r="D470" s="1" t="n">
        <v>0</v>
      </c>
    </row>
    <row r="471">
      <c r="A471" t="inlineStr">
        <is>
          <t>cost / prog_care / cycle 217</t>
        </is>
      </c>
      <c r="B471" s="1" t="n">
        <v>0</v>
      </c>
      <c r="C471" s="1" t="n">
        <v>5000</v>
      </c>
      <c r="D471" s="1" t="n">
        <v>0</v>
      </c>
    </row>
    <row r="472">
      <c r="A472" t="inlineStr">
        <is>
          <t>cost / prog_care / cycle 218</t>
        </is>
      </c>
      <c r="B472" s="1" t="n">
        <v>0</v>
      </c>
      <c r="C472" s="1" t="n">
        <v>5000</v>
      </c>
      <c r="D472" s="1" t="n">
        <v>0</v>
      </c>
    </row>
    <row r="473">
      <c r="A473" t="inlineStr">
        <is>
          <t>cost / prog_care / cycle 219</t>
        </is>
      </c>
      <c r="B473" s="1" t="n">
        <v>0</v>
      </c>
      <c r="C473" s="1" t="n">
        <v>5000</v>
      </c>
      <c r="D473" s="1" t="n">
        <v>0</v>
      </c>
    </row>
    <row r="474">
      <c r="A474" t="inlineStr">
        <is>
          <t>cost / prog_care / cycle 220</t>
        </is>
      </c>
      <c r="B474" s="1" t="n">
        <v>0</v>
      </c>
      <c r="C474" s="1" t="n">
        <v>5000</v>
      </c>
      <c r="D474" s="1" t="n">
        <v>0</v>
      </c>
    </row>
    <row r="475">
      <c r="A475" t="inlineStr">
        <is>
          <t>cost / prog_care / cycle 221</t>
        </is>
      </c>
      <c r="B475" s="1" t="n">
        <v>0</v>
      </c>
      <c r="C475" s="1" t="n">
        <v>5000</v>
      </c>
      <c r="D475" s="1" t="n">
        <v>0</v>
      </c>
    </row>
    <row r="476">
      <c r="A476" t="inlineStr">
        <is>
          <t>cost / prog_care / cycle 222</t>
        </is>
      </c>
      <c r="B476" s="1" t="n">
        <v>0</v>
      </c>
      <c r="C476" s="1" t="n">
        <v>5000</v>
      </c>
      <c r="D476" s="1" t="n">
        <v>0</v>
      </c>
    </row>
    <row r="477">
      <c r="A477" t="inlineStr">
        <is>
          <t>cost / prog_care / cycle 223</t>
        </is>
      </c>
      <c r="B477" s="1" t="n">
        <v>0</v>
      </c>
      <c r="C477" s="1" t="n">
        <v>5000</v>
      </c>
      <c r="D477" s="1" t="n">
        <v>0</v>
      </c>
    </row>
    <row r="478">
      <c r="A478" t="inlineStr">
        <is>
          <t>cost / prog_care / cycle 224</t>
        </is>
      </c>
      <c r="B478" s="1" t="n">
        <v>0</v>
      </c>
      <c r="C478" s="1" t="n">
        <v>5000</v>
      </c>
      <c r="D478" s="1" t="n">
        <v>0</v>
      </c>
    </row>
    <row r="479">
      <c r="A479" t="inlineStr">
        <is>
          <t>cost / prog_care / cycle 225</t>
        </is>
      </c>
      <c r="B479" s="1" t="n">
        <v>0</v>
      </c>
      <c r="C479" s="1" t="n">
        <v>5000</v>
      </c>
      <c r="D479" s="1" t="n">
        <v>0</v>
      </c>
    </row>
    <row r="480">
      <c r="A480" t="inlineStr">
        <is>
          <t>cost / prog_care / cycle 226</t>
        </is>
      </c>
      <c r="B480" s="1" t="n">
        <v>0</v>
      </c>
      <c r="C480" s="1" t="n">
        <v>5000</v>
      </c>
      <c r="D480" s="1" t="n">
        <v>0</v>
      </c>
    </row>
    <row r="481">
      <c r="A481" t="inlineStr">
        <is>
          <t>cost / prog_care / cycle 227</t>
        </is>
      </c>
      <c r="B481" s="1" t="n">
        <v>0</v>
      </c>
      <c r="C481" s="1" t="n">
        <v>5000</v>
      </c>
      <c r="D481" s="1" t="n">
        <v>0</v>
      </c>
    </row>
    <row r="482">
      <c r="A482" t="inlineStr">
        <is>
          <t>cost / prog_care / cycle 228</t>
        </is>
      </c>
      <c r="B482" s="1" t="n">
        <v>0</v>
      </c>
      <c r="C482" s="1" t="n">
        <v>5000</v>
      </c>
      <c r="D482" s="1" t="n">
        <v>0</v>
      </c>
    </row>
    <row r="483">
      <c r="A483" t="inlineStr">
        <is>
          <t>cost / prog_care / cycle 229</t>
        </is>
      </c>
      <c r="B483" s="1" t="n">
        <v>0</v>
      </c>
      <c r="C483" s="1" t="n">
        <v>5000</v>
      </c>
      <c r="D483" s="1" t="n">
        <v>0</v>
      </c>
    </row>
    <row r="484">
      <c r="A484" t="inlineStr">
        <is>
          <t>cost / prog_care / cycle 230</t>
        </is>
      </c>
      <c r="B484" s="1" t="n">
        <v>0</v>
      </c>
      <c r="C484" s="1" t="n">
        <v>5000</v>
      </c>
      <c r="D484" s="1" t="n">
        <v>0</v>
      </c>
    </row>
    <row r="485">
      <c r="A485" t="inlineStr">
        <is>
          <t>cost / prog_care / cycle 231</t>
        </is>
      </c>
      <c r="B485" s="1" t="n">
        <v>0</v>
      </c>
      <c r="C485" s="1" t="n">
        <v>5000</v>
      </c>
      <c r="D485" s="1" t="n">
        <v>0</v>
      </c>
    </row>
    <row r="486">
      <c r="A486" t="inlineStr">
        <is>
          <t>cost / prog_care / cycle 232</t>
        </is>
      </c>
      <c r="B486" s="1" t="n">
        <v>0</v>
      </c>
      <c r="C486" s="1" t="n">
        <v>5000</v>
      </c>
      <c r="D486" s="1" t="n">
        <v>0</v>
      </c>
    </row>
    <row r="487">
      <c r="A487" t="inlineStr">
        <is>
          <t>cost / prog_care / cycle 233</t>
        </is>
      </c>
      <c r="B487" s="1" t="n">
        <v>0</v>
      </c>
      <c r="C487" s="1" t="n">
        <v>5000</v>
      </c>
      <c r="D487" s="1" t="n">
        <v>0</v>
      </c>
    </row>
    <row r="488">
      <c r="A488" t="inlineStr">
        <is>
          <t>cost / prog_care / cycle 234</t>
        </is>
      </c>
      <c r="B488" s="1" t="n">
        <v>0</v>
      </c>
      <c r="C488" s="1" t="n">
        <v>5000</v>
      </c>
      <c r="D488" s="1" t="n">
        <v>0</v>
      </c>
    </row>
    <row r="489">
      <c r="A489" t="inlineStr">
        <is>
          <t>cost / prog_care / cycle 235</t>
        </is>
      </c>
      <c r="B489" s="1" t="n">
        <v>0</v>
      </c>
      <c r="C489" s="1" t="n">
        <v>5000</v>
      </c>
      <c r="D489" s="1" t="n">
        <v>0</v>
      </c>
    </row>
    <row r="490">
      <c r="A490" t="inlineStr">
        <is>
          <t>cost / prog_care / cycle 236</t>
        </is>
      </c>
      <c r="B490" s="1" t="n">
        <v>0</v>
      </c>
      <c r="C490" s="1" t="n">
        <v>5000</v>
      </c>
      <c r="D490" s="1" t="n">
        <v>0</v>
      </c>
    </row>
    <row r="491">
      <c r="A491" t="inlineStr">
        <is>
          <t>cost / prog_care / cycle 237</t>
        </is>
      </c>
      <c r="B491" s="1" t="n">
        <v>0</v>
      </c>
      <c r="C491" s="1" t="n">
        <v>5000</v>
      </c>
      <c r="D491" s="1" t="n">
        <v>0</v>
      </c>
    </row>
    <row r="492">
      <c r="A492" t="inlineStr">
        <is>
          <t>cost / prog_care / cycle 238</t>
        </is>
      </c>
      <c r="B492" s="1" t="n">
        <v>0</v>
      </c>
      <c r="C492" s="1" t="n">
        <v>5000</v>
      </c>
      <c r="D492" s="1" t="n">
        <v>0</v>
      </c>
    </row>
    <row r="493">
      <c r="A493" t="inlineStr">
        <is>
          <t>cost / prog_care / cycle 239</t>
        </is>
      </c>
      <c r="B493" s="1" t="n">
        <v>0</v>
      </c>
      <c r="C493" s="1" t="n">
        <v>5000</v>
      </c>
      <c r="D493" s="1" t="n">
        <v>0</v>
      </c>
    </row>
    <row r="494">
      <c r="A494" t="inlineStr">
        <is>
          <t>cost / prog_care / cycle 240</t>
        </is>
      </c>
      <c r="B494" s="1" t="n">
        <v>0</v>
      </c>
      <c r="C494" s="1" t="n">
        <v>5000</v>
      </c>
      <c r="D494" s="1" t="n">
        <v>0</v>
      </c>
    </row>
    <row r="495">
      <c r="A495" t="inlineStr">
        <is>
          <t>cost / bsc / cycle 1</t>
        </is>
      </c>
      <c r="B495" s="1" t="n">
        <v>1500</v>
      </c>
      <c r="C495" s="1" t="n">
        <v>1500</v>
      </c>
      <c r="D495" s="1" t="n">
        <v>0</v>
      </c>
    </row>
    <row r="496">
      <c r="A496" t="inlineStr">
        <is>
          <t>cost / bsc / cycle 2</t>
        </is>
      </c>
      <c r="B496" s="1" t="n">
        <v>1500</v>
      </c>
      <c r="C496" s="1" t="n">
        <v>1500</v>
      </c>
      <c r="D496" s="1" t="n">
        <v>0</v>
      </c>
    </row>
    <row r="497">
      <c r="A497" t="inlineStr">
        <is>
          <t>cost / bsc / cycle 3</t>
        </is>
      </c>
      <c r="B497" s="1" t="n">
        <v>1500</v>
      </c>
      <c r="C497" s="1" t="n">
        <v>1500</v>
      </c>
      <c r="D497" s="1" t="n">
        <v>0</v>
      </c>
    </row>
    <row r="498">
      <c r="A498" t="inlineStr">
        <is>
          <t>cost / bsc / cycle 4</t>
        </is>
      </c>
      <c r="B498" s="1" t="n">
        <v>1500</v>
      </c>
      <c r="C498" s="1" t="n">
        <v>1500</v>
      </c>
      <c r="D498" s="1" t="n">
        <v>0</v>
      </c>
    </row>
    <row r="499">
      <c r="A499" t="inlineStr">
        <is>
          <t>cost / bsc / cycle 5</t>
        </is>
      </c>
      <c r="B499" s="1" t="n">
        <v>1500</v>
      </c>
      <c r="C499" s="1" t="n">
        <v>1500</v>
      </c>
      <c r="D499" s="1" t="n">
        <v>0</v>
      </c>
    </row>
    <row r="500">
      <c r="A500" t="inlineStr">
        <is>
          <t>cost / bsc / cycle 6</t>
        </is>
      </c>
      <c r="B500" s="1" t="n">
        <v>1500</v>
      </c>
      <c r="C500" s="1" t="n">
        <v>1500</v>
      </c>
      <c r="D500" s="1" t="n">
        <v>0</v>
      </c>
    </row>
    <row r="501">
      <c r="A501" t="inlineStr">
        <is>
          <t>cost / bsc / cycle 7</t>
        </is>
      </c>
      <c r="B501" s="1" t="n">
        <v>1500</v>
      </c>
      <c r="C501" s="1" t="n">
        <v>1500</v>
      </c>
      <c r="D501" s="1" t="n">
        <v>0</v>
      </c>
    </row>
    <row r="502">
      <c r="A502" t="inlineStr">
        <is>
          <t>cost / bsc / cycle 8</t>
        </is>
      </c>
      <c r="B502" s="1" t="n">
        <v>1500</v>
      </c>
      <c r="C502" s="1" t="n">
        <v>1500</v>
      </c>
      <c r="D502" s="1" t="n">
        <v>0</v>
      </c>
    </row>
    <row r="503">
      <c r="A503" t="inlineStr">
        <is>
          <t>cost / bsc / cycle 9</t>
        </is>
      </c>
      <c r="B503" s="1" t="n">
        <v>1500</v>
      </c>
      <c r="C503" s="1" t="n">
        <v>1500</v>
      </c>
      <c r="D503" s="1" t="n">
        <v>0</v>
      </c>
    </row>
    <row r="504">
      <c r="A504" t="inlineStr">
        <is>
          <t>cost / bsc / cycle 10</t>
        </is>
      </c>
      <c r="B504" s="1" t="n">
        <v>1500</v>
      </c>
      <c r="C504" s="1" t="n">
        <v>1500</v>
      </c>
      <c r="D504" s="1" t="n">
        <v>0</v>
      </c>
    </row>
    <row r="505">
      <c r="A505" t="inlineStr">
        <is>
          <t>cost / bsc / cycle 11</t>
        </is>
      </c>
      <c r="B505" s="1" t="n">
        <v>1500</v>
      </c>
      <c r="C505" s="1" t="n">
        <v>1500</v>
      </c>
      <c r="D505" s="1" t="n">
        <v>0</v>
      </c>
    </row>
    <row r="506">
      <c r="A506" t="inlineStr">
        <is>
          <t>cost / bsc / cycle 12</t>
        </is>
      </c>
      <c r="B506" s="1" t="n">
        <v>1500</v>
      </c>
      <c r="C506" s="1" t="n">
        <v>1500</v>
      </c>
      <c r="D506" s="1" t="n">
        <v>0</v>
      </c>
    </row>
    <row r="507">
      <c r="A507" t="inlineStr">
        <is>
          <t>cost / bsc / cycle 13</t>
        </is>
      </c>
      <c r="B507" s="1" t="n">
        <v>1500</v>
      </c>
      <c r="C507" s="1" t="n">
        <v>1500</v>
      </c>
      <c r="D507" s="1" t="n">
        <v>0</v>
      </c>
    </row>
    <row r="508">
      <c r="A508" t="inlineStr">
        <is>
          <t>cost / bsc / cycle 14</t>
        </is>
      </c>
      <c r="B508" s="1" t="n">
        <v>1500</v>
      </c>
      <c r="C508" s="1" t="n">
        <v>1500</v>
      </c>
      <c r="D508" s="1" t="n">
        <v>0</v>
      </c>
    </row>
    <row r="509">
      <c r="A509" t="inlineStr">
        <is>
          <t>cost / bsc / cycle 15</t>
        </is>
      </c>
      <c r="B509" s="1" t="n">
        <v>1500</v>
      </c>
      <c r="C509" s="1" t="n">
        <v>1500</v>
      </c>
      <c r="D509" s="1" t="n">
        <v>0</v>
      </c>
    </row>
    <row r="510">
      <c r="A510" t="inlineStr">
        <is>
          <t>cost / bsc / cycle 16</t>
        </is>
      </c>
      <c r="B510" s="1" t="n">
        <v>1500</v>
      </c>
      <c r="C510" s="1" t="n">
        <v>1500</v>
      </c>
      <c r="D510" s="1" t="n">
        <v>0</v>
      </c>
    </row>
    <row r="511">
      <c r="A511" t="inlineStr">
        <is>
          <t>cost / bsc / cycle 17</t>
        </is>
      </c>
      <c r="B511" s="1" t="n">
        <v>1500</v>
      </c>
      <c r="C511" s="1" t="n">
        <v>1500</v>
      </c>
      <c r="D511" s="1" t="n">
        <v>0</v>
      </c>
    </row>
    <row r="512">
      <c r="A512" t="inlineStr">
        <is>
          <t>cost / bsc / cycle 18</t>
        </is>
      </c>
      <c r="B512" s="1" t="n">
        <v>1500</v>
      </c>
      <c r="C512" s="1" t="n">
        <v>1500</v>
      </c>
      <c r="D512" s="1" t="n">
        <v>0</v>
      </c>
    </row>
    <row r="513">
      <c r="A513" t="inlineStr">
        <is>
          <t>cost / bsc / cycle 19</t>
        </is>
      </c>
      <c r="B513" s="1" t="n">
        <v>1500</v>
      </c>
      <c r="C513" s="1" t="n">
        <v>1500</v>
      </c>
      <c r="D513" s="1" t="n">
        <v>0</v>
      </c>
    </row>
    <row r="514">
      <c r="A514" t="inlineStr">
        <is>
          <t>cost / bsc / cycle 20</t>
        </is>
      </c>
      <c r="B514" s="1" t="n">
        <v>1500</v>
      </c>
      <c r="C514" s="1" t="n">
        <v>1500</v>
      </c>
      <c r="D514" s="1" t="n">
        <v>0</v>
      </c>
    </row>
    <row r="515">
      <c r="A515" t="inlineStr">
        <is>
          <t>cost / bsc / cycle 21</t>
        </is>
      </c>
      <c r="B515" s="1" t="n">
        <v>1500</v>
      </c>
      <c r="C515" s="1" t="n">
        <v>1500</v>
      </c>
      <c r="D515" s="1" t="n">
        <v>0</v>
      </c>
    </row>
    <row r="516">
      <c r="A516" t="inlineStr">
        <is>
          <t>cost / bsc / cycle 22</t>
        </is>
      </c>
      <c r="B516" s="1" t="n">
        <v>1500</v>
      </c>
      <c r="C516" s="1" t="n">
        <v>1500</v>
      </c>
      <c r="D516" s="1" t="n">
        <v>0</v>
      </c>
    </row>
    <row r="517">
      <c r="A517" t="inlineStr">
        <is>
          <t>cost / bsc / cycle 23</t>
        </is>
      </c>
      <c r="B517" s="1" t="n">
        <v>1500</v>
      </c>
      <c r="C517" s="1" t="n">
        <v>1500</v>
      </c>
      <c r="D517" s="1" t="n">
        <v>0</v>
      </c>
    </row>
    <row r="518">
      <c r="A518" t="inlineStr">
        <is>
          <t>cost / bsc / cycle 24</t>
        </is>
      </c>
      <c r="B518" s="1" t="n">
        <v>1500</v>
      </c>
      <c r="C518" s="1" t="n">
        <v>1500</v>
      </c>
      <c r="D518" s="1" t="n">
        <v>0</v>
      </c>
    </row>
    <row r="519">
      <c r="A519" t="inlineStr">
        <is>
          <t>cost / bsc / cycle 25</t>
        </is>
      </c>
      <c r="B519" s="1" t="n">
        <v>1500</v>
      </c>
      <c r="C519" s="1" t="n">
        <v>1500</v>
      </c>
      <c r="D519" s="1" t="n">
        <v>0</v>
      </c>
    </row>
    <row r="520">
      <c r="A520" t="inlineStr">
        <is>
          <t>cost / bsc / cycle 26</t>
        </is>
      </c>
      <c r="B520" s="1" t="n">
        <v>1500</v>
      </c>
      <c r="C520" s="1" t="n">
        <v>1500</v>
      </c>
      <c r="D520" s="1" t="n">
        <v>0</v>
      </c>
    </row>
    <row r="521">
      <c r="A521" t="inlineStr">
        <is>
          <t>cost / bsc / cycle 27</t>
        </is>
      </c>
      <c r="B521" s="1" t="n">
        <v>1500</v>
      </c>
      <c r="C521" s="1" t="n">
        <v>1500</v>
      </c>
      <c r="D521" s="1" t="n">
        <v>0</v>
      </c>
    </row>
    <row r="522">
      <c r="A522" t="inlineStr">
        <is>
          <t>cost / bsc / cycle 28</t>
        </is>
      </c>
      <c r="B522" s="1" t="n">
        <v>1500</v>
      </c>
      <c r="C522" s="1" t="n">
        <v>1500</v>
      </c>
      <c r="D522" s="1" t="n">
        <v>0</v>
      </c>
    </row>
    <row r="523">
      <c r="A523" t="inlineStr">
        <is>
          <t>cost / bsc / cycle 29</t>
        </is>
      </c>
      <c r="B523" s="1" t="n">
        <v>1500</v>
      </c>
      <c r="C523" s="1" t="n">
        <v>1500</v>
      </c>
      <c r="D523" s="1" t="n">
        <v>0</v>
      </c>
    </row>
    <row r="524">
      <c r="A524" t="inlineStr">
        <is>
          <t>cost / bsc / cycle 30</t>
        </is>
      </c>
      <c r="B524" s="1" t="n">
        <v>1500</v>
      </c>
      <c r="C524" s="1" t="n">
        <v>1500</v>
      </c>
      <c r="D524" s="1" t="n">
        <v>0</v>
      </c>
    </row>
    <row r="525">
      <c r="A525" t="inlineStr">
        <is>
          <t>cost / bsc / cycle 31</t>
        </is>
      </c>
      <c r="B525" s="1" t="n">
        <v>1500</v>
      </c>
      <c r="C525" s="1" t="n">
        <v>1500</v>
      </c>
      <c r="D525" s="1" t="n">
        <v>0</v>
      </c>
    </row>
    <row r="526">
      <c r="A526" t="inlineStr">
        <is>
          <t>cost / bsc / cycle 32</t>
        </is>
      </c>
      <c r="B526" s="1" t="n">
        <v>1500</v>
      </c>
      <c r="C526" s="1" t="n">
        <v>1500</v>
      </c>
      <c r="D526" s="1" t="n">
        <v>0</v>
      </c>
    </row>
    <row r="527">
      <c r="A527" t="inlineStr">
        <is>
          <t>cost / bsc / cycle 33</t>
        </is>
      </c>
      <c r="B527" s="1" t="n">
        <v>1500</v>
      </c>
      <c r="C527" s="1" t="n">
        <v>1500</v>
      </c>
      <c r="D527" s="1" t="n">
        <v>0</v>
      </c>
    </row>
    <row r="528">
      <c r="A528" t="inlineStr">
        <is>
          <t>cost / bsc / cycle 34</t>
        </is>
      </c>
      <c r="B528" s="1" t="n">
        <v>1500</v>
      </c>
      <c r="C528" s="1" t="n">
        <v>1500</v>
      </c>
      <c r="D528" s="1" t="n">
        <v>0</v>
      </c>
    </row>
    <row r="529">
      <c r="A529" t="inlineStr">
        <is>
          <t>cost / bsc / cycle 35</t>
        </is>
      </c>
      <c r="B529" s="1" t="n">
        <v>1500</v>
      </c>
      <c r="C529" s="1" t="n">
        <v>1500</v>
      </c>
      <c r="D529" s="1" t="n">
        <v>0</v>
      </c>
    </row>
    <row r="530">
      <c r="A530" t="inlineStr">
        <is>
          <t>cost / bsc / cycle 36</t>
        </is>
      </c>
      <c r="B530" s="1" t="n">
        <v>1500</v>
      </c>
      <c r="C530" s="1" t="n">
        <v>1500</v>
      </c>
      <c r="D530" s="1" t="n">
        <v>0</v>
      </c>
    </row>
    <row r="531">
      <c r="A531" t="inlineStr">
        <is>
          <t>cost / bsc / cycle 37</t>
        </is>
      </c>
      <c r="B531" s="1" t="n">
        <v>1500</v>
      </c>
      <c r="C531" s="1" t="n">
        <v>1500</v>
      </c>
      <c r="D531" s="1" t="n">
        <v>0</v>
      </c>
    </row>
    <row r="532">
      <c r="A532" t="inlineStr">
        <is>
          <t>cost / bsc / cycle 38</t>
        </is>
      </c>
      <c r="B532" s="1" t="n">
        <v>1500</v>
      </c>
      <c r="C532" s="1" t="n">
        <v>1500</v>
      </c>
      <c r="D532" s="1" t="n">
        <v>0</v>
      </c>
    </row>
    <row r="533">
      <c r="A533" t="inlineStr">
        <is>
          <t>cost / bsc / cycle 39</t>
        </is>
      </c>
      <c r="B533" s="1" t="n">
        <v>1500</v>
      </c>
      <c r="C533" s="1" t="n">
        <v>1500</v>
      </c>
      <c r="D533" s="1" t="n">
        <v>0</v>
      </c>
    </row>
    <row r="534">
      <c r="A534" t="inlineStr">
        <is>
          <t>cost / bsc / cycle 40</t>
        </is>
      </c>
      <c r="B534" s="1" t="n">
        <v>1500</v>
      </c>
      <c r="C534" s="1" t="n">
        <v>1500</v>
      </c>
      <c r="D534" s="1" t="n">
        <v>0</v>
      </c>
    </row>
    <row r="535">
      <c r="A535" t="inlineStr">
        <is>
          <t>cost / bsc / cycle 41</t>
        </is>
      </c>
      <c r="B535" s="1" t="n">
        <v>1500</v>
      </c>
      <c r="C535" s="1" t="n">
        <v>1500</v>
      </c>
      <c r="D535" s="1" t="n">
        <v>0</v>
      </c>
    </row>
    <row r="536">
      <c r="A536" t="inlineStr">
        <is>
          <t>cost / bsc / cycle 42</t>
        </is>
      </c>
      <c r="B536" s="1" t="n">
        <v>1500</v>
      </c>
      <c r="C536" s="1" t="n">
        <v>1500</v>
      </c>
      <c r="D536" s="1" t="n">
        <v>0</v>
      </c>
    </row>
    <row r="537">
      <c r="A537" t="inlineStr">
        <is>
          <t>cost / bsc / cycle 43</t>
        </is>
      </c>
      <c r="B537" s="1" t="n">
        <v>1500</v>
      </c>
      <c r="C537" s="1" t="n">
        <v>1500</v>
      </c>
      <c r="D537" s="1" t="n">
        <v>0</v>
      </c>
    </row>
    <row r="538">
      <c r="A538" t="inlineStr">
        <is>
          <t>cost / bsc / cycle 44</t>
        </is>
      </c>
      <c r="B538" s="1" t="n">
        <v>1500</v>
      </c>
      <c r="C538" s="1" t="n">
        <v>1500</v>
      </c>
      <c r="D538" s="1" t="n">
        <v>0</v>
      </c>
    </row>
    <row r="539">
      <c r="A539" t="inlineStr">
        <is>
          <t>cost / bsc / cycle 45</t>
        </is>
      </c>
      <c r="B539" s="1" t="n">
        <v>1500</v>
      </c>
      <c r="C539" s="1" t="n">
        <v>1500</v>
      </c>
      <c r="D539" s="1" t="n">
        <v>0</v>
      </c>
    </row>
    <row r="540">
      <c r="A540" t="inlineStr">
        <is>
          <t>cost / bsc / cycle 46</t>
        </is>
      </c>
      <c r="B540" s="1" t="n">
        <v>1500</v>
      </c>
      <c r="C540" s="1" t="n">
        <v>1500</v>
      </c>
      <c r="D540" s="1" t="n">
        <v>0</v>
      </c>
    </row>
    <row r="541">
      <c r="A541" t="inlineStr">
        <is>
          <t>cost / bsc / cycle 47</t>
        </is>
      </c>
      <c r="B541" s="1" t="n">
        <v>1500</v>
      </c>
      <c r="C541" s="1" t="n">
        <v>1500</v>
      </c>
      <c r="D541" s="1" t="n">
        <v>0</v>
      </c>
    </row>
    <row r="542">
      <c r="A542" t="inlineStr">
        <is>
          <t>cost / bsc / cycle 48</t>
        </is>
      </c>
      <c r="B542" s="1" t="n">
        <v>1500</v>
      </c>
      <c r="C542" s="1" t="n">
        <v>1500</v>
      </c>
      <c r="D542" s="1" t="n">
        <v>0</v>
      </c>
    </row>
    <row r="543">
      <c r="A543" t="inlineStr">
        <is>
          <t>cost / bsc / cycle 49</t>
        </is>
      </c>
      <c r="B543" s="1" t="n">
        <v>1500</v>
      </c>
      <c r="C543" s="1" t="n">
        <v>1500</v>
      </c>
      <c r="D543" s="1" t="n">
        <v>0</v>
      </c>
    </row>
    <row r="544">
      <c r="A544" t="inlineStr">
        <is>
          <t>cost / bsc / cycle 50</t>
        </is>
      </c>
      <c r="B544" s="1" t="n">
        <v>1500</v>
      </c>
      <c r="C544" s="1" t="n">
        <v>1500</v>
      </c>
      <c r="D544" s="1" t="n">
        <v>0</v>
      </c>
    </row>
    <row r="545">
      <c r="A545" t="inlineStr">
        <is>
          <t>cost / bsc / cycle 51</t>
        </is>
      </c>
      <c r="B545" s="1" t="n">
        <v>1500</v>
      </c>
      <c r="C545" s="1" t="n">
        <v>1500</v>
      </c>
      <c r="D545" s="1" t="n">
        <v>0</v>
      </c>
    </row>
    <row r="546">
      <c r="A546" t="inlineStr">
        <is>
          <t>cost / bsc / cycle 52</t>
        </is>
      </c>
      <c r="B546" s="1" t="n">
        <v>1500</v>
      </c>
      <c r="C546" s="1" t="n">
        <v>1500</v>
      </c>
      <c r="D546" s="1" t="n">
        <v>0</v>
      </c>
    </row>
    <row r="547">
      <c r="A547" t="inlineStr">
        <is>
          <t>cost / bsc / cycle 53</t>
        </is>
      </c>
      <c r="B547" s="1" t="n">
        <v>1500</v>
      </c>
      <c r="C547" s="1" t="n">
        <v>1500</v>
      </c>
      <c r="D547" s="1" t="n">
        <v>0</v>
      </c>
    </row>
    <row r="548">
      <c r="A548" t="inlineStr">
        <is>
          <t>cost / bsc / cycle 54</t>
        </is>
      </c>
      <c r="B548" s="1" t="n">
        <v>1500</v>
      </c>
      <c r="C548" s="1" t="n">
        <v>1500</v>
      </c>
      <c r="D548" s="1" t="n">
        <v>0</v>
      </c>
    </row>
    <row r="549">
      <c r="A549" t="inlineStr">
        <is>
          <t>cost / bsc / cycle 55</t>
        </is>
      </c>
      <c r="B549" s="1" t="n">
        <v>1500</v>
      </c>
      <c r="C549" s="1" t="n">
        <v>1500</v>
      </c>
      <c r="D549" s="1" t="n">
        <v>0</v>
      </c>
    </row>
    <row r="550">
      <c r="A550" t="inlineStr">
        <is>
          <t>cost / bsc / cycle 56</t>
        </is>
      </c>
      <c r="B550" s="1" t="n">
        <v>1500</v>
      </c>
      <c r="C550" s="1" t="n">
        <v>1500</v>
      </c>
      <c r="D550" s="1" t="n">
        <v>0</v>
      </c>
    </row>
    <row r="551">
      <c r="A551" t="inlineStr">
        <is>
          <t>cost / bsc / cycle 57</t>
        </is>
      </c>
      <c r="B551" s="1" t="n">
        <v>1500</v>
      </c>
      <c r="C551" s="1" t="n">
        <v>1500</v>
      </c>
      <c r="D551" s="1" t="n">
        <v>0</v>
      </c>
    </row>
    <row r="552">
      <c r="A552" t="inlineStr">
        <is>
          <t>cost / bsc / cycle 58</t>
        </is>
      </c>
      <c r="B552" s="1" t="n">
        <v>1500</v>
      </c>
      <c r="C552" s="1" t="n">
        <v>1500</v>
      </c>
      <c r="D552" s="1" t="n">
        <v>0</v>
      </c>
    </row>
    <row r="553">
      <c r="A553" t="inlineStr">
        <is>
          <t>cost / bsc / cycle 59</t>
        </is>
      </c>
      <c r="B553" s="1" t="n">
        <v>1500</v>
      </c>
      <c r="C553" s="1" t="n">
        <v>1500</v>
      </c>
      <c r="D553" s="1" t="n">
        <v>0</v>
      </c>
    </row>
    <row r="554">
      <c r="A554" t="inlineStr">
        <is>
          <t>cost / bsc / cycle 60</t>
        </is>
      </c>
      <c r="B554" s="1" t="n">
        <v>1500</v>
      </c>
      <c r="C554" s="1" t="n">
        <v>1500</v>
      </c>
      <c r="D554" s="1" t="n">
        <v>0</v>
      </c>
    </row>
    <row r="555">
      <c r="A555" t="inlineStr">
        <is>
          <t>cost / bsc / cycle 61</t>
        </is>
      </c>
      <c r="B555" s="1" t="n">
        <v>1500</v>
      </c>
      <c r="C555" s="1" t="n">
        <v>1500</v>
      </c>
      <c r="D555" s="1" t="n">
        <v>0</v>
      </c>
    </row>
    <row r="556">
      <c r="A556" t="inlineStr">
        <is>
          <t>cost / bsc / cycle 62</t>
        </is>
      </c>
      <c r="B556" s="1" t="n">
        <v>1500</v>
      </c>
      <c r="C556" s="1" t="n">
        <v>1500</v>
      </c>
      <c r="D556" s="1" t="n">
        <v>0</v>
      </c>
    </row>
    <row r="557">
      <c r="A557" t="inlineStr">
        <is>
          <t>cost / bsc / cycle 63</t>
        </is>
      </c>
      <c r="B557" s="1" t="n">
        <v>1500</v>
      </c>
      <c r="C557" s="1" t="n">
        <v>1500</v>
      </c>
      <c r="D557" s="1" t="n">
        <v>0</v>
      </c>
    </row>
    <row r="558">
      <c r="A558" t="inlineStr">
        <is>
          <t>cost / bsc / cycle 64</t>
        </is>
      </c>
      <c r="B558" s="1" t="n">
        <v>1500</v>
      </c>
      <c r="C558" s="1" t="n">
        <v>1500</v>
      </c>
      <c r="D558" s="1" t="n">
        <v>0</v>
      </c>
    </row>
    <row r="559">
      <c r="A559" t="inlineStr">
        <is>
          <t>cost / bsc / cycle 65</t>
        </is>
      </c>
      <c r="B559" s="1" t="n">
        <v>1500</v>
      </c>
      <c r="C559" s="1" t="n">
        <v>1500</v>
      </c>
      <c r="D559" s="1" t="n">
        <v>0</v>
      </c>
    </row>
    <row r="560">
      <c r="A560" t="inlineStr">
        <is>
          <t>cost / bsc / cycle 66</t>
        </is>
      </c>
      <c r="B560" s="1" t="n">
        <v>1500</v>
      </c>
      <c r="C560" s="1" t="n">
        <v>1500</v>
      </c>
      <c r="D560" s="1" t="n">
        <v>0</v>
      </c>
    </row>
    <row r="561">
      <c r="A561" t="inlineStr">
        <is>
          <t>cost / bsc / cycle 67</t>
        </is>
      </c>
      <c r="B561" s="1" t="n">
        <v>1500</v>
      </c>
      <c r="C561" s="1" t="n">
        <v>1500</v>
      </c>
      <c r="D561" s="1" t="n">
        <v>0</v>
      </c>
    </row>
    <row r="562">
      <c r="A562" t="inlineStr">
        <is>
          <t>cost / bsc / cycle 68</t>
        </is>
      </c>
      <c r="B562" s="1" t="n">
        <v>1500</v>
      </c>
      <c r="C562" s="1" t="n">
        <v>1500</v>
      </c>
      <c r="D562" s="1" t="n">
        <v>0</v>
      </c>
    </row>
    <row r="563">
      <c r="A563" t="inlineStr">
        <is>
          <t>cost / bsc / cycle 69</t>
        </is>
      </c>
      <c r="B563" s="1" t="n">
        <v>1500</v>
      </c>
      <c r="C563" s="1" t="n">
        <v>1500</v>
      </c>
      <c r="D563" s="1" t="n">
        <v>0</v>
      </c>
    </row>
    <row r="564">
      <c r="A564" t="inlineStr">
        <is>
          <t>cost / bsc / cycle 70</t>
        </is>
      </c>
      <c r="B564" s="1" t="n">
        <v>1500</v>
      </c>
      <c r="C564" s="1" t="n">
        <v>1500</v>
      </c>
      <c r="D564" s="1" t="n">
        <v>0</v>
      </c>
    </row>
    <row r="565">
      <c r="A565" t="inlineStr">
        <is>
          <t>cost / bsc / cycle 71</t>
        </is>
      </c>
      <c r="B565" s="1" t="n">
        <v>1500</v>
      </c>
      <c r="C565" s="1" t="n">
        <v>1500</v>
      </c>
      <c r="D565" s="1" t="n">
        <v>0</v>
      </c>
    </row>
    <row r="566">
      <c r="A566" t="inlineStr">
        <is>
          <t>cost / bsc / cycle 72</t>
        </is>
      </c>
      <c r="B566" s="1" t="n">
        <v>1500</v>
      </c>
      <c r="C566" s="1" t="n">
        <v>1500</v>
      </c>
      <c r="D566" s="1" t="n">
        <v>0</v>
      </c>
    </row>
    <row r="567">
      <c r="A567" t="inlineStr">
        <is>
          <t>cost / bsc / cycle 73</t>
        </is>
      </c>
      <c r="B567" s="1" t="n">
        <v>1500</v>
      </c>
      <c r="C567" s="1" t="n">
        <v>1500</v>
      </c>
      <c r="D567" s="1" t="n">
        <v>0</v>
      </c>
    </row>
    <row r="568">
      <c r="A568" t="inlineStr">
        <is>
          <t>cost / bsc / cycle 74</t>
        </is>
      </c>
      <c r="B568" s="1" t="n">
        <v>1500</v>
      </c>
      <c r="C568" s="1" t="n">
        <v>1500</v>
      </c>
      <c r="D568" s="1" t="n">
        <v>0</v>
      </c>
    </row>
    <row r="569">
      <c r="A569" t="inlineStr">
        <is>
          <t>cost / bsc / cycle 75</t>
        </is>
      </c>
      <c r="B569" s="1" t="n">
        <v>1500</v>
      </c>
      <c r="C569" s="1" t="n">
        <v>1500</v>
      </c>
      <c r="D569" s="1" t="n">
        <v>0</v>
      </c>
    </row>
    <row r="570">
      <c r="A570" t="inlineStr">
        <is>
          <t>cost / bsc / cycle 76</t>
        </is>
      </c>
      <c r="B570" s="1" t="n">
        <v>1500</v>
      </c>
      <c r="C570" s="1" t="n">
        <v>1500</v>
      </c>
      <c r="D570" s="1" t="n">
        <v>0</v>
      </c>
    </row>
    <row r="571">
      <c r="A571" t="inlineStr">
        <is>
          <t>cost / bsc / cycle 77</t>
        </is>
      </c>
      <c r="B571" s="1" t="n">
        <v>1500</v>
      </c>
      <c r="C571" s="1" t="n">
        <v>1500</v>
      </c>
      <c r="D571" s="1" t="n">
        <v>0</v>
      </c>
    </row>
    <row r="572">
      <c r="A572" t="inlineStr">
        <is>
          <t>cost / bsc / cycle 78</t>
        </is>
      </c>
      <c r="B572" s="1" t="n">
        <v>1500</v>
      </c>
      <c r="C572" s="1" t="n">
        <v>1500</v>
      </c>
      <c r="D572" s="1" t="n">
        <v>0</v>
      </c>
    </row>
    <row r="573">
      <c r="A573" t="inlineStr">
        <is>
          <t>cost / bsc / cycle 79</t>
        </is>
      </c>
      <c r="B573" s="1" t="n">
        <v>1500</v>
      </c>
      <c r="C573" s="1" t="n">
        <v>1500</v>
      </c>
      <c r="D573" s="1" t="n">
        <v>0</v>
      </c>
    </row>
    <row r="574">
      <c r="A574" t="inlineStr">
        <is>
          <t>cost / bsc / cycle 80</t>
        </is>
      </c>
      <c r="B574" s="1" t="n">
        <v>1500</v>
      </c>
      <c r="C574" s="1" t="n">
        <v>1500</v>
      </c>
      <c r="D574" s="1" t="n">
        <v>0</v>
      </c>
    </row>
    <row r="575">
      <c r="A575" t="inlineStr">
        <is>
          <t>cost / bsc / cycle 81</t>
        </is>
      </c>
      <c r="B575" s="1" t="n">
        <v>1500</v>
      </c>
      <c r="C575" s="1" t="n">
        <v>1500</v>
      </c>
      <c r="D575" s="1" t="n">
        <v>0</v>
      </c>
    </row>
    <row r="576">
      <c r="A576" t="inlineStr">
        <is>
          <t>cost / bsc / cycle 82</t>
        </is>
      </c>
      <c r="B576" s="1" t="n">
        <v>1500</v>
      </c>
      <c r="C576" s="1" t="n">
        <v>1500</v>
      </c>
      <c r="D576" s="1" t="n">
        <v>0</v>
      </c>
    </row>
    <row r="577">
      <c r="A577" t="inlineStr">
        <is>
          <t>cost / bsc / cycle 83</t>
        </is>
      </c>
      <c r="B577" s="1" t="n">
        <v>1500</v>
      </c>
      <c r="C577" s="1" t="n">
        <v>1500</v>
      </c>
      <c r="D577" s="1" t="n">
        <v>0</v>
      </c>
    </row>
    <row r="578">
      <c r="A578" t="inlineStr">
        <is>
          <t>cost / bsc / cycle 84</t>
        </is>
      </c>
      <c r="B578" s="1" t="n">
        <v>1500</v>
      </c>
      <c r="C578" s="1" t="n">
        <v>1500</v>
      </c>
      <c r="D578" s="1" t="n">
        <v>0</v>
      </c>
    </row>
    <row r="579">
      <c r="A579" t="inlineStr">
        <is>
          <t>cost / bsc / cycle 85</t>
        </is>
      </c>
      <c r="B579" s="1" t="n">
        <v>1500</v>
      </c>
      <c r="C579" s="1" t="n">
        <v>1500</v>
      </c>
      <c r="D579" s="1" t="n">
        <v>0</v>
      </c>
    </row>
    <row r="580">
      <c r="A580" t="inlineStr">
        <is>
          <t>cost / bsc / cycle 86</t>
        </is>
      </c>
      <c r="B580" s="1" t="n">
        <v>1500</v>
      </c>
      <c r="C580" s="1" t="n">
        <v>1500</v>
      </c>
      <c r="D580" s="1" t="n">
        <v>0</v>
      </c>
    </row>
    <row r="581">
      <c r="A581" t="inlineStr">
        <is>
          <t>cost / bsc / cycle 87</t>
        </is>
      </c>
      <c r="B581" s="1" t="n">
        <v>1500</v>
      </c>
      <c r="C581" s="1" t="n">
        <v>1500</v>
      </c>
      <c r="D581" s="1" t="n">
        <v>0</v>
      </c>
    </row>
    <row r="582">
      <c r="A582" t="inlineStr">
        <is>
          <t>cost / bsc / cycle 88</t>
        </is>
      </c>
      <c r="B582" s="1" t="n">
        <v>1500</v>
      </c>
      <c r="C582" s="1" t="n">
        <v>1500</v>
      </c>
      <c r="D582" s="1" t="n">
        <v>0</v>
      </c>
    </row>
    <row r="583">
      <c r="A583" t="inlineStr">
        <is>
          <t>cost / bsc / cycle 89</t>
        </is>
      </c>
      <c r="B583" s="1" t="n">
        <v>1500</v>
      </c>
      <c r="C583" s="1" t="n">
        <v>1500</v>
      </c>
      <c r="D583" s="1" t="n">
        <v>0</v>
      </c>
    </row>
    <row r="584">
      <c r="A584" t="inlineStr">
        <is>
          <t>cost / bsc / cycle 90</t>
        </is>
      </c>
      <c r="B584" s="1" t="n">
        <v>1500</v>
      </c>
      <c r="C584" s="1" t="n">
        <v>1500</v>
      </c>
      <c r="D584" s="1" t="n">
        <v>0</v>
      </c>
    </row>
    <row r="585">
      <c r="A585" t="inlineStr">
        <is>
          <t>cost / bsc / cycle 91</t>
        </is>
      </c>
      <c r="B585" s="1" t="n">
        <v>1500</v>
      </c>
      <c r="C585" s="1" t="n">
        <v>1500</v>
      </c>
      <c r="D585" s="1" t="n">
        <v>0</v>
      </c>
    </row>
    <row r="586">
      <c r="A586" t="inlineStr">
        <is>
          <t>cost / bsc / cycle 92</t>
        </is>
      </c>
      <c r="B586" s="1" t="n">
        <v>1500</v>
      </c>
      <c r="C586" s="1" t="n">
        <v>1500</v>
      </c>
      <c r="D586" s="1" t="n">
        <v>0</v>
      </c>
    </row>
    <row r="587">
      <c r="A587" t="inlineStr">
        <is>
          <t>cost / bsc / cycle 93</t>
        </is>
      </c>
      <c r="B587" s="1" t="n">
        <v>1500</v>
      </c>
      <c r="C587" s="1" t="n">
        <v>1500</v>
      </c>
      <c r="D587" s="1" t="n">
        <v>0</v>
      </c>
    </row>
    <row r="588">
      <c r="A588" t="inlineStr">
        <is>
          <t>cost / bsc / cycle 94</t>
        </is>
      </c>
      <c r="B588" s="1" t="n">
        <v>1500</v>
      </c>
      <c r="C588" s="1" t="n">
        <v>1500</v>
      </c>
      <c r="D588" s="1" t="n">
        <v>0</v>
      </c>
    </row>
    <row r="589">
      <c r="A589" t="inlineStr">
        <is>
          <t>cost / bsc / cycle 95</t>
        </is>
      </c>
      <c r="B589" s="1" t="n">
        <v>1500</v>
      </c>
      <c r="C589" s="1" t="n">
        <v>1500</v>
      </c>
      <c r="D589" s="1" t="n">
        <v>0</v>
      </c>
    </row>
    <row r="590">
      <c r="A590" t="inlineStr">
        <is>
          <t>cost / bsc / cycle 96</t>
        </is>
      </c>
      <c r="B590" s="1" t="n">
        <v>1500</v>
      </c>
      <c r="C590" s="1" t="n">
        <v>1500</v>
      </c>
      <c r="D590" s="1" t="n">
        <v>0</v>
      </c>
    </row>
    <row r="591">
      <c r="A591" t="inlineStr">
        <is>
          <t>cost / bsc / cycle 97</t>
        </is>
      </c>
      <c r="B591" s="1" t="n">
        <v>1500</v>
      </c>
      <c r="C591" s="1" t="n">
        <v>1500</v>
      </c>
      <c r="D591" s="1" t="n">
        <v>0</v>
      </c>
    </row>
    <row r="592">
      <c r="A592" t="inlineStr">
        <is>
          <t>cost / bsc / cycle 98</t>
        </is>
      </c>
      <c r="B592" s="1" t="n">
        <v>1500</v>
      </c>
      <c r="C592" s="1" t="n">
        <v>1500</v>
      </c>
      <c r="D592" s="1" t="n">
        <v>0</v>
      </c>
    </row>
    <row r="593">
      <c r="A593" t="inlineStr">
        <is>
          <t>cost / bsc / cycle 99</t>
        </is>
      </c>
      <c r="B593" s="1" t="n">
        <v>1500</v>
      </c>
      <c r="C593" s="1" t="n">
        <v>1500</v>
      </c>
      <c r="D593" s="1" t="n">
        <v>0</v>
      </c>
    </row>
    <row r="594">
      <c r="A594" t="inlineStr">
        <is>
          <t>cost / bsc / cycle 100</t>
        </is>
      </c>
      <c r="B594" s="1" t="n">
        <v>1500</v>
      </c>
      <c r="C594" s="1" t="n">
        <v>1500</v>
      </c>
      <c r="D594" s="1" t="n">
        <v>0</v>
      </c>
    </row>
    <row r="595">
      <c r="A595" t="inlineStr">
        <is>
          <t>cost / bsc / cycle 101</t>
        </is>
      </c>
      <c r="B595" s="1" t="n">
        <v>1500</v>
      </c>
      <c r="C595" s="1" t="n">
        <v>1500</v>
      </c>
      <c r="D595" s="1" t="n">
        <v>0</v>
      </c>
    </row>
    <row r="596">
      <c r="A596" t="inlineStr">
        <is>
          <t>cost / bsc / cycle 102</t>
        </is>
      </c>
      <c r="B596" s="1" t="n">
        <v>1500</v>
      </c>
      <c r="C596" s="1" t="n">
        <v>1500</v>
      </c>
      <c r="D596" s="1" t="n">
        <v>0</v>
      </c>
    </row>
    <row r="597">
      <c r="A597" t="inlineStr">
        <is>
          <t>cost / bsc / cycle 103</t>
        </is>
      </c>
      <c r="B597" s="1" t="n">
        <v>1500</v>
      </c>
      <c r="C597" s="1" t="n">
        <v>1500</v>
      </c>
      <c r="D597" s="1" t="n">
        <v>0</v>
      </c>
    </row>
    <row r="598">
      <c r="A598" t="inlineStr">
        <is>
          <t>cost / bsc / cycle 104</t>
        </is>
      </c>
      <c r="B598" s="1" t="n">
        <v>1500</v>
      </c>
      <c r="C598" s="1" t="n">
        <v>1500</v>
      </c>
      <c r="D598" s="1" t="n">
        <v>0</v>
      </c>
    </row>
    <row r="599">
      <c r="A599" t="inlineStr">
        <is>
          <t>cost / bsc / cycle 105</t>
        </is>
      </c>
      <c r="B599" s="1" t="n">
        <v>1500</v>
      </c>
      <c r="C599" s="1" t="n">
        <v>1500</v>
      </c>
      <c r="D599" s="1" t="n">
        <v>0</v>
      </c>
    </row>
    <row r="600">
      <c r="A600" t="inlineStr">
        <is>
          <t>cost / bsc / cycle 106</t>
        </is>
      </c>
      <c r="B600" s="1" t="n">
        <v>1500</v>
      </c>
      <c r="C600" s="1" t="n">
        <v>1500</v>
      </c>
      <c r="D600" s="1" t="n">
        <v>0</v>
      </c>
    </row>
    <row r="601">
      <c r="A601" t="inlineStr">
        <is>
          <t>cost / bsc / cycle 107</t>
        </is>
      </c>
      <c r="B601" s="1" t="n">
        <v>1500</v>
      </c>
      <c r="C601" s="1" t="n">
        <v>1500</v>
      </c>
      <c r="D601" s="1" t="n">
        <v>0</v>
      </c>
    </row>
    <row r="602">
      <c r="A602" t="inlineStr">
        <is>
          <t>cost / bsc / cycle 108</t>
        </is>
      </c>
      <c r="B602" s="1" t="n">
        <v>1500</v>
      </c>
      <c r="C602" s="1" t="n">
        <v>1500</v>
      </c>
      <c r="D602" s="1" t="n">
        <v>0</v>
      </c>
    </row>
    <row r="603">
      <c r="A603" t="inlineStr">
        <is>
          <t>cost / bsc / cycle 109</t>
        </is>
      </c>
      <c r="B603" s="1" t="n">
        <v>1500</v>
      </c>
      <c r="C603" s="1" t="n">
        <v>1500</v>
      </c>
      <c r="D603" s="1" t="n">
        <v>0</v>
      </c>
    </row>
    <row r="604">
      <c r="A604" t="inlineStr">
        <is>
          <t>cost / bsc / cycle 110</t>
        </is>
      </c>
      <c r="B604" s="1" t="n">
        <v>1500</v>
      </c>
      <c r="C604" s="1" t="n">
        <v>1500</v>
      </c>
      <c r="D604" s="1" t="n">
        <v>0</v>
      </c>
    </row>
    <row r="605">
      <c r="A605" t="inlineStr">
        <is>
          <t>cost / bsc / cycle 111</t>
        </is>
      </c>
      <c r="B605" s="1" t="n">
        <v>1500</v>
      </c>
      <c r="C605" s="1" t="n">
        <v>1500</v>
      </c>
      <c r="D605" s="1" t="n">
        <v>0</v>
      </c>
    </row>
    <row r="606">
      <c r="A606" t="inlineStr">
        <is>
          <t>cost / bsc / cycle 112</t>
        </is>
      </c>
      <c r="B606" s="1" t="n">
        <v>1500</v>
      </c>
      <c r="C606" s="1" t="n">
        <v>1500</v>
      </c>
      <c r="D606" s="1" t="n">
        <v>0</v>
      </c>
    </row>
    <row r="607">
      <c r="A607" t="inlineStr">
        <is>
          <t>cost / bsc / cycle 113</t>
        </is>
      </c>
      <c r="B607" s="1" t="n">
        <v>1500</v>
      </c>
      <c r="C607" s="1" t="n">
        <v>1500</v>
      </c>
      <c r="D607" s="1" t="n">
        <v>0</v>
      </c>
    </row>
    <row r="608">
      <c r="A608" t="inlineStr">
        <is>
          <t>cost / bsc / cycle 114</t>
        </is>
      </c>
      <c r="B608" s="1" t="n">
        <v>1500</v>
      </c>
      <c r="C608" s="1" t="n">
        <v>1500</v>
      </c>
      <c r="D608" s="1" t="n">
        <v>0</v>
      </c>
    </row>
    <row r="609">
      <c r="A609" t="inlineStr">
        <is>
          <t>cost / bsc / cycle 115</t>
        </is>
      </c>
      <c r="B609" s="1" t="n">
        <v>1500</v>
      </c>
      <c r="C609" s="1" t="n">
        <v>1500</v>
      </c>
      <c r="D609" s="1" t="n">
        <v>0</v>
      </c>
    </row>
    <row r="610">
      <c r="A610" t="inlineStr">
        <is>
          <t>cost / bsc / cycle 116</t>
        </is>
      </c>
      <c r="B610" s="1" t="n">
        <v>1500</v>
      </c>
      <c r="C610" s="1" t="n">
        <v>1500</v>
      </c>
      <c r="D610" s="1" t="n">
        <v>0</v>
      </c>
    </row>
    <row r="611">
      <c r="A611" t="inlineStr">
        <is>
          <t>cost / bsc / cycle 117</t>
        </is>
      </c>
      <c r="B611" s="1" t="n">
        <v>1500</v>
      </c>
      <c r="C611" s="1" t="n">
        <v>1500</v>
      </c>
      <c r="D611" s="1" t="n">
        <v>0</v>
      </c>
    </row>
    <row r="612">
      <c r="A612" t="inlineStr">
        <is>
          <t>cost / bsc / cycle 118</t>
        </is>
      </c>
      <c r="B612" s="1" t="n">
        <v>1500</v>
      </c>
      <c r="C612" s="1" t="n">
        <v>1500</v>
      </c>
      <c r="D612" s="1" t="n">
        <v>0</v>
      </c>
    </row>
    <row r="613">
      <c r="A613" t="inlineStr">
        <is>
          <t>cost / bsc / cycle 119</t>
        </is>
      </c>
      <c r="B613" s="1" t="n">
        <v>1500</v>
      </c>
      <c r="C613" s="1" t="n">
        <v>1500</v>
      </c>
      <c r="D613" s="1" t="n">
        <v>0</v>
      </c>
    </row>
    <row r="614">
      <c r="A614" t="inlineStr">
        <is>
          <t>cost / bsc / cycle 120</t>
        </is>
      </c>
      <c r="B614" s="1" t="n">
        <v>1500</v>
      </c>
      <c r="C614" s="1" t="n">
        <v>1500</v>
      </c>
      <c r="D614" s="1" t="n">
        <v>0</v>
      </c>
    </row>
    <row r="615">
      <c r="A615" t="inlineStr">
        <is>
          <t>cost / bsc / cycle 121</t>
        </is>
      </c>
      <c r="B615" s="1" t="n">
        <v>1500</v>
      </c>
      <c r="C615" s="1" t="n">
        <v>1500</v>
      </c>
      <c r="D615" s="1" t="n">
        <v>0</v>
      </c>
    </row>
    <row r="616">
      <c r="A616" t="inlineStr">
        <is>
          <t>cost / bsc / cycle 122</t>
        </is>
      </c>
      <c r="B616" s="1" t="n">
        <v>1500</v>
      </c>
      <c r="C616" s="1" t="n">
        <v>1500</v>
      </c>
      <c r="D616" s="1" t="n">
        <v>0</v>
      </c>
    </row>
    <row r="617">
      <c r="A617" t="inlineStr">
        <is>
          <t>cost / bsc / cycle 123</t>
        </is>
      </c>
      <c r="B617" s="1" t="n">
        <v>1500</v>
      </c>
      <c r="C617" s="1" t="n">
        <v>1500</v>
      </c>
      <c r="D617" s="1" t="n">
        <v>0</v>
      </c>
    </row>
    <row r="618">
      <c r="A618" t="inlineStr">
        <is>
          <t>cost / bsc / cycle 124</t>
        </is>
      </c>
      <c r="B618" s="1" t="n">
        <v>1500</v>
      </c>
      <c r="C618" s="1" t="n">
        <v>1500</v>
      </c>
      <c r="D618" s="1" t="n">
        <v>0</v>
      </c>
    </row>
    <row r="619">
      <c r="A619" t="inlineStr">
        <is>
          <t>cost / bsc / cycle 125</t>
        </is>
      </c>
      <c r="B619" s="1" t="n">
        <v>1500</v>
      </c>
      <c r="C619" s="1" t="n">
        <v>1500</v>
      </c>
      <c r="D619" s="1" t="n">
        <v>0</v>
      </c>
    </row>
    <row r="620">
      <c r="A620" t="inlineStr">
        <is>
          <t>cost / bsc / cycle 126</t>
        </is>
      </c>
      <c r="B620" s="1" t="n">
        <v>1500</v>
      </c>
      <c r="C620" s="1" t="n">
        <v>1500</v>
      </c>
      <c r="D620" s="1" t="n">
        <v>0</v>
      </c>
    </row>
    <row r="621">
      <c r="A621" t="inlineStr">
        <is>
          <t>cost / bsc / cycle 127</t>
        </is>
      </c>
      <c r="B621" s="1" t="n">
        <v>1500</v>
      </c>
      <c r="C621" s="1" t="n">
        <v>1500</v>
      </c>
      <c r="D621" s="1" t="n">
        <v>0</v>
      </c>
    </row>
    <row r="622">
      <c r="A622" t="inlineStr">
        <is>
          <t>cost / bsc / cycle 128</t>
        </is>
      </c>
      <c r="B622" s="1" t="n">
        <v>1500</v>
      </c>
      <c r="C622" s="1" t="n">
        <v>1500</v>
      </c>
      <c r="D622" s="1" t="n">
        <v>0</v>
      </c>
    </row>
    <row r="623">
      <c r="A623" t="inlineStr">
        <is>
          <t>cost / bsc / cycle 129</t>
        </is>
      </c>
      <c r="B623" s="1" t="n">
        <v>1500</v>
      </c>
      <c r="C623" s="1" t="n">
        <v>1500</v>
      </c>
      <c r="D623" s="1" t="n">
        <v>0</v>
      </c>
    </row>
    <row r="624">
      <c r="A624" t="inlineStr">
        <is>
          <t>cost / bsc / cycle 130</t>
        </is>
      </c>
      <c r="B624" s="1" t="n">
        <v>1500</v>
      </c>
      <c r="C624" s="1" t="n">
        <v>1500</v>
      </c>
      <c r="D624" s="1" t="n">
        <v>0</v>
      </c>
    </row>
    <row r="625">
      <c r="A625" t="inlineStr">
        <is>
          <t>cost / bsc / cycle 131</t>
        </is>
      </c>
      <c r="B625" s="1" t="n">
        <v>1500</v>
      </c>
      <c r="C625" s="1" t="n">
        <v>1500</v>
      </c>
      <c r="D625" s="1" t="n">
        <v>0</v>
      </c>
    </row>
    <row r="626">
      <c r="A626" t="inlineStr">
        <is>
          <t>cost / bsc / cycle 132</t>
        </is>
      </c>
      <c r="B626" s="1" t="n">
        <v>1500</v>
      </c>
      <c r="C626" s="1" t="n">
        <v>1500</v>
      </c>
      <c r="D626" s="1" t="n">
        <v>0</v>
      </c>
    </row>
    <row r="627">
      <c r="A627" t="inlineStr">
        <is>
          <t>cost / bsc / cycle 133</t>
        </is>
      </c>
      <c r="B627" s="1" t="n">
        <v>1500</v>
      </c>
      <c r="C627" s="1" t="n">
        <v>1500</v>
      </c>
      <c r="D627" s="1" t="n">
        <v>0</v>
      </c>
    </row>
    <row r="628">
      <c r="A628" t="inlineStr">
        <is>
          <t>cost / bsc / cycle 134</t>
        </is>
      </c>
      <c r="B628" s="1" t="n">
        <v>1500</v>
      </c>
      <c r="C628" s="1" t="n">
        <v>1500</v>
      </c>
      <c r="D628" s="1" t="n">
        <v>0</v>
      </c>
    </row>
    <row r="629">
      <c r="A629" t="inlineStr">
        <is>
          <t>cost / bsc / cycle 135</t>
        </is>
      </c>
      <c r="B629" s="1" t="n">
        <v>1500</v>
      </c>
      <c r="C629" s="1" t="n">
        <v>1500</v>
      </c>
      <c r="D629" s="1" t="n">
        <v>0</v>
      </c>
    </row>
    <row r="630">
      <c r="A630" t="inlineStr">
        <is>
          <t>cost / bsc / cycle 136</t>
        </is>
      </c>
      <c r="B630" s="1" t="n">
        <v>1500</v>
      </c>
      <c r="C630" s="1" t="n">
        <v>1500</v>
      </c>
      <c r="D630" s="1" t="n">
        <v>0</v>
      </c>
    </row>
    <row r="631">
      <c r="A631" t="inlineStr">
        <is>
          <t>cost / bsc / cycle 137</t>
        </is>
      </c>
      <c r="B631" s="1" t="n">
        <v>1500</v>
      </c>
      <c r="C631" s="1" t="n">
        <v>1500</v>
      </c>
      <c r="D631" s="1" t="n">
        <v>0</v>
      </c>
    </row>
    <row r="632">
      <c r="A632" t="inlineStr">
        <is>
          <t>cost / bsc / cycle 138</t>
        </is>
      </c>
      <c r="B632" s="1" t="n">
        <v>1500</v>
      </c>
      <c r="C632" s="1" t="n">
        <v>1500</v>
      </c>
      <c r="D632" s="1" t="n">
        <v>0</v>
      </c>
    </row>
    <row r="633">
      <c r="A633" t="inlineStr">
        <is>
          <t>cost / bsc / cycle 139</t>
        </is>
      </c>
      <c r="B633" s="1" t="n">
        <v>1500</v>
      </c>
      <c r="C633" s="1" t="n">
        <v>1500</v>
      </c>
      <c r="D633" s="1" t="n">
        <v>0</v>
      </c>
    </row>
    <row r="634">
      <c r="A634" t="inlineStr">
        <is>
          <t>cost / bsc / cycle 140</t>
        </is>
      </c>
      <c r="B634" s="1" t="n">
        <v>1500</v>
      </c>
      <c r="C634" s="1" t="n">
        <v>1500</v>
      </c>
      <c r="D634" s="1" t="n">
        <v>0</v>
      </c>
    </row>
    <row r="635">
      <c r="A635" t="inlineStr">
        <is>
          <t>cost / bsc / cycle 141</t>
        </is>
      </c>
      <c r="B635" s="1" t="n">
        <v>1500</v>
      </c>
      <c r="C635" s="1" t="n">
        <v>1500</v>
      </c>
      <c r="D635" s="1" t="n">
        <v>0</v>
      </c>
    </row>
    <row r="636">
      <c r="A636" t="inlineStr">
        <is>
          <t>cost / bsc / cycle 142</t>
        </is>
      </c>
      <c r="B636" s="1" t="n">
        <v>1500</v>
      </c>
      <c r="C636" s="1" t="n">
        <v>1500</v>
      </c>
      <c r="D636" s="1" t="n">
        <v>0</v>
      </c>
    </row>
    <row r="637">
      <c r="A637" t="inlineStr">
        <is>
          <t>cost / bsc / cycle 143</t>
        </is>
      </c>
      <c r="B637" s="1" t="n">
        <v>1500</v>
      </c>
      <c r="C637" s="1" t="n">
        <v>1500</v>
      </c>
      <c r="D637" s="1" t="n">
        <v>0</v>
      </c>
    </row>
    <row r="638">
      <c r="A638" t="inlineStr">
        <is>
          <t>cost / bsc / cycle 144</t>
        </is>
      </c>
      <c r="B638" s="1" t="n">
        <v>1500</v>
      </c>
      <c r="C638" s="1" t="n">
        <v>1500</v>
      </c>
      <c r="D638" s="1" t="n">
        <v>0</v>
      </c>
    </row>
    <row r="639">
      <c r="A639" t="inlineStr">
        <is>
          <t>cost / bsc / cycle 145</t>
        </is>
      </c>
      <c r="B639" s="1" t="n">
        <v>1500</v>
      </c>
      <c r="C639" s="1" t="n">
        <v>1500</v>
      </c>
      <c r="D639" s="1" t="n">
        <v>0</v>
      </c>
    </row>
    <row r="640">
      <c r="A640" t="inlineStr">
        <is>
          <t>cost / bsc / cycle 146</t>
        </is>
      </c>
      <c r="B640" s="1" t="n">
        <v>1500</v>
      </c>
      <c r="C640" s="1" t="n">
        <v>1500</v>
      </c>
      <c r="D640" s="1" t="n">
        <v>0</v>
      </c>
    </row>
    <row r="641">
      <c r="A641" t="inlineStr">
        <is>
          <t>cost / bsc / cycle 147</t>
        </is>
      </c>
      <c r="B641" s="1" t="n">
        <v>1500</v>
      </c>
      <c r="C641" s="1" t="n">
        <v>1500</v>
      </c>
      <c r="D641" s="1" t="n">
        <v>0</v>
      </c>
    </row>
    <row r="642">
      <c r="A642" t="inlineStr">
        <is>
          <t>cost / bsc / cycle 148</t>
        </is>
      </c>
      <c r="B642" s="1" t="n">
        <v>1500</v>
      </c>
      <c r="C642" s="1" t="n">
        <v>1500</v>
      </c>
      <c r="D642" s="1" t="n">
        <v>0</v>
      </c>
    </row>
    <row r="643">
      <c r="A643" t="inlineStr">
        <is>
          <t>cost / bsc / cycle 149</t>
        </is>
      </c>
      <c r="B643" s="1" t="n">
        <v>1500</v>
      </c>
      <c r="C643" s="1" t="n">
        <v>1500</v>
      </c>
      <c r="D643" s="1" t="n">
        <v>0</v>
      </c>
    </row>
    <row r="644">
      <c r="A644" t="inlineStr">
        <is>
          <t>cost / bsc / cycle 150</t>
        </is>
      </c>
      <c r="B644" s="1" t="n">
        <v>1500</v>
      </c>
      <c r="C644" s="1" t="n">
        <v>1500</v>
      </c>
      <c r="D644" s="1" t="n">
        <v>0</v>
      </c>
    </row>
    <row r="645">
      <c r="A645" t="inlineStr">
        <is>
          <t>cost / bsc / cycle 151</t>
        </is>
      </c>
      <c r="B645" s="1" t="n">
        <v>1500</v>
      </c>
      <c r="C645" s="1" t="n">
        <v>1500</v>
      </c>
      <c r="D645" s="1" t="n">
        <v>0</v>
      </c>
    </row>
    <row r="646">
      <c r="A646" t="inlineStr">
        <is>
          <t>cost / bsc / cycle 152</t>
        </is>
      </c>
      <c r="B646" s="1" t="n">
        <v>1500</v>
      </c>
      <c r="C646" s="1" t="n">
        <v>1500</v>
      </c>
      <c r="D646" s="1" t="n">
        <v>0</v>
      </c>
    </row>
    <row r="647">
      <c r="A647" t="inlineStr">
        <is>
          <t>cost / bsc / cycle 153</t>
        </is>
      </c>
      <c r="B647" s="1" t="n">
        <v>1500</v>
      </c>
      <c r="C647" s="1" t="n">
        <v>1500</v>
      </c>
      <c r="D647" s="1" t="n">
        <v>0</v>
      </c>
    </row>
    <row r="648">
      <c r="A648" t="inlineStr">
        <is>
          <t>cost / bsc / cycle 154</t>
        </is>
      </c>
      <c r="B648" s="1" t="n">
        <v>1500</v>
      </c>
      <c r="C648" s="1" t="n">
        <v>1500</v>
      </c>
      <c r="D648" s="1" t="n">
        <v>0</v>
      </c>
    </row>
    <row r="649">
      <c r="A649" t="inlineStr">
        <is>
          <t>cost / bsc / cycle 155</t>
        </is>
      </c>
      <c r="B649" s="1" t="n">
        <v>1500</v>
      </c>
      <c r="C649" s="1" t="n">
        <v>1500</v>
      </c>
      <c r="D649" s="1" t="n">
        <v>0</v>
      </c>
    </row>
    <row r="650">
      <c r="A650" t="inlineStr">
        <is>
          <t>cost / bsc / cycle 156</t>
        </is>
      </c>
      <c r="B650" s="1" t="n">
        <v>1500</v>
      </c>
      <c r="C650" s="1" t="n">
        <v>1500</v>
      </c>
      <c r="D650" s="1" t="n">
        <v>0</v>
      </c>
    </row>
    <row r="651">
      <c r="A651" t="inlineStr">
        <is>
          <t>cost / bsc / cycle 157</t>
        </is>
      </c>
      <c r="B651" s="1" t="n">
        <v>1500</v>
      </c>
      <c r="C651" s="1" t="n">
        <v>1500</v>
      </c>
      <c r="D651" s="1" t="n">
        <v>0</v>
      </c>
    </row>
    <row r="652">
      <c r="A652" t="inlineStr">
        <is>
          <t>cost / bsc / cycle 158</t>
        </is>
      </c>
      <c r="B652" s="1" t="n">
        <v>1500</v>
      </c>
      <c r="C652" s="1" t="n">
        <v>1500</v>
      </c>
      <c r="D652" s="1" t="n">
        <v>0</v>
      </c>
    </row>
    <row r="653">
      <c r="A653" t="inlineStr">
        <is>
          <t>cost / bsc / cycle 159</t>
        </is>
      </c>
      <c r="B653" s="1" t="n">
        <v>1500</v>
      </c>
      <c r="C653" s="1" t="n">
        <v>1500</v>
      </c>
      <c r="D653" s="1" t="n">
        <v>0</v>
      </c>
    </row>
    <row r="654">
      <c r="A654" t="inlineStr">
        <is>
          <t>cost / bsc / cycle 160</t>
        </is>
      </c>
      <c r="B654" s="1" t="n">
        <v>1500</v>
      </c>
      <c r="C654" s="1" t="n">
        <v>1500</v>
      </c>
      <c r="D654" s="1" t="n">
        <v>0</v>
      </c>
    </row>
    <row r="655">
      <c r="A655" t="inlineStr">
        <is>
          <t>cost / bsc / cycle 161</t>
        </is>
      </c>
      <c r="B655" s="1" t="n">
        <v>1500</v>
      </c>
      <c r="C655" s="1" t="n">
        <v>1500</v>
      </c>
      <c r="D655" s="1" t="n">
        <v>0</v>
      </c>
    </row>
    <row r="656">
      <c r="A656" t="inlineStr">
        <is>
          <t>cost / bsc / cycle 162</t>
        </is>
      </c>
      <c r="B656" s="1" t="n">
        <v>1500</v>
      </c>
      <c r="C656" s="1" t="n">
        <v>1500</v>
      </c>
      <c r="D656" s="1" t="n">
        <v>0</v>
      </c>
    </row>
    <row r="657">
      <c r="A657" t="inlineStr">
        <is>
          <t>cost / bsc / cycle 163</t>
        </is>
      </c>
      <c r="B657" s="1" t="n">
        <v>1500</v>
      </c>
      <c r="C657" s="1" t="n">
        <v>1500</v>
      </c>
      <c r="D657" s="1" t="n">
        <v>0</v>
      </c>
    </row>
    <row r="658">
      <c r="A658" t="inlineStr">
        <is>
          <t>cost / bsc / cycle 164</t>
        </is>
      </c>
      <c r="B658" s="1" t="n">
        <v>1500</v>
      </c>
      <c r="C658" s="1" t="n">
        <v>1500</v>
      </c>
      <c r="D658" s="1" t="n">
        <v>0</v>
      </c>
    </row>
    <row r="659">
      <c r="A659" t="inlineStr">
        <is>
          <t>cost / bsc / cycle 165</t>
        </is>
      </c>
      <c r="B659" s="1" t="n">
        <v>1500</v>
      </c>
      <c r="C659" s="1" t="n">
        <v>1500</v>
      </c>
      <c r="D659" s="1" t="n">
        <v>0</v>
      </c>
    </row>
    <row r="660">
      <c r="A660" t="inlineStr">
        <is>
          <t>cost / bsc / cycle 166</t>
        </is>
      </c>
      <c r="B660" s="1" t="n">
        <v>1500</v>
      </c>
      <c r="C660" s="1" t="n">
        <v>1500</v>
      </c>
      <c r="D660" s="1" t="n">
        <v>0</v>
      </c>
    </row>
    <row r="661">
      <c r="A661" t="inlineStr">
        <is>
          <t>cost / bsc / cycle 167</t>
        </is>
      </c>
      <c r="B661" s="1" t="n">
        <v>1500</v>
      </c>
      <c r="C661" s="1" t="n">
        <v>1500</v>
      </c>
      <c r="D661" s="1" t="n">
        <v>0</v>
      </c>
    </row>
    <row r="662">
      <c r="A662" t="inlineStr">
        <is>
          <t>cost / bsc / cycle 168</t>
        </is>
      </c>
      <c r="B662" s="1" t="n">
        <v>1500</v>
      </c>
      <c r="C662" s="1" t="n">
        <v>1500</v>
      </c>
      <c r="D662" s="1" t="n">
        <v>0</v>
      </c>
    </row>
    <row r="663">
      <c r="A663" t="inlineStr">
        <is>
          <t>cost / bsc / cycle 169</t>
        </is>
      </c>
      <c r="B663" s="1" t="n">
        <v>1500</v>
      </c>
      <c r="C663" s="1" t="n">
        <v>1500</v>
      </c>
      <c r="D663" s="1" t="n">
        <v>0</v>
      </c>
    </row>
    <row r="664">
      <c r="A664" t="inlineStr">
        <is>
          <t>cost / bsc / cycle 170</t>
        </is>
      </c>
      <c r="B664" s="1" t="n">
        <v>1500</v>
      </c>
      <c r="C664" s="1" t="n">
        <v>1500</v>
      </c>
      <c r="D664" s="1" t="n">
        <v>0</v>
      </c>
    </row>
    <row r="665">
      <c r="A665" t="inlineStr">
        <is>
          <t>cost / bsc / cycle 171</t>
        </is>
      </c>
      <c r="B665" s="1" t="n">
        <v>1500</v>
      </c>
      <c r="C665" s="1" t="n">
        <v>1500</v>
      </c>
      <c r="D665" s="1" t="n">
        <v>0</v>
      </c>
    </row>
    <row r="666">
      <c r="A666" t="inlineStr">
        <is>
          <t>cost / bsc / cycle 172</t>
        </is>
      </c>
      <c r="B666" s="1" t="n">
        <v>1500</v>
      </c>
      <c r="C666" s="1" t="n">
        <v>1500</v>
      </c>
      <c r="D666" s="1" t="n">
        <v>0</v>
      </c>
    </row>
    <row r="667">
      <c r="A667" t="inlineStr">
        <is>
          <t>cost / bsc / cycle 173</t>
        </is>
      </c>
      <c r="B667" s="1" t="n">
        <v>1500</v>
      </c>
      <c r="C667" s="1" t="n">
        <v>1500</v>
      </c>
      <c r="D667" s="1" t="n">
        <v>0</v>
      </c>
    </row>
    <row r="668">
      <c r="A668" t="inlineStr">
        <is>
          <t>cost / bsc / cycle 174</t>
        </is>
      </c>
      <c r="B668" s="1" t="n">
        <v>1500</v>
      </c>
      <c r="C668" s="1" t="n">
        <v>1500</v>
      </c>
      <c r="D668" s="1" t="n">
        <v>0</v>
      </c>
    </row>
    <row r="669">
      <c r="A669" t="inlineStr">
        <is>
          <t>cost / bsc / cycle 175</t>
        </is>
      </c>
      <c r="B669" s="1" t="n">
        <v>1500</v>
      </c>
      <c r="C669" s="1" t="n">
        <v>1500</v>
      </c>
      <c r="D669" s="1" t="n">
        <v>0</v>
      </c>
    </row>
    <row r="670">
      <c r="A670" t="inlineStr">
        <is>
          <t>cost / bsc / cycle 176</t>
        </is>
      </c>
      <c r="B670" s="1" t="n">
        <v>1500</v>
      </c>
      <c r="C670" s="1" t="n">
        <v>1500</v>
      </c>
      <c r="D670" s="1" t="n">
        <v>0</v>
      </c>
    </row>
    <row r="671">
      <c r="A671" t="inlineStr">
        <is>
          <t>cost / bsc / cycle 177</t>
        </is>
      </c>
      <c r="B671" s="1" t="n">
        <v>1500</v>
      </c>
      <c r="C671" s="1" t="n">
        <v>1500</v>
      </c>
      <c r="D671" s="1" t="n">
        <v>0</v>
      </c>
    </row>
    <row r="672">
      <c r="A672" t="inlineStr">
        <is>
          <t>cost / bsc / cycle 178</t>
        </is>
      </c>
      <c r="B672" s="1" t="n">
        <v>1500</v>
      </c>
      <c r="C672" s="1" t="n">
        <v>1500</v>
      </c>
      <c r="D672" s="1" t="n">
        <v>0</v>
      </c>
    </row>
    <row r="673">
      <c r="A673" t="inlineStr">
        <is>
          <t>cost / bsc / cycle 179</t>
        </is>
      </c>
      <c r="B673" s="1" t="n">
        <v>1500</v>
      </c>
      <c r="C673" s="1" t="n">
        <v>1500</v>
      </c>
      <c r="D673" s="1" t="n">
        <v>0</v>
      </c>
    </row>
    <row r="674">
      <c r="A674" t="inlineStr">
        <is>
          <t>cost / bsc / cycle 180</t>
        </is>
      </c>
      <c r="B674" s="1" t="n">
        <v>1500</v>
      </c>
      <c r="C674" s="1" t="n">
        <v>1500</v>
      </c>
      <c r="D674" s="1" t="n">
        <v>0</v>
      </c>
    </row>
    <row r="675">
      <c r="A675" t="inlineStr">
        <is>
          <t>cost / bsc / cycle 181</t>
        </is>
      </c>
      <c r="B675" s="1" t="n">
        <v>1500</v>
      </c>
      <c r="C675" s="1" t="n">
        <v>1500</v>
      </c>
      <c r="D675" s="1" t="n">
        <v>0</v>
      </c>
    </row>
    <row r="676">
      <c r="A676" t="inlineStr">
        <is>
          <t>cost / bsc / cycle 182</t>
        </is>
      </c>
      <c r="B676" s="1" t="n">
        <v>1500</v>
      </c>
      <c r="C676" s="1" t="n">
        <v>1500</v>
      </c>
      <c r="D676" s="1" t="n">
        <v>0</v>
      </c>
    </row>
    <row r="677">
      <c r="A677" t="inlineStr">
        <is>
          <t>cost / bsc / cycle 183</t>
        </is>
      </c>
      <c r="B677" s="1" t="n">
        <v>1500</v>
      </c>
      <c r="C677" s="1" t="n">
        <v>1500</v>
      </c>
      <c r="D677" s="1" t="n">
        <v>0</v>
      </c>
    </row>
    <row r="678">
      <c r="A678" t="inlineStr">
        <is>
          <t>cost / bsc / cycle 184</t>
        </is>
      </c>
      <c r="B678" s="1" t="n">
        <v>1500</v>
      </c>
      <c r="C678" s="1" t="n">
        <v>1500</v>
      </c>
      <c r="D678" s="1" t="n">
        <v>0</v>
      </c>
    </row>
    <row r="679">
      <c r="A679" t="inlineStr">
        <is>
          <t>cost / bsc / cycle 185</t>
        </is>
      </c>
      <c r="B679" s="1" t="n">
        <v>1500</v>
      </c>
      <c r="C679" s="1" t="n">
        <v>1500</v>
      </c>
      <c r="D679" s="1" t="n">
        <v>0</v>
      </c>
    </row>
    <row r="680">
      <c r="A680" t="inlineStr">
        <is>
          <t>cost / bsc / cycle 186</t>
        </is>
      </c>
      <c r="B680" s="1" t="n">
        <v>1500</v>
      </c>
      <c r="C680" s="1" t="n">
        <v>1500</v>
      </c>
      <c r="D680" s="1" t="n">
        <v>0</v>
      </c>
    </row>
    <row r="681">
      <c r="A681" t="inlineStr">
        <is>
          <t>cost / bsc / cycle 187</t>
        </is>
      </c>
      <c r="B681" s="1" t="n">
        <v>1500</v>
      </c>
      <c r="C681" s="1" t="n">
        <v>1500</v>
      </c>
      <c r="D681" s="1" t="n">
        <v>0</v>
      </c>
    </row>
    <row r="682">
      <c r="A682" t="inlineStr">
        <is>
          <t>cost / bsc / cycle 188</t>
        </is>
      </c>
      <c r="B682" s="1" t="n">
        <v>1500</v>
      </c>
      <c r="C682" s="1" t="n">
        <v>1500</v>
      </c>
      <c r="D682" s="1" t="n">
        <v>0</v>
      </c>
    </row>
    <row r="683">
      <c r="A683" t="inlineStr">
        <is>
          <t>cost / bsc / cycle 189</t>
        </is>
      </c>
      <c r="B683" s="1" t="n">
        <v>1500</v>
      </c>
      <c r="C683" s="1" t="n">
        <v>1500</v>
      </c>
      <c r="D683" s="1" t="n">
        <v>0</v>
      </c>
    </row>
    <row r="684">
      <c r="A684" t="inlineStr">
        <is>
          <t>cost / bsc / cycle 190</t>
        </is>
      </c>
      <c r="B684" s="1" t="n">
        <v>1500</v>
      </c>
      <c r="C684" s="1" t="n">
        <v>1500</v>
      </c>
      <c r="D684" s="1" t="n">
        <v>0</v>
      </c>
    </row>
    <row r="685">
      <c r="A685" t="inlineStr">
        <is>
          <t>cost / bsc / cycle 191</t>
        </is>
      </c>
      <c r="B685" s="1" t="n">
        <v>1500</v>
      </c>
      <c r="C685" s="1" t="n">
        <v>1500</v>
      </c>
      <c r="D685" s="1" t="n">
        <v>0</v>
      </c>
    </row>
    <row r="686">
      <c r="A686" t="inlineStr">
        <is>
          <t>cost / bsc / cycle 192</t>
        </is>
      </c>
      <c r="B686" s="1" t="n">
        <v>1500</v>
      </c>
      <c r="C686" s="1" t="n">
        <v>1500</v>
      </c>
      <c r="D686" s="1" t="n">
        <v>0</v>
      </c>
    </row>
    <row r="687">
      <c r="A687" t="inlineStr">
        <is>
          <t>cost / bsc / cycle 193</t>
        </is>
      </c>
      <c r="B687" s="1" t="n">
        <v>1500</v>
      </c>
      <c r="C687" s="1" t="n">
        <v>1500</v>
      </c>
      <c r="D687" s="1" t="n">
        <v>0</v>
      </c>
    </row>
    <row r="688">
      <c r="A688" t="inlineStr">
        <is>
          <t>cost / bsc / cycle 194</t>
        </is>
      </c>
      <c r="B688" s="1" t="n">
        <v>1500</v>
      </c>
      <c r="C688" s="1" t="n">
        <v>1500</v>
      </c>
      <c r="D688" s="1" t="n">
        <v>0</v>
      </c>
    </row>
    <row r="689">
      <c r="A689" t="inlineStr">
        <is>
          <t>cost / bsc / cycle 195</t>
        </is>
      </c>
      <c r="B689" s="1" t="n">
        <v>1500</v>
      </c>
      <c r="C689" s="1" t="n">
        <v>1500</v>
      </c>
      <c r="D689" s="1" t="n">
        <v>0</v>
      </c>
    </row>
    <row r="690">
      <c r="A690" t="inlineStr">
        <is>
          <t>cost / bsc / cycle 196</t>
        </is>
      </c>
      <c r="B690" s="1" t="n">
        <v>1500</v>
      </c>
      <c r="C690" s="1" t="n">
        <v>1500</v>
      </c>
      <c r="D690" s="1" t="n">
        <v>0</v>
      </c>
    </row>
    <row r="691">
      <c r="A691" t="inlineStr">
        <is>
          <t>cost / bsc / cycle 197</t>
        </is>
      </c>
      <c r="B691" s="1" t="n">
        <v>1500</v>
      </c>
      <c r="C691" s="1" t="n">
        <v>1500</v>
      </c>
      <c r="D691" s="1" t="n">
        <v>0</v>
      </c>
    </row>
    <row r="692">
      <c r="A692" t="inlineStr">
        <is>
          <t>cost / bsc / cycle 198</t>
        </is>
      </c>
      <c r="B692" s="1" t="n">
        <v>1500</v>
      </c>
      <c r="C692" s="1" t="n">
        <v>1500</v>
      </c>
      <c r="D692" s="1" t="n">
        <v>0</v>
      </c>
    </row>
    <row r="693">
      <c r="A693" t="inlineStr">
        <is>
          <t>cost / bsc / cycle 199</t>
        </is>
      </c>
      <c r="B693" s="1" t="n">
        <v>1500</v>
      </c>
      <c r="C693" s="1" t="n">
        <v>1500</v>
      </c>
      <c r="D693" s="1" t="n">
        <v>0</v>
      </c>
    </row>
    <row r="694">
      <c r="A694" t="inlineStr">
        <is>
          <t>cost / bsc / cycle 200</t>
        </is>
      </c>
      <c r="B694" s="1" t="n">
        <v>1500</v>
      </c>
      <c r="C694" s="1" t="n">
        <v>1500</v>
      </c>
      <c r="D694" s="1" t="n">
        <v>0</v>
      </c>
    </row>
    <row r="695">
      <c r="A695" t="inlineStr">
        <is>
          <t>cost / bsc / cycle 201</t>
        </is>
      </c>
      <c r="B695" s="1" t="n">
        <v>1500</v>
      </c>
      <c r="C695" s="1" t="n">
        <v>1500</v>
      </c>
      <c r="D695" s="1" t="n">
        <v>0</v>
      </c>
    </row>
    <row r="696">
      <c r="A696" t="inlineStr">
        <is>
          <t>cost / bsc / cycle 202</t>
        </is>
      </c>
      <c r="B696" s="1" t="n">
        <v>1500</v>
      </c>
      <c r="C696" s="1" t="n">
        <v>1500</v>
      </c>
      <c r="D696" s="1" t="n">
        <v>0</v>
      </c>
    </row>
    <row r="697">
      <c r="A697" t="inlineStr">
        <is>
          <t>cost / bsc / cycle 203</t>
        </is>
      </c>
      <c r="B697" s="1" t="n">
        <v>1500</v>
      </c>
      <c r="C697" s="1" t="n">
        <v>1500</v>
      </c>
      <c r="D697" s="1" t="n">
        <v>0</v>
      </c>
    </row>
    <row r="698">
      <c r="A698" t="inlineStr">
        <is>
          <t>cost / bsc / cycle 204</t>
        </is>
      </c>
      <c r="B698" s="1" t="n">
        <v>1500</v>
      </c>
      <c r="C698" s="1" t="n">
        <v>1500</v>
      </c>
      <c r="D698" s="1" t="n">
        <v>0</v>
      </c>
    </row>
    <row r="699">
      <c r="A699" t="inlineStr">
        <is>
          <t>cost / bsc / cycle 205</t>
        </is>
      </c>
      <c r="B699" s="1" t="n">
        <v>1500</v>
      </c>
      <c r="C699" s="1" t="n">
        <v>1500</v>
      </c>
      <c r="D699" s="1" t="n">
        <v>0</v>
      </c>
    </row>
    <row r="700">
      <c r="A700" t="inlineStr">
        <is>
          <t>cost / bsc / cycle 206</t>
        </is>
      </c>
      <c r="B700" s="1" t="n">
        <v>1500</v>
      </c>
      <c r="C700" s="1" t="n">
        <v>1500</v>
      </c>
      <c r="D700" s="1" t="n">
        <v>0</v>
      </c>
    </row>
    <row r="701">
      <c r="A701" t="inlineStr">
        <is>
          <t>cost / bsc / cycle 207</t>
        </is>
      </c>
      <c r="B701" s="1" t="n">
        <v>1500</v>
      </c>
      <c r="C701" s="1" t="n">
        <v>1500</v>
      </c>
      <c r="D701" s="1" t="n">
        <v>0</v>
      </c>
    </row>
    <row r="702">
      <c r="A702" t="inlineStr">
        <is>
          <t>cost / bsc / cycle 208</t>
        </is>
      </c>
      <c r="B702" s="1" t="n">
        <v>1500</v>
      </c>
      <c r="C702" s="1" t="n">
        <v>1500</v>
      </c>
      <c r="D702" s="1" t="n">
        <v>0</v>
      </c>
    </row>
    <row r="703">
      <c r="A703" t="inlineStr">
        <is>
          <t>cost / bsc / cycle 209</t>
        </is>
      </c>
      <c r="B703" s="1" t="n">
        <v>1500</v>
      </c>
      <c r="C703" s="1" t="n">
        <v>1500</v>
      </c>
      <c r="D703" s="1" t="n">
        <v>0</v>
      </c>
    </row>
    <row r="704">
      <c r="A704" t="inlineStr">
        <is>
          <t>cost / bsc / cycle 210</t>
        </is>
      </c>
      <c r="B704" s="1" t="n">
        <v>1500</v>
      </c>
      <c r="C704" s="1" t="n">
        <v>1500</v>
      </c>
      <c r="D704" s="1" t="n">
        <v>0</v>
      </c>
    </row>
    <row r="705">
      <c r="A705" t="inlineStr">
        <is>
          <t>cost / bsc / cycle 211</t>
        </is>
      </c>
      <c r="B705" s="1" t="n">
        <v>1500</v>
      </c>
      <c r="C705" s="1" t="n">
        <v>1500</v>
      </c>
      <c r="D705" s="1" t="n">
        <v>0</v>
      </c>
    </row>
    <row r="706">
      <c r="A706" t="inlineStr">
        <is>
          <t>cost / bsc / cycle 212</t>
        </is>
      </c>
      <c r="B706" s="1" t="n">
        <v>1500</v>
      </c>
      <c r="C706" s="1" t="n">
        <v>1500</v>
      </c>
      <c r="D706" s="1" t="n">
        <v>0</v>
      </c>
    </row>
    <row r="707">
      <c r="A707" t="inlineStr">
        <is>
          <t>cost / bsc / cycle 213</t>
        </is>
      </c>
      <c r="B707" s="1" t="n">
        <v>1500</v>
      </c>
      <c r="C707" s="1" t="n">
        <v>1500</v>
      </c>
      <c r="D707" s="1" t="n">
        <v>0</v>
      </c>
    </row>
    <row r="708">
      <c r="A708" t="inlineStr">
        <is>
          <t>cost / bsc / cycle 214</t>
        </is>
      </c>
      <c r="B708" s="1" t="n">
        <v>1500</v>
      </c>
      <c r="C708" s="1" t="n">
        <v>1500</v>
      </c>
      <c r="D708" s="1" t="n">
        <v>0</v>
      </c>
    </row>
    <row r="709">
      <c r="A709" t="inlineStr">
        <is>
          <t>cost / bsc / cycle 215</t>
        </is>
      </c>
      <c r="B709" s="1" t="n">
        <v>1500</v>
      </c>
      <c r="C709" s="1" t="n">
        <v>1500</v>
      </c>
      <c r="D709" s="1" t="n">
        <v>0</v>
      </c>
    </row>
    <row r="710">
      <c r="A710" t="inlineStr">
        <is>
          <t>cost / bsc / cycle 216</t>
        </is>
      </c>
      <c r="B710" s="1" t="n">
        <v>1500</v>
      </c>
      <c r="C710" s="1" t="n">
        <v>1500</v>
      </c>
      <c r="D710" s="1" t="n">
        <v>0</v>
      </c>
    </row>
    <row r="711">
      <c r="A711" t="inlineStr">
        <is>
          <t>cost / bsc / cycle 217</t>
        </is>
      </c>
      <c r="B711" s="1" t="n">
        <v>1500</v>
      </c>
      <c r="C711" s="1" t="n">
        <v>1500</v>
      </c>
      <c r="D711" s="1" t="n">
        <v>0</v>
      </c>
    </row>
    <row r="712">
      <c r="A712" t="inlineStr">
        <is>
          <t>cost / bsc / cycle 218</t>
        </is>
      </c>
      <c r="B712" s="1" t="n">
        <v>1500</v>
      </c>
      <c r="C712" s="1" t="n">
        <v>1500</v>
      </c>
      <c r="D712" s="1" t="n">
        <v>0</v>
      </c>
    </row>
    <row r="713">
      <c r="A713" t="inlineStr">
        <is>
          <t>cost / bsc / cycle 219</t>
        </is>
      </c>
      <c r="B713" s="1" t="n">
        <v>1500</v>
      </c>
      <c r="C713" s="1" t="n">
        <v>1500</v>
      </c>
      <c r="D713" s="1" t="n">
        <v>0</v>
      </c>
    </row>
    <row r="714">
      <c r="A714" t="inlineStr">
        <is>
          <t>cost / bsc / cycle 220</t>
        </is>
      </c>
      <c r="B714" s="1" t="n">
        <v>1500</v>
      </c>
      <c r="C714" s="1" t="n">
        <v>1500</v>
      </c>
      <c r="D714" s="1" t="n">
        <v>0</v>
      </c>
    </row>
    <row r="715">
      <c r="A715" t="inlineStr">
        <is>
          <t>cost / bsc / cycle 221</t>
        </is>
      </c>
      <c r="B715" s="1" t="n">
        <v>1500</v>
      </c>
      <c r="C715" s="1" t="n">
        <v>1500</v>
      </c>
      <c r="D715" s="1" t="n">
        <v>0</v>
      </c>
    </row>
    <row r="716">
      <c r="A716" t="inlineStr">
        <is>
          <t>cost / bsc / cycle 222</t>
        </is>
      </c>
      <c r="B716" s="1" t="n">
        <v>1500</v>
      </c>
      <c r="C716" s="1" t="n">
        <v>1500</v>
      </c>
      <c r="D716" s="1" t="n">
        <v>0</v>
      </c>
    </row>
    <row r="717">
      <c r="A717" t="inlineStr">
        <is>
          <t>cost / bsc / cycle 223</t>
        </is>
      </c>
      <c r="B717" s="1" t="n">
        <v>1500</v>
      </c>
      <c r="C717" s="1" t="n">
        <v>1500</v>
      </c>
      <c r="D717" s="1" t="n">
        <v>0</v>
      </c>
    </row>
    <row r="718">
      <c r="A718" t="inlineStr">
        <is>
          <t>cost / bsc / cycle 224</t>
        </is>
      </c>
      <c r="B718" s="1" t="n">
        <v>1500</v>
      </c>
      <c r="C718" s="1" t="n">
        <v>1500</v>
      </c>
      <c r="D718" s="1" t="n">
        <v>0</v>
      </c>
    </row>
    <row r="719">
      <c r="A719" t="inlineStr">
        <is>
          <t>cost / bsc / cycle 225</t>
        </is>
      </c>
      <c r="B719" s="1" t="n">
        <v>1500</v>
      </c>
      <c r="C719" s="1" t="n">
        <v>1500</v>
      </c>
      <c r="D719" s="1" t="n">
        <v>0</v>
      </c>
    </row>
    <row r="720">
      <c r="A720" t="inlineStr">
        <is>
          <t>cost / bsc / cycle 226</t>
        </is>
      </c>
      <c r="B720" s="1" t="n">
        <v>1500</v>
      </c>
      <c r="C720" s="1" t="n">
        <v>1500</v>
      </c>
      <c r="D720" s="1" t="n">
        <v>0</v>
      </c>
    </row>
    <row r="721">
      <c r="A721" t="inlineStr">
        <is>
          <t>cost / bsc / cycle 227</t>
        </is>
      </c>
      <c r="B721" s="1" t="n">
        <v>1500</v>
      </c>
      <c r="C721" s="1" t="n">
        <v>1500</v>
      </c>
      <c r="D721" s="1" t="n">
        <v>0</v>
      </c>
    </row>
    <row r="722">
      <c r="A722" t="inlineStr">
        <is>
          <t>cost / bsc / cycle 228</t>
        </is>
      </c>
      <c r="B722" s="1" t="n">
        <v>1500</v>
      </c>
      <c r="C722" s="1" t="n">
        <v>1500</v>
      </c>
      <c r="D722" s="1" t="n">
        <v>0</v>
      </c>
    </row>
    <row r="723">
      <c r="A723" t="inlineStr">
        <is>
          <t>cost / bsc / cycle 229</t>
        </is>
      </c>
      <c r="B723" s="1" t="n">
        <v>1500</v>
      </c>
      <c r="C723" s="1" t="n">
        <v>1500</v>
      </c>
      <c r="D723" s="1" t="n">
        <v>0</v>
      </c>
    </row>
    <row r="724">
      <c r="A724" t="inlineStr">
        <is>
          <t>cost / bsc / cycle 230</t>
        </is>
      </c>
      <c r="B724" s="1" t="n">
        <v>1500</v>
      </c>
      <c r="C724" s="1" t="n">
        <v>1500</v>
      </c>
      <c r="D724" s="1" t="n">
        <v>0</v>
      </c>
    </row>
    <row r="725">
      <c r="A725" t="inlineStr">
        <is>
          <t>cost / bsc / cycle 231</t>
        </is>
      </c>
      <c r="B725" s="1" t="n">
        <v>1500</v>
      </c>
      <c r="C725" s="1" t="n">
        <v>1500</v>
      </c>
      <c r="D725" s="1" t="n">
        <v>0</v>
      </c>
    </row>
    <row r="726">
      <c r="A726" t="inlineStr">
        <is>
          <t>cost / bsc / cycle 232</t>
        </is>
      </c>
      <c r="B726" s="1" t="n">
        <v>1500</v>
      </c>
      <c r="C726" s="1" t="n">
        <v>1500</v>
      </c>
      <c r="D726" s="1" t="n">
        <v>0</v>
      </c>
    </row>
    <row r="727">
      <c r="A727" t="inlineStr">
        <is>
          <t>cost / bsc / cycle 233</t>
        </is>
      </c>
      <c r="B727" s="1" t="n">
        <v>1500</v>
      </c>
      <c r="C727" s="1" t="n">
        <v>1500</v>
      </c>
      <c r="D727" s="1" t="n">
        <v>0</v>
      </c>
    </row>
    <row r="728">
      <c r="A728" t="inlineStr">
        <is>
          <t>cost / bsc / cycle 234</t>
        </is>
      </c>
      <c r="B728" s="1" t="n">
        <v>1500</v>
      </c>
      <c r="C728" s="1" t="n">
        <v>1500</v>
      </c>
      <c r="D728" s="1" t="n">
        <v>0</v>
      </c>
    </row>
    <row r="729">
      <c r="A729" t="inlineStr">
        <is>
          <t>cost / bsc / cycle 235</t>
        </is>
      </c>
      <c r="B729" s="1" t="n">
        <v>1500</v>
      </c>
      <c r="C729" s="1" t="n">
        <v>1500</v>
      </c>
      <c r="D729" s="1" t="n">
        <v>0</v>
      </c>
    </row>
    <row r="730">
      <c r="A730" t="inlineStr">
        <is>
          <t>cost / bsc / cycle 236</t>
        </is>
      </c>
      <c r="B730" s="1" t="n">
        <v>1500</v>
      </c>
      <c r="C730" s="1" t="n">
        <v>1500</v>
      </c>
      <c r="D730" s="1" t="n">
        <v>0</v>
      </c>
    </row>
    <row r="731">
      <c r="A731" t="inlineStr">
        <is>
          <t>cost / bsc / cycle 237</t>
        </is>
      </c>
      <c r="B731" s="1" t="n">
        <v>1500</v>
      </c>
      <c r="C731" s="1" t="n">
        <v>1500</v>
      </c>
      <c r="D731" s="1" t="n">
        <v>0</v>
      </c>
    </row>
    <row r="732">
      <c r="A732" t="inlineStr">
        <is>
          <t>cost / bsc / cycle 238</t>
        </is>
      </c>
      <c r="B732" s="1" t="n">
        <v>1500</v>
      </c>
      <c r="C732" s="1" t="n">
        <v>1500</v>
      </c>
      <c r="D732" s="1" t="n">
        <v>0</v>
      </c>
    </row>
    <row r="733">
      <c r="A733" t="inlineStr">
        <is>
          <t>cost / bsc / cycle 239</t>
        </is>
      </c>
      <c r="B733" s="1" t="n">
        <v>1500</v>
      </c>
      <c r="C733" s="1" t="n">
        <v>1500</v>
      </c>
      <c r="D733" s="1" t="n">
        <v>0</v>
      </c>
    </row>
    <row r="734">
      <c r="A734" t="inlineStr">
        <is>
          <t>cost / bsc / cycle 240</t>
        </is>
      </c>
      <c r="B734" s="1" t="n">
        <v>1500</v>
      </c>
      <c r="C734" s="1" t="n">
        <v>1500</v>
      </c>
      <c r="D734" s="1" t="n">
        <v>0</v>
      </c>
    </row>
    <row r="735">
      <c r="A735" t="inlineStr">
        <is>
          <t>qaly / health / cycle 1</t>
        </is>
      </c>
      <c r="B735" s="1" t="n">
        <v>0.065</v>
      </c>
      <c r="C735" s="1" t="n">
        <v>0.04583333333333334</v>
      </c>
      <c r="D735" s="1" t="n">
        <v>0</v>
      </c>
    </row>
    <row r="736">
      <c r="A736" t="inlineStr">
        <is>
          <t>qaly / health / cycle 2</t>
        </is>
      </c>
      <c r="B736" s="1" t="n">
        <v>0.065</v>
      </c>
      <c r="C736" s="1" t="n">
        <v>0.04583333333333334</v>
      </c>
      <c r="D736" s="1" t="n">
        <v>0</v>
      </c>
    </row>
    <row r="737">
      <c r="A737" t="inlineStr">
        <is>
          <t>qaly / health / cycle 3</t>
        </is>
      </c>
      <c r="B737" s="1" t="n">
        <v>0.065</v>
      </c>
      <c r="C737" s="1" t="n">
        <v>0.04583333333333334</v>
      </c>
      <c r="D737" s="1" t="n">
        <v>0</v>
      </c>
    </row>
    <row r="738">
      <c r="A738" t="inlineStr">
        <is>
          <t>qaly / health / cycle 4</t>
        </is>
      </c>
      <c r="B738" s="1" t="n">
        <v>0.065</v>
      </c>
      <c r="C738" s="1" t="n">
        <v>0.04583333333333334</v>
      </c>
      <c r="D738" s="1" t="n">
        <v>0</v>
      </c>
    </row>
    <row r="739">
      <c r="A739" t="inlineStr">
        <is>
          <t>qaly / health / cycle 5</t>
        </is>
      </c>
      <c r="B739" s="1" t="n">
        <v>0.065</v>
      </c>
      <c r="C739" s="1" t="n">
        <v>0.04583333333333334</v>
      </c>
      <c r="D739" s="1" t="n">
        <v>0</v>
      </c>
    </row>
    <row r="740">
      <c r="A740" t="inlineStr">
        <is>
          <t>qaly / health / cycle 6</t>
        </is>
      </c>
      <c r="B740" s="1" t="n">
        <v>0.065</v>
      </c>
      <c r="C740" s="1" t="n">
        <v>0.04583333333333334</v>
      </c>
      <c r="D740" s="1" t="n">
        <v>0</v>
      </c>
    </row>
    <row r="741">
      <c r="A741" t="inlineStr">
        <is>
          <t>qaly / health / cycle 7</t>
        </is>
      </c>
      <c r="B741" s="1" t="n">
        <v>0.065</v>
      </c>
      <c r="C741" s="1" t="n">
        <v>0.04583333333333334</v>
      </c>
      <c r="D741" s="1" t="n">
        <v>0</v>
      </c>
    </row>
    <row r="742">
      <c r="A742" t="inlineStr">
        <is>
          <t>qaly / health / cycle 8</t>
        </is>
      </c>
      <c r="B742" s="1" t="n">
        <v>0.065</v>
      </c>
      <c r="C742" s="1" t="n">
        <v>0.04583333333333334</v>
      </c>
      <c r="D742" s="1" t="n">
        <v>0</v>
      </c>
    </row>
    <row r="743">
      <c r="A743" t="inlineStr">
        <is>
          <t>qaly / health / cycle 9</t>
        </is>
      </c>
      <c r="B743" s="1" t="n">
        <v>0.065</v>
      </c>
      <c r="C743" s="1" t="n">
        <v>0.04583333333333334</v>
      </c>
      <c r="D743" s="1" t="n">
        <v>0</v>
      </c>
    </row>
    <row r="744">
      <c r="A744" t="inlineStr">
        <is>
          <t>qaly / health / cycle 10</t>
        </is>
      </c>
      <c r="B744" s="1" t="n">
        <v>0.065</v>
      </c>
      <c r="C744" s="1" t="n">
        <v>0.04583333333333334</v>
      </c>
      <c r="D744" s="1" t="n">
        <v>0</v>
      </c>
    </row>
    <row r="745">
      <c r="A745" t="inlineStr">
        <is>
          <t>qaly / health / cycle 11</t>
        </is>
      </c>
      <c r="B745" s="1" t="n">
        <v>0.065</v>
      </c>
      <c r="C745" s="1" t="n">
        <v>0.04583333333333334</v>
      </c>
      <c r="D745" s="1" t="n">
        <v>0</v>
      </c>
    </row>
    <row r="746">
      <c r="A746" t="inlineStr">
        <is>
          <t>qaly / health / cycle 12</t>
        </is>
      </c>
      <c r="B746" s="1" t="n">
        <v>0.065</v>
      </c>
      <c r="C746" s="1" t="n">
        <v>0.04583333333333334</v>
      </c>
      <c r="D746" s="1" t="n">
        <v>0</v>
      </c>
    </row>
    <row r="747">
      <c r="A747" t="inlineStr">
        <is>
          <t>qaly / health / cycle 13</t>
        </is>
      </c>
      <c r="B747" s="1" t="n">
        <v>0.065</v>
      </c>
      <c r="C747" s="1" t="n">
        <v>0.04583333333333334</v>
      </c>
      <c r="D747" s="1" t="n">
        <v>0</v>
      </c>
    </row>
    <row r="748">
      <c r="A748" t="inlineStr">
        <is>
          <t>qaly / health / cycle 14</t>
        </is>
      </c>
      <c r="B748" s="1" t="n">
        <v>0.065</v>
      </c>
      <c r="C748" s="1" t="n">
        <v>0.04583333333333334</v>
      </c>
      <c r="D748" s="1" t="n">
        <v>0</v>
      </c>
    </row>
    <row r="749">
      <c r="A749" t="inlineStr">
        <is>
          <t>qaly / health / cycle 15</t>
        </is>
      </c>
      <c r="B749" s="1" t="n">
        <v>0.065</v>
      </c>
      <c r="C749" s="1" t="n">
        <v>0.04583333333333334</v>
      </c>
      <c r="D749" s="1" t="n">
        <v>0</v>
      </c>
    </row>
    <row r="750">
      <c r="A750" t="inlineStr">
        <is>
          <t>qaly / health / cycle 16</t>
        </is>
      </c>
      <c r="B750" s="1" t="n">
        <v>0.065</v>
      </c>
      <c r="C750" s="1" t="n">
        <v>0.04583333333333334</v>
      </c>
      <c r="D750" s="1" t="n">
        <v>0</v>
      </c>
    </row>
    <row r="751">
      <c r="A751" t="inlineStr">
        <is>
          <t>qaly / health / cycle 17</t>
        </is>
      </c>
      <c r="B751" s="1" t="n">
        <v>0.065</v>
      </c>
      <c r="C751" s="1" t="n">
        <v>0.04583333333333334</v>
      </c>
      <c r="D751" s="1" t="n">
        <v>0</v>
      </c>
    </row>
    <row r="752">
      <c r="A752" t="inlineStr">
        <is>
          <t>qaly / health / cycle 18</t>
        </is>
      </c>
      <c r="B752" s="1" t="n">
        <v>0.065</v>
      </c>
      <c r="C752" s="1" t="n">
        <v>0.04583333333333334</v>
      </c>
      <c r="D752" s="1" t="n">
        <v>0</v>
      </c>
    </row>
    <row r="753">
      <c r="A753" t="inlineStr">
        <is>
          <t>qaly / health / cycle 19</t>
        </is>
      </c>
      <c r="B753" s="1" t="n">
        <v>0.065</v>
      </c>
      <c r="C753" s="1" t="n">
        <v>0.04583333333333334</v>
      </c>
      <c r="D753" s="1" t="n">
        <v>0</v>
      </c>
    </row>
    <row r="754">
      <c r="A754" t="inlineStr">
        <is>
          <t>qaly / health / cycle 20</t>
        </is>
      </c>
      <c r="B754" s="1" t="n">
        <v>0.065</v>
      </c>
      <c r="C754" s="1" t="n">
        <v>0.04583333333333334</v>
      </c>
      <c r="D754" s="1" t="n">
        <v>0</v>
      </c>
    </row>
    <row r="755">
      <c r="A755" t="inlineStr">
        <is>
          <t>qaly / health / cycle 21</t>
        </is>
      </c>
      <c r="B755" s="1" t="n">
        <v>0.065</v>
      </c>
      <c r="C755" s="1" t="n">
        <v>0.04583333333333334</v>
      </c>
      <c r="D755" s="1" t="n">
        <v>0</v>
      </c>
    </row>
    <row r="756">
      <c r="A756" t="inlineStr">
        <is>
          <t>qaly / health / cycle 22</t>
        </is>
      </c>
      <c r="B756" s="1" t="n">
        <v>0.065</v>
      </c>
      <c r="C756" s="1" t="n">
        <v>0.04583333333333334</v>
      </c>
      <c r="D756" s="1" t="n">
        <v>0</v>
      </c>
    </row>
    <row r="757">
      <c r="A757" t="inlineStr">
        <is>
          <t>qaly / health / cycle 23</t>
        </is>
      </c>
      <c r="B757" s="1" t="n">
        <v>0.065</v>
      </c>
      <c r="C757" s="1" t="n">
        <v>0.04583333333333334</v>
      </c>
      <c r="D757" s="1" t="n">
        <v>0</v>
      </c>
    </row>
    <row r="758">
      <c r="A758" t="inlineStr">
        <is>
          <t>qaly / health / cycle 24</t>
        </is>
      </c>
      <c r="B758" s="1" t="n">
        <v>0.065</v>
      </c>
      <c r="C758" s="1" t="n">
        <v>0.04583333333333334</v>
      </c>
      <c r="D758" s="1" t="n">
        <v>0</v>
      </c>
    </row>
    <row r="759">
      <c r="A759" t="inlineStr">
        <is>
          <t>qaly / health / cycle 25</t>
        </is>
      </c>
      <c r="B759" s="1" t="n">
        <v>0.065</v>
      </c>
      <c r="C759" s="1" t="n">
        <v>0.04583333333333334</v>
      </c>
      <c r="D759" s="1" t="n">
        <v>0</v>
      </c>
    </row>
    <row r="760">
      <c r="A760" t="inlineStr">
        <is>
          <t>qaly / health / cycle 26</t>
        </is>
      </c>
      <c r="B760" s="1" t="n">
        <v>0.065</v>
      </c>
      <c r="C760" s="1" t="n">
        <v>0.04583333333333334</v>
      </c>
      <c r="D760" s="1" t="n">
        <v>0</v>
      </c>
    </row>
    <row r="761">
      <c r="A761" t="inlineStr">
        <is>
          <t>qaly / health / cycle 27</t>
        </is>
      </c>
      <c r="B761" s="1" t="n">
        <v>0.065</v>
      </c>
      <c r="C761" s="1" t="n">
        <v>0.04583333333333334</v>
      </c>
      <c r="D761" s="1" t="n">
        <v>0</v>
      </c>
    </row>
    <row r="762">
      <c r="A762" t="inlineStr">
        <is>
          <t>qaly / health / cycle 28</t>
        </is>
      </c>
      <c r="B762" s="1" t="n">
        <v>0.065</v>
      </c>
      <c r="C762" s="1" t="n">
        <v>0.04583333333333334</v>
      </c>
      <c r="D762" s="1" t="n">
        <v>0</v>
      </c>
    </row>
    <row r="763">
      <c r="A763" t="inlineStr">
        <is>
          <t>qaly / health / cycle 29</t>
        </is>
      </c>
      <c r="B763" s="1" t="n">
        <v>0.065</v>
      </c>
      <c r="C763" s="1" t="n">
        <v>0.04583333333333334</v>
      </c>
      <c r="D763" s="1" t="n">
        <v>0</v>
      </c>
    </row>
    <row r="764">
      <c r="A764" t="inlineStr">
        <is>
          <t>qaly / health / cycle 30</t>
        </is>
      </c>
      <c r="B764" s="1" t="n">
        <v>0.065</v>
      </c>
      <c r="C764" s="1" t="n">
        <v>0.04583333333333334</v>
      </c>
      <c r="D764" s="1" t="n">
        <v>0</v>
      </c>
    </row>
    <row r="765">
      <c r="A765" t="inlineStr">
        <is>
          <t>qaly / health / cycle 31</t>
        </is>
      </c>
      <c r="B765" s="1" t="n">
        <v>0.065</v>
      </c>
      <c r="C765" s="1" t="n">
        <v>0.04583333333333334</v>
      </c>
      <c r="D765" s="1" t="n">
        <v>0</v>
      </c>
    </row>
    <row r="766">
      <c r="A766" t="inlineStr">
        <is>
          <t>qaly / health / cycle 32</t>
        </is>
      </c>
      <c r="B766" s="1" t="n">
        <v>0.065</v>
      </c>
      <c r="C766" s="1" t="n">
        <v>0.04583333333333334</v>
      </c>
      <c r="D766" s="1" t="n">
        <v>0</v>
      </c>
    </row>
    <row r="767">
      <c r="A767" t="inlineStr">
        <is>
          <t>qaly / health / cycle 33</t>
        </is>
      </c>
      <c r="B767" s="1" t="n">
        <v>0.065</v>
      </c>
      <c r="C767" s="1" t="n">
        <v>0.04583333333333334</v>
      </c>
      <c r="D767" s="1" t="n">
        <v>0</v>
      </c>
    </row>
    <row r="768">
      <c r="A768" t="inlineStr">
        <is>
          <t>qaly / health / cycle 34</t>
        </is>
      </c>
      <c r="B768" s="1" t="n">
        <v>0.065</v>
      </c>
      <c r="C768" s="1" t="n">
        <v>0.04583333333333334</v>
      </c>
      <c r="D768" s="1" t="n">
        <v>0</v>
      </c>
    </row>
    <row r="769">
      <c r="A769" t="inlineStr">
        <is>
          <t>qaly / health / cycle 35</t>
        </is>
      </c>
      <c r="B769" s="1" t="n">
        <v>0.065</v>
      </c>
      <c r="C769" s="1" t="n">
        <v>0.04583333333333334</v>
      </c>
      <c r="D769" s="1" t="n">
        <v>0</v>
      </c>
    </row>
    <row r="770">
      <c r="A770" t="inlineStr">
        <is>
          <t>qaly / health / cycle 36</t>
        </is>
      </c>
      <c r="B770" s="1" t="n">
        <v>0.065</v>
      </c>
      <c r="C770" s="1" t="n">
        <v>0.04583333333333334</v>
      </c>
      <c r="D770" s="1" t="n">
        <v>0</v>
      </c>
    </row>
    <row r="771">
      <c r="A771" t="inlineStr">
        <is>
          <t>qaly / health / cycle 37</t>
        </is>
      </c>
      <c r="B771" s="1" t="n">
        <v>0.065</v>
      </c>
      <c r="C771" s="1" t="n">
        <v>0.04583333333333334</v>
      </c>
      <c r="D771" s="1" t="n">
        <v>0</v>
      </c>
    </row>
    <row r="772">
      <c r="A772" t="inlineStr">
        <is>
          <t>qaly / health / cycle 38</t>
        </is>
      </c>
      <c r="B772" s="1" t="n">
        <v>0.065</v>
      </c>
      <c r="C772" s="1" t="n">
        <v>0.04583333333333334</v>
      </c>
      <c r="D772" s="1" t="n">
        <v>0</v>
      </c>
    </row>
    <row r="773">
      <c r="A773" t="inlineStr">
        <is>
          <t>qaly / health / cycle 39</t>
        </is>
      </c>
      <c r="B773" s="1" t="n">
        <v>0.065</v>
      </c>
      <c r="C773" s="1" t="n">
        <v>0.04583333333333334</v>
      </c>
      <c r="D773" s="1" t="n">
        <v>0</v>
      </c>
    </row>
    <row r="774">
      <c r="A774" t="inlineStr">
        <is>
          <t>qaly / health / cycle 40</t>
        </is>
      </c>
      <c r="B774" s="1" t="n">
        <v>0.065</v>
      </c>
      <c r="C774" s="1" t="n">
        <v>0.04583333333333334</v>
      </c>
      <c r="D774" s="1" t="n">
        <v>0</v>
      </c>
    </row>
    <row r="775">
      <c r="A775" t="inlineStr">
        <is>
          <t>qaly / health / cycle 41</t>
        </is>
      </c>
      <c r="B775" s="1" t="n">
        <v>0.065</v>
      </c>
      <c r="C775" s="1" t="n">
        <v>0.04583333333333334</v>
      </c>
      <c r="D775" s="1" t="n">
        <v>0</v>
      </c>
    </row>
    <row r="776">
      <c r="A776" t="inlineStr">
        <is>
          <t>qaly / health / cycle 42</t>
        </is>
      </c>
      <c r="B776" s="1" t="n">
        <v>0.065</v>
      </c>
      <c r="C776" s="1" t="n">
        <v>0.04583333333333334</v>
      </c>
      <c r="D776" s="1" t="n">
        <v>0</v>
      </c>
    </row>
    <row r="777">
      <c r="A777" t="inlineStr">
        <is>
          <t>qaly / health / cycle 43</t>
        </is>
      </c>
      <c r="B777" s="1" t="n">
        <v>0.065</v>
      </c>
      <c r="C777" s="1" t="n">
        <v>0.04583333333333334</v>
      </c>
      <c r="D777" s="1" t="n">
        <v>0</v>
      </c>
    </row>
    <row r="778">
      <c r="A778" t="inlineStr">
        <is>
          <t>qaly / health / cycle 44</t>
        </is>
      </c>
      <c r="B778" s="1" t="n">
        <v>0.065</v>
      </c>
      <c r="C778" s="1" t="n">
        <v>0.04583333333333334</v>
      </c>
      <c r="D778" s="1" t="n">
        <v>0</v>
      </c>
    </row>
    <row r="779">
      <c r="A779" t="inlineStr">
        <is>
          <t>qaly / health / cycle 45</t>
        </is>
      </c>
      <c r="B779" s="1" t="n">
        <v>0.065</v>
      </c>
      <c r="C779" s="1" t="n">
        <v>0.04583333333333334</v>
      </c>
      <c r="D779" s="1" t="n">
        <v>0</v>
      </c>
    </row>
    <row r="780">
      <c r="A780" t="inlineStr">
        <is>
          <t>qaly / health / cycle 46</t>
        </is>
      </c>
      <c r="B780" s="1" t="n">
        <v>0.065</v>
      </c>
      <c r="C780" s="1" t="n">
        <v>0.04583333333333334</v>
      </c>
      <c r="D780" s="1" t="n">
        <v>0</v>
      </c>
    </row>
    <row r="781">
      <c r="A781" t="inlineStr">
        <is>
          <t>qaly / health / cycle 47</t>
        </is>
      </c>
      <c r="B781" s="1" t="n">
        <v>0.065</v>
      </c>
      <c r="C781" s="1" t="n">
        <v>0.04583333333333334</v>
      </c>
      <c r="D781" s="1" t="n">
        <v>0</v>
      </c>
    </row>
    <row r="782">
      <c r="A782" t="inlineStr">
        <is>
          <t>qaly / health / cycle 48</t>
        </is>
      </c>
      <c r="B782" s="1" t="n">
        <v>0.065</v>
      </c>
      <c r="C782" s="1" t="n">
        <v>0.04583333333333334</v>
      </c>
      <c r="D782" s="1" t="n">
        <v>0</v>
      </c>
    </row>
    <row r="783">
      <c r="A783" t="inlineStr">
        <is>
          <t>qaly / health / cycle 49</t>
        </is>
      </c>
      <c r="B783" s="1" t="n">
        <v>0.065</v>
      </c>
      <c r="C783" s="1" t="n">
        <v>0.04583333333333334</v>
      </c>
      <c r="D783" s="1" t="n">
        <v>0</v>
      </c>
    </row>
    <row r="784">
      <c r="A784" t="inlineStr">
        <is>
          <t>qaly / health / cycle 50</t>
        </is>
      </c>
      <c r="B784" s="1" t="n">
        <v>0.065</v>
      </c>
      <c r="C784" s="1" t="n">
        <v>0.04583333333333334</v>
      </c>
      <c r="D784" s="1" t="n">
        <v>0</v>
      </c>
    </row>
    <row r="785">
      <c r="A785" t="inlineStr">
        <is>
          <t>qaly / health / cycle 51</t>
        </is>
      </c>
      <c r="B785" s="1" t="n">
        <v>0.065</v>
      </c>
      <c r="C785" s="1" t="n">
        <v>0.04583333333333334</v>
      </c>
      <c r="D785" s="1" t="n">
        <v>0</v>
      </c>
    </row>
    <row r="786">
      <c r="A786" t="inlineStr">
        <is>
          <t>qaly / health / cycle 52</t>
        </is>
      </c>
      <c r="B786" s="1" t="n">
        <v>0.065</v>
      </c>
      <c r="C786" s="1" t="n">
        <v>0.04583333333333334</v>
      </c>
      <c r="D786" s="1" t="n">
        <v>0</v>
      </c>
    </row>
    <row r="787">
      <c r="A787" t="inlineStr">
        <is>
          <t>qaly / health / cycle 53</t>
        </is>
      </c>
      <c r="B787" s="1" t="n">
        <v>0.065</v>
      </c>
      <c r="C787" s="1" t="n">
        <v>0.04583333333333334</v>
      </c>
      <c r="D787" s="1" t="n">
        <v>0</v>
      </c>
    </row>
    <row r="788">
      <c r="A788" t="inlineStr">
        <is>
          <t>qaly / health / cycle 54</t>
        </is>
      </c>
      <c r="B788" s="1" t="n">
        <v>0.065</v>
      </c>
      <c r="C788" s="1" t="n">
        <v>0.04583333333333334</v>
      </c>
      <c r="D788" s="1" t="n">
        <v>0</v>
      </c>
    </row>
    <row r="789">
      <c r="A789" t="inlineStr">
        <is>
          <t>qaly / health / cycle 55</t>
        </is>
      </c>
      <c r="B789" s="1" t="n">
        <v>0.065</v>
      </c>
      <c r="C789" s="1" t="n">
        <v>0.04583333333333334</v>
      </c>
      <c r="D789" s="1" t="n">
        <v>0</v>
      </c>
    </row>
    <row r="790">
      <c r="A790" t="inlineStr">
        <is>
          <t>qaly / health / cycle 56</t>
        </is>
      </c>
      <c r="B790" s="1" t="n">
        <v>0.065</v>
      </c>
      <c r="C790" s="1" t="n">
        <v>0.04583333333333334</v>
      </c>
      <c r="D790" s="1" t="n">
        <v>0</v>
      </c>
    </row>
    <row r="791">
      <c r="A791" t="inlineStr">
        <is>
          <t>qaly / health / cycle 57</t>
        </is>
      </c>
      <c r="B791" s="1" t="n">
        <v>0.065</v>
      </c>
      <c r="C791" s="1" t="n">
        <v>0.04583333333333334</v>
      </c>
      <c r="D791" s="1" t="n">
        <v>0</v>
      </c>
    </row>
    <row r="792">
      <c r="A792" t="inlineStr">
        <is>
          <t>qaly / health / cycle 58</t>
        </is>
      </c>
      <c r="B792" s="1" t="n">
        <v>0.065</v>
      </c>
      <c r="C792" s="1" t="n">
        <v>0.04583333333333334</v>
      </c>
      <c r="D792" s="1" t="n">
        <v>0</v>
      </c>
    </row>
    <row r="793">
      <c r="A793" t="inlineStr">
        <is>
          <t>qaly / health / cycle 59</t>
        </is>
      </c>
      <c r="B793" s="1" t="n">
        <v>0.065</v>
      </c>
      <c r="C793" s="1" t="n">
        <v>0.04583333333333334</v>
      </c>
      <c r="D793" s="1" t="n">
        <v>0</v>
      </c>
    </row>
    <row r="794">
      <c r="A794" t="inlineStr">
        <is>
          <t>qaly / health / cycle 60</t>
        </is>
      </c>
      <c r="B794" s="1" t="n">
        <v>0.065</v>
      </c>
      <c r="C794" s="1" t="n">
        <v>0.04583333333333334</v>
      </c>
      <c r="D794" s="1" t="n">
        <v>0</v>
      </c>
    </row>
    <row r="795">
      <c r="A795" t="inlineStr">
        <is>
          <t>qaly / health / cycle 61</t>
        </is>
      </c>
      <c r="B795" s="1" t="n">
        <v>0.065</v>
      </c>
      <c r="C795" s="1" t="n">
        <v>0.04583333333333334</v>
      </c>
      <c r="D795" s="1" t="n">
        <v>0</v>
      </c>
    </row>
    <row r="796">
      <c r="A796" t="inlineStr">
        <is>
          <t>qaly / health / cycle 62</t>
        </is>
      </c>
      <c r="B796" s="1" t="n">
        <v>0.065</v>
      </c>
      <c r="C796" s="1" t="n">
        <v>0.04583333333333334</v>
      </c>
      <c r="D796" s="1" t="n">
        <v>0</v>
      </c>
    </row>
    <row r="797">
      <c r="A797" t="inlineStr">
        <is>
          <t>qaly / health / cycle 63</t>
        </is>
      </c>
      <c r="B797" s="1" t="n">
        <v>0.065</v>
      </c>
      <c r="C797" s="1" t="n">
        <v>0.04583333333333334</v>
      </c>
      <c r="D797" s="1" t="n">
        <v>0</v>
      </c>
    </row>
    <row r="798">
      <c r="A798" t="inlineStr">
        <is>
          <t>qaly / health / cycle 64</t>
        </is>
      </c>
      <c r="B798" s="1" t="n">
        <v>0.065</v>
      </c>
      <c r="C798" s="1" t="n">
        <v>0.04583333333333334</v>
      </c>
      <c r="D798" s="1" t="n">
        <v>0</v>
      </c>
    </row>
    <row r="799">
      <c r="A799" t="inlineStr">
        <is>
          <t>qaly / health / cycle 65</t>
        </is>
      </c>
      <c r="B799" s="1" t="n">
        <v>0.065</v>
      </c>
      <c r="C799" s="1" t="n">
        <v>0.04583333333333334</v>
      </c>
      <c r="D799" s="1" t="n">
        <v>0</v>
      </c>
    </row>
    <row r="800">
      <c r="A800" t="inlineStr">
        <is>
          <t>qaly / health / cycle 66</t>
        </is>
      </c>
      <c r="B800" s="1" t="n">
        <v>0.065</v>
      </c>
      <c r="C800" s="1" t="n">
        <v>0.04583333333333334</v>
      </c>
      <c r="D800" s="1" t="n">
        <v>0</v>
      </c>
    </row>
    <row r="801">
      <c r="A801" t="inlineStr">
        <is>
          <t>qaly / health / cycle 67</t>
        </is>
      </c>
      <c r="B801" s="1" t="n">
        <v>0.065</v>
      </c>
      <c r="C801" s="1" t="n">
        <v>0.04583333333333334</v>
      </c>
      <c r="D801" s="1" t="n">
        <v>0</v>
      </c>
    </row>
    <row r="802">
      <c r="A802" t="inlineStr">
        <is>
          <t>qaly / health / cycle 68</t>
        </is>
      </c>
      <c r="B802" s="1" t="n">
        <v>0.065</v>
      </c>
      <c r="C802" s="1" t="n">
        <v>0.04583333333333334</v>
      </c>
      <c r="D802" s="1" t="n">
        <v>0</v>
      </c>
    </row>
    <row r="803">
      <c r="A803" t="inlineStr">
        <is>
          <t>qaly / health / cycle 69</t>
        </is>
      </c>
      <c r="B803" s="1" t="n">
        <v>0.065</v>
      </c>
      <c r="C803" s="1" t="n">
        <v>0.04583333333333334</v>
      </c>
      <c r="D803" s="1" t="n">
        <v>0</v>
      </c>
    </row>
    <row r="804">
      <c r="A804" t="inlineStr">
        <is>
          <t>qaly / health / cycle 70</t>
        </is>
      </c>
      <c r="B804" s="1" t="n">
        <v>0.065</v>
      </c>
      <c r="C804" s="1" t="n">
        <v>0.04583333333333334</v>
      </c>
      <c r="D804" s="1" t="n">
        <v>0</v>
      </c>
    </row>
    <row r="805">
      <c r="A805" t="inlineStr">
        <is>
          <t>qaly / health / cycle 71</t>
        </is>
      </c>
      <c r="B805" s="1" t="n">
        <v>0.065</v>
      </c>
      <c r="C805" s="1" t="n">
        <v>0.04583333333333334</v>
      </c>
      <c r="D805" s="1" t="n">
        <v>0</v>
      </c>
    </row>
    <row r="806">
      <c r="A806" t="inlineStr">
        <is>
          <t>qaly / health / cycle 72</t>
        </is>
      </c>
      <c r="B806" s="1" t="n">
        <v>0.065</v>
      </c>
      <c r="C806" s="1" t="n">
        <v>0.04583333333333334</v>
      </c>
      <c r="D806" s="1" t="n">
        <v>0</v>
      </c>
    </row>
    <row r="807">
      <c r="A807" t="inlineStr">
        <is>
          <t>qaly / health / cycle 73</t>
        </is>
      </c>
      <c r="B807" s="1" t="n">
        <v>0.065</v>
      </c>
      <c r="C807" s="1" t="n">
        <v>0.04583333333333334</v>
      </c>
      <c r="D807" s="1" t="n">
        <v>0</v>
      </c>
    </row>
    <row r="808">
      <c r="A808" t="inlineStr">
        <is>
          <t>qaly / health / cycle 74</t>
        </is>
      </c>
      <c r="B808" s="1" t="n">
        <v>0.065</v>
      </c>
      <c r="C808" s="1" t="n">
        <v>0.04583333333333334</v>
      </c>
      <c r="D808" s="1" t="n">
        <v>0</v>
      </c>
    </row>
    <row r="809">
      <c r="A809" t="inlineStr">
        <is>
          <t>qaly / health / cycle 75</t>
        </is>
      </c>
      <c r="B809" s="1" t="n">
        <v>0.065</v>
      </c>
      <c r="C809" s="1" t="n">
        <v>0.04583333333333334</v>
      </c>
      <c r="D809" s="1" t="n">
        <v>0</v>
      </c>
    </row>
    <row r="810">
      <c r="A810" t="inlineStr">
        <is>
          <t>qaly / health / cycle 76</t>
        </is>
      </c>
      <c r="B810" s="1" t="n">
        <v>0.065</v>
      </c>
      <c r="C810" s="1" t="n">
        <v>0.04583333333333334</v>
      </c>
      <c r="D810" s="1" t="n">
        <v>0</v>
      </c>
    </row>
    <row r="811">
      <c r="A811" t="inlineStr">
        <is>
          <t>qaly / health / cycle 77</t>
        </is>
      </c>
      <c r="B811" s="1" t="n">
        <v>0.065</v>
      </c>
      <c r="C811" s="1" t="n">
        <v>0.04583333333333334</v>
      </c>
      <c r="D811" s="1" t="n">
        <v>0</v>
      </c>
    </row>
    <row r="812">
      <c r="A812" t="inlineStr">
        <is>
          <t>qaly / health / cycle 78</t>
        </is>
      </c>
      <c r="B812" s="1" t="n">
        <v>0.065</v>
      </c>
      <c r="C812" s="1" t="n">
        <v>0.04583333333333334</v>
      </c>
      <c r="D812" s="1" t="n">
        <v>0</v>
      </c>
    </row>
    <row r="813">
      <c r="A813" t="inlineStr">
        <is>
          <t>qaly / health / cycle 79</t>
        </is>
      </c>
      <c r="B813" s="1" t="n">
        <v>0.065</v>
      </c>
      <c r="C813" s="1" t="n">
        <v>0.04583333333333334</v>
      </c>
      <c r="D813" s="1" t="n">
        <v>0</v>
      </c>
    </row>
    <row r="814">
      <c r="A814" t="inlineStr">
        <is>
          <t>qaly / health / cycle 80</t>
        </is>
      </c>
      <c r="B814" s="1" t="n">
        <v>0.065</v>
      </c>
      <c r="C814" s="1" t="n">
        <v>0.04583333333333334</v>
      </c>
      <c r="D814" s="1" t="n">
        <v>0</v>
      </c>
    </row>
    <row r="815">
      <c r="A815" t="inlineStr">
        <is>
          <t>qaly / health / cycle 81</t>
        </is>
      </c>
      <c r="B815" s="1" t="n">
        <v>0.065</v>
      </c>
      <c r="C815" s="1" t="n">
        <v>0.04583333333333334</v>
      </c>
      <c r="D815" s="1" t="n">
        <v>0</v>
      </c>
    </row>
    <row r="816">
      <c r="A816" t="inlineStr">
        <is>
          <t>qaly / health / cycle 82</t>
        </is>
      </c>
      <c r="B816" s="1" t="n">
        <v>0.065</v>
      </c>
      <c r="C816" s="1" t="n">
        <v>0.04583333333333334</v>
      </c>
      <c r="D816" s="1" t="n">
        <v>0</v>
      </c>
    </row>
    <row r="817">
      <c r="A817" t="inlineStr">
        <is>
          <t>qaly / health / cycle 83</t>
        </is>
      </c>
      <c r="B817" s="1" t="n">
        <v>0.065</v>
      </c>
      <c r="C817" s="1" t="n">
        <v>0.04583333333333334</v>
      </c>
      <c r="D817" s="1" t="n">
        <v>0</v>
      </c>
    </row>
    <row r="818">
      <c r="A818" t="inlineStr">
        <is>
          <t>qaly / health / cycle 84</t>
        </is>
      </c>
      <c r="B818" s="1" t="n">
        <v>0.065</v>
      </c>
      <c r="C818" s="1" t="n">
        <v>0.04583333333333334</v>
      </c>
      <c r="D818" s="1" t="n">
        <v>0</v>
      </c>
    </row>
    <row r="819">
      <c r="A819" t="inlineStr">
        <is>
          <t>qaly / health / cycle 85</t>
        </is>
      </c>
      <c r="B819" s="1" t="n">
        <v>0.065</v>
      </c>
      <c r="C819" s="1" t="n">
        <v>0.04583333333333334</v>
      </c>
      <c r="D819" s="1" t="n">
        <v>0</v>
      </c>
    </row>
    <row r="820">
      <c r="A820" t="inlineStr">
        <is>
          <t>qaly / health / cycle 86</t>
        </is>
      </c>
      <c r="B820" s="1" t="n">
        <v>0.065</v>
      </c>
      <c r="C820" s="1" t="n">
        <v>0.04583333333333334</v>
      </c>
      <c r="D820" s="1" t="n">
        <v>0</v>
      </c>
    </row>
    <row r="821">
      <c r="A821" t="inlineStr">
        <is>
          <t>qaly / health / cycle 87</t>
        </is>
      </c>
      <c r="B821" s="1" t="n">
        <v>0.065</v>
      </c>
      <c r="C821" s="1" t="n">
        <v>0.04583333333333334</v>
      </c>
      <c r="D821" s="1" t="n">
        <v>0</v>
      </c>
    </row>
    <row r="822">
      <c r="A822" t="inlineStr">
        <is>
          <t>qaly / health / cycle 88</t>
        </is>
      </c>
      <c r="B822" s="1" t="n">
        <v>0.065</v>
      </c>
      <c r="C822" s="1" t="n">
        <v>0.04583333333333334</v>
      </c>
      <c r="D822" s="1" t="n">
        <v>0</v>
      </c>
    </row>
    <row r="823">
      <c r="A823" t="inlineStr">
        <is>
          <t>qaly / health / cycle 89</t>
        </is>
      </c>
      <c r="B823" s="1" t="n">
        <v>0.065</v>
      </c>
      <c r="C823" s="1" t="n">
        <v>0.04583333333333334</v>
      </c>
      <c r="D823" s="1" t="n">
        <v>0</v>
      </c>
    </row>
    <row r="824">
      <c r="A824" t="inlineStr">
        <is>
          <t>qaly / health / cycle 90</t>
        </is>
      </c>
      <c r="B824" s="1" t="n">
        <v>0.065</v>
      </c>
      <c r="C824" s="1" t="n">
        <v>0.04583333333333334</v>
      </c>
      <c r="D824" s="1" t="n">
        <v>0</v>
      </c>
    </row>
    <row r="825">
      <c r="A825" t="inlineStr">
        <is>
          <t>qaly / health / cycle 91</t>
        </is>
      </c>
      <c r="B825" s="1" t="n">
        <v>0.065</v>
      </c>
      <c r="C825" s="1" t="n">
        <v>0.04583333333333334</v>
      </c>
      <c r="D825" s="1" t="n">
        <v>0</v>
      </c>
    </row>
    <row r="826">
      <c r="A826" t="inlineStr">
        <is>
          <t>qaly / health / cycle 92</t>
        </is>
      </c>
      <c r="B826" s="1" t="n">
        <v>0.065</v>
      </c>
      <c r="C826" s="1" t="n">
        <v>0.04583333333333334</v>
      </c>
      <c r="D826" s="1" t="n">
        <v>0</v>
      </c>
    </row>
    <row r="827">
      <c r="A827" t="inlineStr">
        <is>
          <t>qaly / health / cycle 93</t>
        </is>
      </c>
      <c r="B827" s="1" t="n">
        <v>0.065</v>
      </c>
      <c r="C827" s="1" t="n">
        <v>0.04583333333333334</v>
      </c>
      <c r="D827" s="1" t="n">
        <v>0</v>
      </c>
    </row>
    <row r="828">
      <c r="A828" t="inlineStr">
        <is>
          <t>qaly / health / cycle 94</t>
        </is>
      </c>
      <c r="B828" s="1" t="n">
        <v>0.065</v>
      </c>
      <c r="C828" s="1" t="n">
        <v>0.04583333333333334</v>
      </c>
      <c r="D828" s="1" t="n">
        <v>0</v>
      </c>
    </row>
    <row r="829">
      <c r="A829" t="inlineStr">
        <is>
          <t>qaly / health / cycle 95</t>
        </is>
      </c>
      <c r="B829" s="1" t="n">
        <v>0.065</v>
      </c>
      <c r="C829" s="1" t="n">
        <v>0.04583333333333334</v>
      </c>
      <c r="D829" s="1" t="n">
        <v>0</v>
      </c>
    </row>
    <row r="830">
      <c r="A830" t="inlineStr">
        <is>
          <t>qaly / health / cycle 96</t>
        </is>
      </c>
      <c r="B830" s="1" t="n">
        <v>0.065</v>
      </c>
      <c r="C830" s="1" t="n">
        <v>0.04583333333333334</v>
      </c>
      <c r="D830" s="1" t="n">
        <v>0</v>
      </c>
    </row>
    <row r="831">
      <c r="A831" t="inlineStr">
        <is>
          <t>qaly / health / cycle 97</t>
        </is>
      </c>
      <c r="B831" s="1" t="n">
        <v>0.065</v>
      </c>
      <c r="C831" s="1" t="n">
        <v>0.04583333333333334</v>
      </c>
      <c r="D831" s="1" t="n">
        <v>0</v>
      </c>
    </row>
    <row r="832">
      <c r="A832" t="inlineStr">
        <is>
          <t>qaly / health / cycle 98</t>
        </is>
      </c>
      <c r="B832" s="1" t="n">
        <v>0.065</v>
      </c>
      <c r="C832" s="1" t="n">
        <v>0.04583333333333334</v>
      </c>
      <c r="D832" s="1" t="n">
        <v>0</v>
      </c>
    </row>
    <row r="833">
      <c r="A833" t="inlineStr">
        <is>
          <t>qaly / health / cycle 99</t>
        </is>
      </c>
      <c r="B833" s="1" t="n">
        <v>0.065</v>
      </c>
      <c r="C833" s="1" t="n">
        <v>0.04583333333333334</v>
      </c>
      <c r="D833" s="1" t="n">
        <v>0</v>
      </c>
    </row>
    <row r="834">
      <c r="A834" t="inlineStr">
        <is>
          <t>qaly / health / cycle 100</t>
        </is>
      </c>
      <c r="B834" s="1" t="n">
        <v>0.065</v>
      </c>
      <c r="C834" s="1" t="n">
        <v>0.04583333333333334</v>
      </c>
      <c r="D834" s="1" t="n">
        <v>0</v>
      </c>
    </row>
    <row r="835">
      <c r="A835" t="inlineStr">
        <is>
          <t>qaly / health / cycle 101</t>
        </is>
      </c>
      <c r="B835" s="1" t="n">
        <v>0.065</v>
      </c>
      <c r="C835" s="1" t="n">
        <v>0.04583333333333334</v>
      </c>
      <c r="D835" s="1" t="n">
        <v>0</v>
      </c>
    </row>
    <row r="836">
      <c r="A836" t="inlineStr">
        <is>
          <t>qaly / health / cycle 102</t>
        </is>
      </c>
      <c r="B836" s="1" t="n">
        <v>0.065</v>
      </c>
      <c r="C836" s="1" t="n">
        <v>0.04583333333333334</v>
      </c>
      <c r="D836" s="1" t="n">
        <v>0</v>
      </c>
    </row>
    <row r="837">
      <c r="A837" t="inlineStr">
        <is>
          <t>qaly / health / cycle 103</t>
        </is>
      </c>
      <c r="B837" s="1" t="n">
        <v>0.065</v>
      </c>
      <c r="C837" s="1" t="n">
        <v>0.04583333333333334</v>
      </c>
      <c r="D837" s="1" t="n">
        <v>0</v>
      </c>
    </row>
    <row r="838">
      <c r="A838" t="inlineStr">
        <is>
          <t>qaly / health / cycle 104</t>
        </is>
      </c>
      <c r="B838" s="1" t="n">
        <v>0.065</v>
      </c>
      <c r="C838" s="1" t="n">
        <v>0.04583333333333334</v>
      </c>
      <c r="D838" s="1" t="n">
        <v>0</v>
      </c>
    </row>
    <row r="839">
      <c r="A839" t="inlineStr">
        <is>
          <t>qaly / health / cycle 105</t>
        </is>
      </c>
      <c r="B839" s="1" t="n">
        <v>0.065</v>
      </c>
      <c r="C839" s="1" t="n">
        <v>0.04583333333333334</v>
      </c>
      <c r="D839" s="1" t="n">
        <v>0</v>
      </c>
    </row>
    <row r="840">
      <c r="A840" t="inlineStr">
        <is>
          <t>qaly / health / cycle 106</t>
        </is>
      </c>
      <c r="B840" s="1" t="n">
        <v>0.065</v>
      </c>
      <c r="C840" s="1" t="n">
        <v>0.04583333333333334</v>
      </c>
      <c r="D840" s="1" t="n">
        <v>0</v>
      </c>
    </row>
    <row r="841">
      <c r="A841" t="inlineStr">
        <is>
          <t>qaly / health / cycle 107</t>
        </is>
      </c>
      <c r="B841" s="1" t="n">
        <v>0.065</v>
      </c>
      <c r="C841" s="1" t="n">
        <v>0.04583333333333334</v>
      </c>
      <c r="D841" s="1" t="n">
        <v>0</v>
      </c>
    </row>
    <row r="842">
      <c r="A842" t="inlineStr">
        <is>
          <t>qaly / health / cycle 108</t>
        </is>
      </c>
      <c r="B842" s="1" t="n">
        <v>0.065</v>
      </c>
      <c r="C842" s="1" t="n">
        <v>0.04583333333333334</v>
      </c>
      <c r="D842" s="1" t="n">
        <v>0</v>
      </c>
    </row>
    <row r="843">
      <c r="A843" t="inlineStr">
        <is>
          <t>qaly / health / cycle 109</t>
        </is>
      </c>
      <c r="B843" s="1" t="n">
        <v>0.065</v>
      </c>
      <c r="C843" s="1" t="n">
        <v>0.04583333333333334</v>
      </c>
      <c r="D843" s="1" t="n">
        <v>0</v>
      </c>
    </row>
    <row r="844">
      <c r="A844" t="inlineStr">
        <is>
          <t>qaly / health / cycle 110</t>
        </is>
      </c>
      <c r="B844" s="1" t="n">
        <v>0.065</v>
      </c>
      <c r="C844" s="1" t="n">
        <v>0.04583333333333334</v>
      </c>
      <c r="D844" s="1" t="n">
        <v>0</v>
      </c>
    </row>
    <row r="845">
      <c r="A845" t="inlineStr">
        <is>
          <t>qaly / health / cycle 111</t>
        </is>
      </c>
      <c r="B845" s="1" t="n">
        <v>0.065</v>
      </c>
      <c r="C845" s="1" t="n">
        <v>0.04583333333333334</v>
      </c>
      <c r="D845" s="1" t="n">
        <v>0</v>
      </c>
    </row>
    <row r="846">
      <c r="A846" t="inlineStr">
        <is>
          <t>qaly / health / cycle 112</t>
        </is>
      </c>
      <c r="B846" s="1" t="n">
        <v>0.065</v>
      </c>
      <c r="C846" s="1" t="n">
        <v>0.04583333333333334</v>
      </c>
      <c r="D846" s="1" t="n">
        <v>0</v>
      </c>
    </row>
    <row r="847">
      <c r="A847" t="inlineStr">
        <is>
          <t>qaly / health / cycle 113</t>
        </is>
      </c>
      <c r="B847" s="1" t="n">
        <v>0.065</v>
      </c>
      <c r="C847" s="1" t="n">
        <v>0.04583333333333334</v>
      </c>
      <c r="D847" s="1" t="n">
        <v>0</v>
      </c>
    </row>
    <row r="848">
      <c r="A848" t="inlineStr">
        <is>
          <t>qaly / health / cycle 114</t>
        </is>
      </c>
      <c r="B848" s="1" t="n">
        <v>0.065</v>
      </c>
      <c r="C848" s="1" t="n">
        <v>0.04583333333333334</v>
      </c>
      <c r="D848" s="1" t="n">
        <v>0</v>
      </c>
    </row>
    <row r="849">
      <c r="A849" t="inlineStr">
        <is>
          <t>qaly / health / cycle 115</t>
        </is>
      </c>
      <c r="B849" s="1" t="n">
        <v>0.065</v>
      </c>
      <c r="C849" s="1" t="n">
        <v>0.04583333333333334</v>
      </c>
      <c r="D849" s="1" t="n">
        <v>0</v>
      </c>
    </row>
    <row r="850">
      <c r="A850" t="inlineStr">
        <is>
          <t>qaly / health / cycle 116</t>
        </is>
      </c>
      <c r="B850" s="1" t="n">
        <v>0.065</v>
      </c>
      <c r="C850" s="1" t="n">
        <v>0.04583333333333334</v>
      </c>
      <c r="D850" s="1" t="n">
        <v>0</v>
      </c>
    </row>
    <row r="851">
      <c r="A851" t="inlineStr">
        <is>
          <t>qaly / health / cycle 117</t>
        </is>
      </c>
      <c r="B851" s="1" t="n">
        <v>0.065</v>
      </c>
      <c r="C851" s="1" t="n">
        <v>0.04583333333333334</v>
      </c>
      <c r="D851" s="1" t="n">
        <v>0</v>
      </c>
    </row>
    <row r="852">
      <c r="A852" t="inlineStr">
        <is>
          <t>qaly / health / cycle 118</t>
        </is>
      </c>
      <c r="B852" s="1" t="n">
        <v>0.065</v>
      </c>
      <c r="C852" s="1" t="n">
        <v>0.04583333333333334</v>
      </c>
      <c r="D852" s="1" t="n">
        <v>0</v>
      </c>
    </row>
    <row r="853">
      <c r="A853" t="inlineStr">
        <is>
          <t>qaly / health / cycle 119</t>
        </is>
      </c>
      <c r="B853" s="1" t="n">
        <v>0.065</v>
      </c>
      <c r="C853" s="1" t="n">
        <v>0.04583333333333334</v>
      </c>
      <c r="D853" s="1" t="n">
        <v>0</v>
      </c>
    </row>
    <row r="854">
      <c r="A854" t="inlineStr">
        <is>
          <t>qaly / health / cycle 120</t>
        </is>
      </c>
      <c r="B854" s="1" t="n">
        <v>0.065</v>
      </c>
      <c r="C854" s="1" t="n">
        <v>0.04583333333333334</v>
      </c>
      <c r="D854" s="1" t="n">
        <v>0</v>
      </c>
    </row>
    <row r="855">
      <c r="A855" t="inlineStr">
        <is>
          <t>qaly / health / cycle 121</t>
        </is>
      </c>
      <c r="B855" s="1" t="n">
        <v>0.065</v>
      </c>
      <c r="C855" s="1" t="n">
        <v>0.04583333333333334</v>
      </c>
      <c r="D855" s="1" t="n">
        <v>0</v>
      </c>
    </row>
    <row r="856">
      <c r="A856" t="inlineStr">
        <is>
          <t>qaly / health / cycle 122</t>
        </is>
      </c>
      <c r="B856" s="1" t="n">
        <v>0.065</v>
      </c>
      <c r="C856" s="1" t="n">
        <v>0.04583333333333334</v>
      </c>
      <c r="D856" s="1" t="n">
        <v>0</v>
      </c>
    </row>
    <row r="857">
      <c r="A857" t="inlineStr">
        <is>
          <t>qaly / health / cycle 123</t>
        </is>
      </c>
      <c r="B857" s="1" t="n">
        <v>0.065</v>
      </c>
      <c r="C857" s="1" t="n">
        <v>0.04583333333333334</v>
      </c>
      <c r="D857" s="1" t="n">
        <v>0</v>
      </c>
    </row>
    <row r="858">
      <c r="A858" t="inlineStr">
        <is>
          <t>qaly / health / cycle 124</t>
        </is>
      </c>
      <c r="B858" s="1" t="n">
        <v>0.065</v>
      </c>
      <c r="C858" s="1" t="n">
        <v>0.04583333333333334</v>
      </c>
      <c r="D858" s="1" t="n">
        <v>0</v>
      </c>
    </row>
    <row r="859">
      <c r="A859" t="inlineStr">
        <is>
          <t>qaly / health / cycle 125</t>
        </is>
      </c>
      <c r="B859" s="1" t="n">
        <v>0.065</v>
      </c>
      <c r="C859" s="1" t="n">
        <v>0.04583333333333334</v>
      </c>
      <c r="D859" s="1" t="n">
        <v>0</v>
      </c>
    </row>
    <row r="860">
      <c r="A860" t="inlineStr">
        <is>
          <t>qaly / health / cycle 126</t>
        </is>
      </c>
      <c r="B860" s="1" t="n">
        <v>0.065</v>
      </c>
      <c r="C860" s="1" t="n">
        <v>0.04583333333333334</v>
      </c>
      <c r="D860" s="1" t="n">
        <v>0</v>
      </c>
    </row>
    <row r="861">
      <c r="A861" t="inlineStr">
        <is>
          <t>qaly / health / cycle 127</t>
        </is>
      </c>
      <c r="B861" s="1" t="n">
        <v>0.065</v>
      </c>
      <c r="C861" s="1" t="n">
        <v>0.04583333333333334</v>
      </c>
      <c r="D861" s="1" t="n">
        <v>0</v>
      </c>
    </row>
    <row r="862">
      <c r="A862" t="inlineStr">
        <is>
          <t>qaly / health / cycle 128</t>
        </is>
      </c>
      <c r="B862" s="1" t="n">
        <v>0.065</v>
      </c>
      <c r="C862" s="1" t="n">
        <v>0.04583333333333334</v>
      </c>
      <c r="D862" s="1" t="n">
        <v>0</v>
      </c>
    </row>
    <row r="863">
      <c r="A863" t="inlineStr">
        <is>
          <t>qaly / health / cycle 129</t>
        </is>
      </c>
      <c r="B863" s="1" t="n">
        <v>0.065</v>
      </c>
      <c r="C863" s="1" t="n">
        <v>0.04583333333333334</v>
      </c>
      <c r="D863" s="1" t="n">
        <v>0</v>
      </c>
    </row>
    <row r="864">
      <c r="A864" t="inlineStr">
        <is>
          <t>qaly / health / cycle 130</t>
        </is>
      </c>
      <c r="B864" s="1" t="n">
        <v>0.065</v>
      </c>
      <c r="C864" s="1" t="n">
        <v>0.04583333333333334</v>
      </c>
      <c r="D864" s="1" t="n">
        <v>0</v>
      </c>
    </row>
    <row r="865">
      <c r="A865" t="inlineStr">
        <is>
          <t>qaly / health / cycle 131</t>
        </is>
      </c>
      <c r="B865" s="1" t="n">
        <v>0.065</v>
      </c>
      <c r="C865" s="1" t="n">
        <v>0.04583333333333334</v>
      </c>
      <c r="D865" s="1" t="n">
        <v>0</v>
      </c>
    </row>
    <row r="866">
      <c r="A866" t="inlineStr">
        <is>
          <t>qaly / health / cycle 132</t>
        </is>
      </c>
      <c r="B866" s="1" t="n">
        <v>0.065</v>
      </c>
      <c r="C866" s="1" t="n">
        <v>0.04583333333333334</v>
      </c>
      <c r="D866" s="1" t="n">
        <v>0</v>
      </c>
    </row>
    <row r="867">
      <c r="A867" t="inlineStr">
        <is>
          <t>qaly / health / cycle 133</t>
        </is>
      </c>
      <c r="B867" s="1" t="n">
        <v>0.065</v>
      </c>
      <c r="C867" s="1" t="n">
        <v>0.04583333333333334</v>
      </c>
      <c r="D867" s="1" t="n">
        <v>0</v>
      </c>
    </row>
    <row r="868">
      <c r="A868" t="inlineStr">
        <is>
          <t>qaly / health / cycle 134</t>
        </is>
      </c>
      <c r="B868" s="1" t="n">
        <v>0.065</v>
      </c>
      <c r="C868" s="1" t="n">
        <v>0.04583333333333334</v>
      </c>
      <c r="D868" s="1" t="n">
        <v>0</v>
      </c>
    </row>
    <row r="869">
      <c r="A869" t="inlineStr">
        <is>
          <t>qaly / health / cycle 135</t>
        </is>
      </c>
      <c r="B869" s="1" t="n">
        <v>0.065</v>
      </c>
      <c r="C869" s="1" t="n">
        <v>0.04583333333333334</v>
      </c>
      <c r="D869" s="1" t="n">
        <v>0</v>
      </c>
    </row>
    <row r="870">
      <c r="A870" t="inlineStr">
        <is>
          <t>qaly / health / cycle 136</t>
        </is>
      </c>
      <c r="B870" s="1" t="n">
        <v>0.065</v>
      </c>
      <c r="C870" s="1" t="n">
        <v>0.04583333333333334</v>
      </c>
      <c r="D870" s="1" t="n">
        <v>0</v>
      </c>
    </row>
    <row r="871">
      <c r="A871" t="inlineStr">
        <is>
          <t>qaly / health / cycle 137</t>
        </is>
      </c>
      <c r="B871" s="1" t="n">
        <v>0.065</v>
      </c>
      <c r="C871" s="1" t="n">
        <v>0.04583333333333334</v>
      </c>
      <c r="D871" s="1" t="n">
        <v>0</v>
      </c>
    </row>
    <row r="872">
      <c r="A872" t="inlineStr">
        <is>
          <t>qaly / health / cycle 138</t>
        </is>
      </c>
      <c r="B872" s="1" t="n">
        <v>0.065</v>
      </c>
      <c r="C872" s="1" t="n">
        <v>0.04583333333333334</v>
      </c>
      <c r="D872" s="1" t="n">
        <v>0</v>
      </c>
    </row>
    <row r="873">
      <c r="A873" t="inlineStr">
        <is>
          <t>qaly / health / cycle 139</t>
        </is>
      </c>
      <c r="B873" s="1" t="n">
        <v>0.065</v>
      </c>
      <c r="C873" s="1" t="n">
        <v>0.04583333333333334</v>
      </c>
      <c r="D873" s="1" t="n">
        <v>0</v>
      </c>
    </row>
    <row r="874">
      <c r="A874" t="inlineStr">
        <is>
          <t>qaly / health / cycle 140</t>
        </is>
      </c>
      <c r="B874" s="1" t="n">
        <v>0.065</v>
      </c>
      <c r="C874" s="1" t="n">
        <v>0.04583333333333334</v>
      </c>
      <c r="D874" s="1" t="n">
        <v>0</v>
      </c>
    </row>
    <row r="875">
      <c r="A875" t="inlineStr">
        <is>
          <t>qaly / health / cycle 141</t>
        </is>
      </c>
      <c r="B875" s="1" t="n">
        <v>0.065</v>
      </c>
      <c r="C875" s="1" t="n">
        <v>0.04583333333333334</v>
      </c>
      <c r="D875" s="1" t="n">
        <v>0</v>
      </c>
    </row>
    <row r="876">
      <c r="A876" t="inlineStr">
        <is>
          <t>qaly / health / cycle 142</t>
        </is>
      </c>
      <c r="B876" s="1" t="n">
        <v>0.065</v>
      </c>
      <c r="C876" s="1" t="n">
        <v>0.04583333333333334</v>
      </c>
      <c r="D876" s="1" t="n">
        <v>0</v>
      </c>
    </row>
    <row r="877">
      <c r="A877" t="inlineStr">
        <is>
          <t>qaly / health / cycle 143</t>
        </is>
      </c>
      <c r="B877" s="1" t="n">
        <v>0.065</v>
      </c>
      <c r="C877" s="1" t="n">
        <v>0.04583333333333334</v>
      </c>
      <c r="D877" s="1" t="n">
        <v>0</v>
      </c>
    </row>
    <row r="878">
      <c r="A878" t="inlineStr">
        <is>
          <t>qaly / health / cycle 144</t>
        </is>
      </c>
      <c r="B878" s="1" t="n">
        <v>0.065</v>
      </c>
      <c r="C878" s="1" t="n">
        <v>0.04583333333333334</v>
      </c>
      <c r="D878" s="1" t="n">
        <v>0</v>
      </c>
    </row>
    <row r="879">
      <c r="A879" t="inlineStr">
        <is>
          <t>qaly / health / cycle 145</t>
        </is>
      </c>
      <c r="B879" s="1" t="n">
        <v>0.065</v>
      </c>
      <c r="C879" s="1" t="n">
        <v>0.04583333333333334</v>
      </c>
      <c r="D879" s="1" t="n">
        <v>0</v>
      </c>
    </row>
    <row r="880">
      <c r="A880" t="inlineStr">
        <is>
          <t>qaly / health / cycle 146</t>
        </is>
      </c>
      <c r="B880" s="1" t="n">
        <v>0.065</v>
      </c>
      <c r="C880" s="1" t="n">
        <v>0.04583333333333334</v>
      </c>
      <c r="D880" s="1" t="n">
        <v>0</v>
      </c>
    </row>
    <row r="881">
      <c r="A881" t="inlineStr">
        <is>
          <t>qaly / health / cycle 147</t>
        </is>
      </c>
      <c r="B881" s="1" t="n">
        <v>0.065</v>
      </c>
      <c r="C881" s="1" t="n">
        <v>0.04583333333333334</v>
      </c>
      <c r="D881" s="1" t="n">
        <v>0</v>
      </c>
    </row>
    <row r="882">
      <c r="A882" t="inlineStr">
        <is>
          <t>qaly / health / cycle 148</t>
        </is>
      </c>
      <c r="B882" s="1" t="n">
        <v>0.065</v>
      </c>
      <c r="C882" s="1" t="n">
        <v>0.04583333333333334</v>
      </c>
      <c r="D882" s="1" t="n">
        <v>0</v>
      </c>
    </row>
    <row r="883">
      <c r="A883" t="inlineStr">
        <is>
          <t>qaly / health / cycle 149</t>
        </is>
      </c>
      <c r="B883" s="1" t="n">
        <v>0.065</v>
      </c>
      <c r="C883" s="1" t="n">
        <v>0.04583333333333334</v>
      </c>
      <c r="D883" s="1" t="n">
        <v>0</v>
      </c>
    </row>
    <row r="884">
      <c r="A884" t="inlineStr">
        <is>
          <t>qaly / health / cycle 150</t>
        </is>
      </c>
      <c r="B884" s="1" t="n">
        <v>0.065</v>
      </c>
      <c r="C884" s="1" t="n">
        <v>0.04583333333333334</v>
      </c>
      <c r="D884" s="1" t="n">
        <v>0</v>
      </c>
    </row>
    <row r="885">
      <c r="A885" t="inlineStr">
        <is>
          <t>qaly / health / cycle 151</t>
        </is>
      </c>
      <c r="B885" s="1" t="n">
        <v>0.065</v>
      </c>
      <c r="C885" s="1" t="n">
        <v>0.04583333333333334</v>
      </c>
      <c r="D885" s="1" t="n">
        <v>0</v>
      </c>
    </row>
    <row r="886">
      <c r="A886" t="inlineStr">
        <is>
          <t>qaly / health / cycle 152</t>
        </is>
      </c>
      <c r="B886" s="1" t="n">
        <v>0.065</v>
      </c>
      <c r="C886" s="1" t="n">
        <v>0.04583333333333334</v>
      </c>
      <c r="D886" s="1" t="n">
        <v>0</v>
      </c>
    </row>
    <row r="887">
      <c r="A887" t="inlineStr">
        <is>
          <t>qaly / health / cycle 153</t>
        </is>
      </c>
      <c r="B887" s="1" t="n">
        <v>0.065</v>
      </c>
      <c r="C887" s="1" t="n">
        <v>0.04583333333333334</v>
      </c>
      <c r="D887" s="1" t="n">
        <v>0</v>
      </c>
    </row>
    <row r="888">
      <c r="A888" t="inlineStr">
        <is>
          <t>qaly / health / cycle 154</t>
        </is>
      </c>
      <c r="B888" s="1" t="n">
        <v>0.065</v>
      </c>
      <c r="C888" s="1" t="n">
        <v>0.04583333333333334</v>
      </c>
      <c r="D888" s="1" t="n">
        <v>0</v>
      </c>
    </row>
    <row r="889">
      <c r="A889" t="inlineStr">
        <is>
          <t>qaly / health / cycle 155</t>
        </is>
      </c>
      <c r="B889" s="1" t="n">
        <v>0.065</v>
      </c>
      <c r="C889" s="1" t="n">
        <v>0.04583333333333334</v>
      </c>
      <c r="D889" s="1" t="n">
        <v>0</v>
      </c>
    </row>
    <row r="890">
      <c r="A890" t="inlineStr">
        <is>
          <t>qaly / health / cycle 156</t>
        </is>
      </c>
      <c r="B890" s="1" t="n">
        <v>0.065</v>
      </c>
      <c r="C890" s="1" t="n">
        <v>0.04583333333333334</v>
      </c>
      <c r="D890" s="1" t="n">
        <v>0</v>
      </c>
    </row>
    <row r="891">
      <c r="A891" t="inlineStr">
        <is>
          <t>qaly / health / cycle 157</t>
        </is>
      </c>
      <c r="B891" s="1" t="n">
        <v>0.065</v>
      </c>
      <c r="C891" s="1" t="n">
        <v>0.04583333333333334</v>
      </c>
      <c r="D891" s="1" t="n">
        <v>0</v>
      </c>
    </row>
    <row r="892">
      <c r="A892" t="inlineStr">
        <is>
          <t>qaly / health / cycle 158</t>
        </is>
      </c>
      <c r="B892" s="1" t="n">
        <v>0.065</v>
      </c>
      <c r="C892" s="1" t="n">
        <v>0.04583333333333334</v>
      </c>
      <c r="D892" s="1" t="n">
        <v>0</v>
      </c>
    </row>
    <row r="893">
      <c r="A893" t="inlineStr">
        <is>
          <t>qaly / health / cycle 159</t>
        </is>
      </c>
      <c r="B893" s="1" t="n">
        <v>0.065</v>
      </c>
      <c r="C893" s="1" t="n">
        <v>0.04583333333333334</v>
      </c>
      <c r="D893" s="1" t="n">
        <v>0</v>
      </c>
    </row>
    <row r="894">
      <c r="A894" t="inlineStr">
        <is>
          <t>qaly / health / cycle 160</t>
        </is>
      </c>
      <c r="B894" s="1" t="n">
        <v>0.065</v>
      </c>
      <c r="C894" s="1" t="n">
        <v>0.04583333333333334</v>
      </c>
      <c r="D894" s="1" t="n">
        <v>0</v>
      </c>
    </row>
    <row r="895">
      <c r="A895" t="inlineStr">
        <is>
          <t>qaly / health / cycle 161</t>
        </is>
      </c>
      <c r="B895" s="1" t="n">
        <v>0.065</v>
      </c>
      <c r="C895" s="1" t="n">
        <v>0.04583333333333334</v>
      </c>
      <c r="D895" s="1" t="n">
        <v>0</v>
      </c>
    </row>
    <row r="896">
      <c r="A896" t="inlineStr">
        <is>
          <t>qaly / health / cycle 162</t>
        </is>
      </c>
      <c r="B896" s="1" t="n">
        <v>0.065</v>
      </c>
      <c r="C896" s="1" t="n">
        <v>0.04583333333333334</v>
      </c>
      <c r="D896" s="1" t="n">
        <v>0</v>
      </c>
    </row>
    <row r="897">
      <c r="A897" t="inlineStr">
        <is>
          <t>qaly / health / cycle 163</t>
        </is>
      </c>
      <c r="B897" s="1" t="n">
        <v>0.065</v>
      </c>
      <c r="C897" s="1" t="n">
        <v>0.04583333333333334</v>
      </c>
      <c r="D897" s="1" t="n">
        <v>0</v>
      </c>
    </row>
    <row r="898">
      <c r="A898" t="inlineStr">
        <is>
          <t>qaly / health / cycle 164</t>
        </is>
      </c>
      <c r="B898" s="1" t="n">
        <v>0.065</v>
      </c>
      <c r="C898" s="1" t="n">
        <v>0.04583333333333334</v>
      </c>
      <c r="D898" s="1" t="n">
        <v>0</v>
      </c>
    </row>
    <row r="899">
      <c r="A899" t="inlineStr">
        <is>
          <t>qaly / health / cycle 165</t>
        </is>
      </c>
      <c r="B899" s="1" t="n">
        <v>0.065</v>
      </c>
      <c r="C899" s="1" t="n">
        <v>0.04583333333333334</v>
      </c>
      <c r="D899" s="1" t="n">
        <v>0</v>
      </c>
    </row>
    <row r="900">
      <c r="A900" t="inlineStr">
        <is>
          <t>qaly / health / cycle 166</t>
        </is>
      </c>
      <c r="B900" s="1" t="n">
        <v>0.065</v>
      </c>
      <c r="C900" s="1" t="n">
        <v>0.04583333333333334</v>
      </c>
      <c r="D900" s="1" t="n">
        <v>0</v>
      </c>
    </row>
    <row r="901">
      <c r="A901" t="inlineStr">
        <is>
          <t>qaly / health / cycle 167</t>
        </is>
      </c>
      <c r="B901" s="1" t="n">
        <v>0.065</v>
      </c>
      <c r="C901" s="1" t="n">
        <v>0.04583333333333334</v>
      </c>
      <c r="D901" s="1" t="n">
        <v>0</v>
      </c>
    </row>
    <row r="902">
      <c r="A902" t="inlineStr">
        <is>
          <t>qaly / health / cycle 168</t>
        </is>
      </c>
      <c r="B902" s="1" t="n">
        <v>0.065</v>
      </c>
      <c r="C902" s="1" t="n">
        <v>0.04583333333333334</v>
      </c>
      <c r="D902" s="1" t="n">
        <v>0</v>
      </c>
    </row>
    <row r="903">
      <c r="A903" t="inlineStr">
        <is>
          <t>qaly / health / cycle 169</t>
        </is>
      </c>
      <c r="B903" s="1" t="n">
        <v>0.065</v>
      </c>
      <c r="C903" s="1" t="n">
        <v>0.04583333333333334</v>
      </c>
      <c r="D903" s="1" t="n">
        <v>0</v>
      </c>
    </row>
    <row r="904">
      <c r="A904" t="inlineStr">
        <is>
          <t>qaly / health / cycle 170</t>
        </is>
      </c>
      <c r="B904" s="1" t="n">
        <v>0.065</v>
      </c>
      <c r="C904" s="1" t="n">
        <v>0.04583333333333334</v>
      </c>
      <c r="D904" s="1" t="n">
        <v>0</v>
      </c>
    </row>
    <row r="905">
      <c r="A905" t="inlineStr">
        <is>
          <t>qaly / health / cycle 171</t>
        </is>
      </c>
      <c r="B905" s="1" t="n">
        <v>0.065</v>
      </c>
      <c r="C905" s="1" t="n">
        <v>0.04583333333333334</v>
      </c>
      <c r="D905" s="1" t="n">
        <v>0</v>
      </c>
    </row>
    <row r="906">
      <c r="A906" t="inlineStr">
        <is>
          <t>qaly / health / cycle 172</t>
        </is>
      </c>
      <c r="B906" s="1" t="n">
        <v>0.065</v>
      </c>
      <c r="C906" s="1" t="n">
        <v>0.04583333333333334</v>
      </c>
      <c r="D906" s="1" t="n">
        <v>0</v>
      </c>
    </row>
    <row r="907">
      <c r="A907" t="inlineStr">
        <is>
          <t>qaly / health / cycle 173</t>
        </is>
      </c>
      <c r="B907" s="1" t="n">
        <v>0.065</v>
      </c>
      <c r="C907" s="1" t="n">
        <v>0.04583333333333334</v>
      </c>
      <c r="D907" s="1" t="n">
        <v>0</v>
      </c>
    </row>
    <row r="908">
      <c r="A908" t="inlineStr">
        <is>
          <t>qaly / health / cycle 174</t>
        </is>
      </c>
      <c r="B908" s="1" t="n">
        <v>0.065</v>
      </c>
      <c r="C908" s="1" t="n">
        <v>0.04583333333333334</v>
      </c>
      <c r="D908" s="1" t="n">
        <v>0</v>
      </c>
    </row>
    <row r="909">
      <c r="A909" t="inlineStr">
        <is>
          <t>qaly / health / cycle 175</t>
        </is>
      </c>
      <c r="B909" s="1" t="n">
        <v>0.065</v>
      </c>
      <c r="C909" s="1" t="n">
        <v>0.04583333333333334</v>
      </c>
      <c r="D909" s="1" t="n">
        <v>0</v>
      </c>
    </row>
    <row r="910">
      <c r="A910" t="inlineStr">
        <is>
          <t>qaly / health / cycle 176</t>
        </is>
      </c>
      <c r="B910" s="1" t="n">
        <v>0.065</v>
      </c>
      <c r="C910" s="1" t="n">
        <v>0.04583333333333334</v>
      </c>
      <c r="D910" s="1" t="n">
        <v>0</v>
      </c>
    </row>
    <row r="911">
      <c r="A911" t="inlineStr">
        <is>
          <t>qaly / health / cycle 177</t>
        </is>
      </c>
      <c r="B911" s="1" t="n">
        <v>0.065</v>
      </c>
      <c r="C911" s="1" t="n">
        <v>0.04583333333333334</v>
      </c>
      <c r="D911" s="1" t="n">
        <v>0</v>
      </c>
    </row>
    <row r="912">
      <c r="A912" t="inlineStr">
        <is>
          <t>qaly / health / cycle 178</t>
        </is>
      </c>
      <c r="B912" s="1" t="n">
        <v>0.065</v>
      </c>
      <c r="C912" s="1" t="n">
        <v>0.04583333333333334</v>
      </c>
      <c r="D912" s="1" t="n">
        <v>0</v>
      </c>
    </row>
    <row r="913">
      <c r="A913" t="inlineStr">
        <is>
          <t>qaly / health / cycle 179</t>
        </is>
      </c>
      <c r="B913" s="1" t="n">
        <v>0.065</v>
      </c>
      <c r="C913" s="1" t="n">
        <v>0.04583333333333334</v>
      </c>
      <c r="D913" s="1" t="n">
        <v>0</v>
      </c>
    </row>
    <row r="914">
      <c r="A914" t="inlineStr">
        <is>
          <t>qaly / health / cycle 180</t>
        </is>
      </c>
      <c r="B914" s="1" t="n">
        <v>0.065</v>
      </c>
      <c r="C914" s="1" t="n">
        <v>0.04583333333333334</v>
      </c>
      <c r="D914" s="1" t="n">
        <v>0</v>
      </c>
    </row>
    <row r="915">
      <c r="A915" t="inlineStr">
        <is>
          <t>qaly / health / cycle 181</t>
        </is>
      </c>
      <c r="B915" s="1" t="n">
        <v>0.065</v>
      </c>
      <c r="C915" s="1" t="n">
        <v>0.04583333333333334</v>
      </c>
      <c r="D915" s="1" t="n">
        <v>0</v>
      </c>
    </row>
    <row r="916">
      <c r="A916" t="inlineStr">
        <is>
          <t>qaly / health / cycle 182</t>
        </is>
      </c>
      <c r="B916" s="1" t="n">
        <v>0.065</v>
      </c>
      <c r="C916" s="1" t="n">
        <v>0.04583333333333334</v>
      </c>
      <c r="D916" s="1" t="n">
        <v>0</v>
      </c>
    </row>
    <row r="917">
      <c r="A917" t="inlineStr">
        <is>
          <t>qaly / health / cycle 183</t>
        </is>
      </c>
      <c r="B917" s="1" t="n">
        <v>0.065</v>
      </c>
      <c r="C917" s="1" t="n">
        <v>0.04583333333333334</v>
      </c>
      <c r="D917" s="1" t="n">
        <v>0</v>
      </c>
    </row>
    <row r="918">
      <c r="A918" t="inlineStr">
        <is>
          <t>qaly / health / cycle 184</t>
        </is>
      </c>
      <c r="B918" s="1" t="n">
        <v>0.065</v>
      </c>
      <c r="C918" s="1" t="n">
        <v>0.04583333333333334</v>
      </c>
      <c r="D918" s="1" t="n">
        <v>0</v>
      </c>
    </row>
    <row r="919">
      <c r="A919" t="inlineStr">
        <is>
          <t>qaly / health / cycle 185</t>
        </is>
      </c>
      <c r="B919" s="1" t="n">
        <v>0.065</v>
      </c>
      <c r="C919" s="1" t="n">
        <v>0.04583333333333334</v>
      </c>
      <c r="D919" s="1" t="n">
        <v>0</v>
      </c>
    </row>
    <row r="920">
      <c r="A920" t="inlineStr">
        <is>
          <t>qaly / health / cycle 186</t>
        </is>
      </c>
      <c r="B920" s="1" t="n">
        <v>0.065</v>
      </c>
      <c r="C920" s="1" t="n">
        <v>0.04583333333333334</v>
      </c>
      <c r="D920" s="1" t="n">
        <v>0</v>
      </c>
    </row>
    <row r="921">
      <c r="A921" t="inlineStr">
        <is>
          <t>qaly / health / cycle 187</t>
        </is>
      </c>
      <c r="B921" s="1" t="n">
        <v>0.065</v>
      </c>
      <c r="C921" s="1" t="n">
        <v>0.04583333333333334</v>
      </c>
      <c r="D921" s="1" t="n">
        <v>0</v>
      </c>
    </row>
    <row r="922">
      <c r="A922" t="inlineStr">
        <is>
          <t>qaly / health / cycle 188</t>
        </is>
      </c>
      <c r="B922" s="1" t="n">
        <v>0.065</v>
      </c>
      <c r="C922" s="1" t="n">
        <v>0.04583333333333334</v>
      </c>
      <c r="D922" s="1" t="n">
        <v>0</v>
      </c>
    </row>
    <row r="923">
      <c r="A923" t="inlineStr">
        <is>
          <t>qaly / health / cycle 189</t>
        </is>
      </c>
      <c r="B923" s="1" t="n">
        <v>0.065</v>
      </c>
      <c r="C923" s="1" t="n">
        <v>0.04583333333333334</v>
      </c>
      <c r="D923" s="1" t="n">
        <v>0</v>
      </c>
    </row>
    <row r="924">
      <c r="A924" t="inlineStr">
        <is>
          <t>qaly / health / cycle 190</t>
        </is>
      </c>
      <c r="B924" s="1" t="n">
        <v>0.065</v>
      </c>
      <c r="C924" s="1" t="n">
        <v>0.04583333333333334</v>
      </c>
      <c r="D924" s="1" t="n">
        <v>0</v>
      </c>
    </row>
    <row r="925">
      <c r="A925" t="inlineStr">
        <is>
          <t>qaly / health / cycle 191</t>
        </is>
      </c>
      <c r="B925" s="1" t="n">
        <v>0.065</v>
      </c>
      <c r="C925" s="1" t="n">
        <v>0.04583333333333334</v>
      </c>
      <c r="D925" s="1" t="n">
        <v>0</v>
      </c>
    </row>
    <row r="926">
      <c r="A926" t="inlineStr">
        <is>
          <t>qaly / health / cycle 192</t>
        </is>
      </c>
      <c r="B926" s="1" t="n">
        <v>0.065</v>
      </c>
      <c r="C926" s="1" t="n">
        <v>0.04583333333333334</v>
      </c>
      <c r="D926" s="1" t="n">
        <v>0</v>
      </c>
    </row>
    <row r="927">
      <c r="A927" t="inlineStr">
        <is>
          <t>qaly / health / cycle 193</t>
        </is>
      </c>
      <c r="B927" s="1" t="n">
        <v>0.065</v>
      </c>
      <c r="C927" s="1" t="n">
        <v>0.04583333333333334</v>
      </c>
      <c r="D927" s="1" t="n">
        <v>0</v>
      </c>
    </row>
    <row r="928">
      <c r="A928" t="inlineStr">
        <is>
          <t>qaly / health / cycle 194</t>
        </is>
      </c>
      <c r="B928" s="1" t="n">
        <v>0.065</v>
      </c>
      <c r="C928" s="1" t="n">
        <v>0.04583333333333334</v>
      </c>
      <c r="D928" s="1" t="n">
        <v>0</v>
      </c>
    </row>
    <row r="929">
      <c r="A929" t="inlineStr">
        <is>
          <t>qaly / health / cycle 195</t>
        </is>
      </c>
      <c r="B929" s="1" t="n">
        <v>0.065</v>
      </c>
      <c r="C929" s="1" t="n">
        <v>0.04583333333333334</v>
      </c>
      <c r="D929" s="1" t="n">
        <v>0</v>
      </c>
    </row>
    <row r="930">
      <c r="A930" t="inlineStr">
        <is>
          <t>qaly / health / cycle 196</t>
        </is>
      </c>
      <c r="B930" s="1" t="n">
        <v>0.065</v>
      </c>
      <c r="C930" s="1" t="n">
        <v>0.04583333333333334</v>
      </c>
      <c r="D930" s="1" t="n">
        <v>0</v>
      </c>
    </row>
    <row r="931">
      <c r="A931" t="inlineStr">
        <is>
          <t>qaly / health / cycle 197</t>
        </is>
      </c>
      <c r="B931" s="1" t="n">
        <v>0.065</v>
      </c>
      <c r="C931" s="1" t="n">
        <v>0.04583333333333334</v>
      </c>
      <c r="D931" s="1" t="n">
        <v>0</v>
      </c>
    </row>
    <row r="932">
      <c r="A932" t="inlineStr">
        <is>
          <t>qaly / health / cycle 198</t>
        </is>
      </c>
      <c r="B932" s="1" t="n">
        <v>0.065</v>
      </c>
      <c r="C932" s="1" t="n">
        <v>0.04583333333333334</v>
      </c>
      <c r="D932" s="1" t="n">
        <v>0</v>
      </c>
    </row>
    <row r="933">
      <c r="A933" t="inlineStr">
        <is>
          <t>qaly / health / cycle 199</t>
        </is>
      </c>
      <c r="B933" s="1" t="n">
        <v>0.065</v>
      </c>
      <c r="C933" s="1" t="n">
        <v>0.04583333333333334</v>
      </c>
      <c r="D933" s="1" t="n">
        <v>0</v>
      </c>
    </row>
    <row r="934">
      <c r="A934" t="inlineStr">
        <is>
          <t>qaly / health / cycle 200</t>
        </is>
      </c>
      <c r="B934" s="1" t="n">
        <v>0.065</v>
      </c>
      <c r="C934" s="1" t="n">
        <v>0.04583333333333334</v>
      </c>
      <c r="D934" s="1" t="n">
        <v>0</v>
      </c>
    </row>
    <row r="935">
      <c r="A935" t="inlineStr">
        <is>
          <t>qaly / health / cycle 201</t>
        </is>
      </c>
      <c r="B935" s="1" t="n">
        <v>0.065</v>
      </c>
      <c r="C935" s="1" t="n">
        <v>0.04583333333333334</v>
      </c>
      <c r="D935" s="1" t="n">
        <v>0</v>
      </c>
    </row>
    <row r="936">
      <c r="A936" t="inlineStr">
        <is>
          <t>qaly / health / cycle 202</t>
        </is>
      </c>
      <c r="B936" s="1" t="n">
        <v>0.065</v>
      </c>
      <c r="C936" s="1" t="n">
        <v>0.04583333333333334</v>
      </c>
      <c r="D936" s="1" t="n">
        <v>0</v>
      </c>
    </row>
    <row r="937">
      <c r="A937" t="inlineStr">
        <is>
          <t>qaly / health / cycle 203</t>
        </is>
      </c>
      <c r="B937" s="1" t="n">
        <v>0.065</v>
      </c>
      <c r="C937" s="1" t="n">
        <v>0.04583333333333334</v>
      </c>
      <c r="D937" s="1" t="n">
        <v>0</v>
      </c>
    </row>
    <row r="938">
      <c r="A938" t="inlineStr">
        <is>
          <t>qaly / health / cycle 204</t>
        </is>
      </c>
      <c r="B938" s="1" t="n">
        <v>0.065</v>
      </c>
      <c r="C938" s="1" t="n">
        <v>0.04583333333333334</v>
      </c>
      <c r="D938" s="1" t="n">
        <v>0</v>
      </c>
    </row>
    <row r="939">
      <c r="A939" t="inlineStr">
        <is>
          <t>qaly / health / cycle 205</t>
        </is>
      </c>
      <c r="B939" s="1" t="n">
        <v>0.065</v>
      </c>
      <c r="C939" s="1" t="n">
        <v>0.04583333333333334</v>
      </c>
      <c r="D939" s="1" t="n">
        <v>0</v>
      </c>
    </row>
    <row r="940">
      <c r="A940" t="inlineStr">
        <is>
          <t>qaly / health / cycle 206</t>
        </is>
      </c>
      <c r="B940" s="1" t="n">
        <v>0.065</v>
      </c>
      <c r="C940" s="1" t="n">
        <v>0.04583333333333334</v>
      </c>
      <c r="D940" s="1" t="n">
        <v>0</v>
      </c>
    </row>
    <row r="941">
      <c r="A941" t="inlineStr">
        <is>
          <t>qaly / health / cycle 207</t>
        </is>
      </c>
      <c r="B941" s="1" t="n">
        <v>0.065</v>
      </c>
      <c r="C941" s="1" t="n">
        <v>0.04583333333333334</v>
      </c>
      <c r="D941" s="1" t="n">
        <v>0</v>
      </c>
    </row>
    <row r="942">
      <c r="A942" t="inlineStr">
        <is>
          <t>qaly / health / cycle 208</t>
        </is>
      </c>
      <c r="B942" s="1" t="n">
        <v>0.065</v>
      </c>
      <c r="C942" s="1" t="n">
        <v>0.04583333333333334</v>
      </c>
      <c r="D942" s="1" t="n">
        <v>0</v>
      </c>
    </row>
    <row r="943">
      <c r="A943" t="inlineStr">
        <is>
          <t>qaly / health / cycle 209</t>
        </is>
      </c>
      <c r="B943" s="1" t="n">
        <v>0.065</v>
      </c>
      <c r="C943" s="1" t="n">
        <v>0.04583333333333334</v>
      </c>
      <c r="D943" s="1" t="n">
        <v>0</v>
      </c>
    </row>
    <row r="944">
      <c r="A944" t="inlineStr">
        <is>
          <t>qaly / health / cycle 210</t>
        </is>
      </c>
      <c r="B944" s="1" t="n">
        <v>0.065</v>
      </c>
      <c r="C944" s="1" t="n">
        <v>0.04583333333333334</v>
      </c>
      <c r="D944" s="1" t="n">
        <v>0</v>
      </c>
    </row>
    <row r="945">
      <c r="A945" t="inlineStr">
        <is>
          <t>qaly / health / cycle 211</t>
        </is>
      </c>
      <c r="B945" s="1" t="n">
        <v>0.065</v>
      </c>
      <c r="C945" s="1" t="n">
        <v>0.04583333333333334</v>
      </c>
      <c r="D945" s="1" t="n">
        <v>0</v>
      </c>
    </row>
    <row r="946">
      <c r="A946" t="inlineStr">
        <is>
          <t>qaly / health / cycle 212</t>
        </is>
      </c>
      <c r="B946" s="1" t="n">
        <v>0.065</v>
      </c>
      <c r="C946" s="1" t="n">
        <v>0.04583333333333334</v>
      </c>
      <c r="D946" s="1" t="n">
        <v>0</v>
      </c>
    </row>
    <row r="947">
      <c r="A947" t="inlineStr">
        <is>
          <t>qaly / health / cycle 213</t>
        </is>
      </c>
      <c r="B947" s="1" t="n">
        <v>0.065</v>
      </c>
      <c r="C947" s="1" t="n">
        <v>0.04583333333333334</v>
      </c>
      <c r="D947" s="1" t="n">
        <v>0</v>
      </c>
    </row>
    <row r="948">
      <c r="A948" t="inlineStr">
        <is>
          <t>qaly / health / cycle 214</t>
        </is>
      </c>
      <c r="B948" s="1" t="n">
        <v>0.065</v>
      </c>
      <c r="C948" s="1" t="n">
        <v>0.04583333333333334</v>
      </c>
      <c r="D948" s="1" t="n">
        <v>0</v>
      </c>
    </row>
    <row r="949">
      <c r="A949" t="inlineStr">
        <is>
          <t>qaly / health / cycle 215</t>
        </is>
      </c>
      <c r="B949" s="1" t="n">
        <v>0.065</v>
      </c>
      <c r="C949" s="1" t="n">
        <v>0.04583333333333334</v>
      </c>
      <c r="D949" s="1" t="n">
        <v>0</v>
      </c>
    </row>
    <row r="950">
      <c r="A950" t="inlineStr">
        <is>
          <t>qaly / health / cycle 216</t>
        </is>
      </c>
      <c r="B950" s="1" t="n">
        <v>0.065</v>
      </c>
      <c r="C950" s="1" t="n">
        <v>0.04583333333333334</v>
      </c>
      <c r="D950" s="1" t="n">
        <v>0</v>
      </c>
    </row>
    <row r="951">
      <c r="A951" t="inlineStr">
        <is>
          <t>qaly / health / cycle 217</t>
        </is>
      </c>
      <c r="B951" s="1" t="n">
        <v>0.065</v>
      </c>
      <c r="C951" s="1" t="n">
        <v>0.04583333333333334</v>
      </c>
      <c r="D951" s="1" t="n">
        <v>0</v>
      </c>
    </row>
    <row r="952">
      <c r="A952" t="inlineStr">
        <is>
          <t>qaly / health / cycle 218</t>
        </is>
      </c>
      <c r="B952" s="1" t="n">
        <v>0.065</v>
      </c>
      <c r="C952" s="1" t="n">
        <v>0.04583333333333334</v>
      </c>
      <c r="D952" s="1" t="n">
        <v>0</v>
      </c>
    </row>
    <row r="953">
      <c r="A953" t="inlineStr">
        <is>
          <t>qaly / health / cycle 219</t>
        </is>
      </c>
      <c r="B953" s="1" t="n">
        <v>0.065</v>
      </c>
      <c r="C953" s="1" t="n">
        <v>0.04583333333333334</v>
      </c>
      <c r="D953" s="1" t="n">
        <v>0</v>
      </c>
    </row>
    <row r="954">
      <c r="A954" t="inlineStr">
        <is>
          <t>qaly / health / cycle 220</t>
        </is>
      </c>
      <c r="B954" s="1" t="n">
        <v>0.065</v>
      </c>
      <c r="C954" s="1" t="n">
        <v>0.04583333333333334</v>
      </c>
      <c r="D954" s="1" t="n">
        <v>0</v>
      </c>
    </row>
    <row r="955">
      <c r="A955" t="inlineStr">
        <is>
          <t>qaly / health / cycle 221</t>
        </is>
      </c>
      <c r="B955" s="1" t="n">
        <v>0.065</v>
      </c>
      <c r="C955" s="1" t="n">
        <v>0.04583333333333334</v>
      </c>
      <c r="D955" s="1" t="n">
        <v>0</v>
      </c>
    </row>
    <row r="956">
      <c r="A956" t="inlineStr">
        <is>
          <t>qaly / health / cycle 222</t>
        </is>
      </c>
      <c r="B956" s="1" t="n">
        <v>0.065</v>
      </c>
      <c r="C956" s="1" t="n">
        <v>0.04583333333333334</v>
      </c>
      <c r="D956" s="1" t="n">
        <v>0</v>
      </c>
    </row>
    <row r="957">
      <c r="A957" t="inlineStr">
        <is>
          <t>qaly / health / cycle 223</t>
        </is>
      </c>
      <c r="B957" s="1" t="n">
        <v>0.065</v>
      </c>
      <c r="C957" s="1" t="n">
        <v>0.04583333333333334</v>
      </c>
      <c r="D957" s="1" t="n">
        <v>0</v>
      </c>
    </row>
    <row r="958">
      <c r="A958" t="inlineStr">
        <is>
          <t>qaly / health / cycle 224</t>
        </is>
      </c>
      <c r="B958" s="1" t="n">
        <v>0.065</v>
      </c>
      <c r="C958" s="1" t="n">
        <v>0.04583333333333334</v>
      </c>
      <c r="D958" s="1" t="n">
        <v>0</v>
      </c>
    </row>
    <row r="959">
      <c r="A959" t="inlineStr">
        <is>
          <t>qaly / health / cycle 225</t>
        </is>
      </c>
      <c r="B959" s="1" t="n">
        <v>0.065</v>
      </c>
      <c r="C959" s="1" t="n">
        <v>0.04583333333333334</v>
      </c>
      <c r="D959" s="1" t="n">
        <v>0</v>
      </c>
    </row>
    <row r="960">
      <c r="A960" t="inlineStr">
        <is>
          <t>qaly / health / cycle 226</t>
        </is>
      </c>
      <c r="B960" s="1" t="n">
        <v>0.065</v>
      </c>
      <c r="C960" s="1" t="n">
        <v>0.04583333333333334</v>
      </c>
      <c r="D960" s="1" t="n">
        <v>0</v>
      </c>
    </row>
    <row r="961">
      <c r="A961" t="inlineStr">
        <is>
          <t>qaly / health / cycle 227</t>
        </is>
      </c>
      <c r="B961" s="1" t="n">
        <v>0.065</v>
      </c>
      <c r="C961" s="1" t="n">
        <v>0.04583333333333334</v>
      </c>
      <c r="D961" s="1" t="n">
        <v>0</v>
      </c>
    </row>
    <row r="962">
      <c r="A962" t="inlineStr">
        <is>
          <t>qaly / health / cycle 228</t>
        </is>
      </c>
      <c r="B962" s="1" t="n">
        <v>0.065</v>
      </c>
      <c r="C962" s="1" t="n">
        <v>0.04583333333333334</v>
      </c>
      <c r="D962" s="1" t="n">
        <v>0</v>
      </c>
    </row>
    <row r="963">
      <c r="A963" t="inlineStr">
        <is>
          <t>qaly / health / cycle 229</t>
        </is>
      </c>
      <c r="B963" s="1" t="n">
        <v>0.065</v>
      </c>
      <c r="C963" s="1" t="n">
        <v>0.04583333333333334</v>
      </c>
      <c r="D963" s="1" t="n">
        <v>0</v>
      </c>
    </row>
    <row r="964">
      <c r="A964" t="inlineStr">
        <is>
          <t>qaly / health / cycle 230</t>
        </is>
      </c>
      <c r="B964" s="1" t="n">
        <v>0.065</v>
      </c>
      <c r="C964" s="1" t="n">
        <v>0.04583333333333334</v>
      </c>
      <c r="D964" s="1" t="n">
        <v>0</v>
      </c>
    </row>
    <row r="965">
      <c r="A965" t="inlineStr">
        <is>
          <t>qaly / health / cycle 231</t>
        </is>
      </c>
      <c r="B965" s="1" t="n">
        <v>0.065</v>
      </c>
      <c r="C965" s="1" t="n">
        <v>0.04583333333333334</v>
      </c>
      <c r="D965" s="1" t="n">
        <v>0</v>
      </c>
    </row>
    <row r="966">
      <c r="A966" t="inlineStr">
        <is>
          <t>qaly / health / cycle 232</t>
        </is>
      </c>
      <c r="B966" s="1" t="n">
        <v>0.065</v>
      </c>
      <c r="C966" s="1" t="n">
        <v>0.04583333333333334</v>
      </c>
      <c r="D966" s="1" t="n">
        <v>0</v>
      </c>
    </row>
    <row r="967">
      <c r="A967" t="inlineStr">
        <is>
          <t>qaly / health / cycle 233</t>
        </is>
      </c>
      <c r="B967" s="1" t="n">
        <v>0.065</v>
      </c>
      <c r="C967" s="1" t="n">
        <v>0.04583333333333334</v>
      </c>
      <c r="D967" s="1" t="n">
        <v>0</v>
      </c>
    </row>
    <row r="968">
      <c r="A968" t="inlineStr">
        <is>
          <t>qaly / health / cycle 234</t>
        </is>
      </c>
      <c r="B968" s="1" t="n">
        <v>0.065</v>
      </c>
      <c r="C968" s="1" t="n">
        <v>0.04583333333333334</v>
      </c>
      <c r="D968" s="1" t="n">
        <v>0</v>
      </c>
    </row>
    <row r="969">
      <c r="A969" t="inlineStr">
        <is>
          <t>qaly / health / cycle 235</t>
        </is>
      </c>
      <c r="B969" s="1" t="n">
        <v>0.065</v>
      </c>
      <c r="C969" s="1" t="n">
        <v>0.04583333333333334</v>
      </c>
      <c r="D969" s="1" t="n">
        <v>0</v>
      </c>
    </row>
    <row r="970">
      <c r="A970" t="inlineStr">
        <is>
          <t>qaly / health / cycle 236</t>
        </is>
      </c>
      <c r="B970" s="1" t="n">
        <v>0.065</v>
      </c>
      <c r="C970" s="1" t="n">
        <v>0.04583333333333334</v>
      </c>
      <c r="D970" s="1" t="n">
        <v>0</v>
      </c>
    </row>
    <row r="971">
      <c r="A971" t="inlineStr">
        <is>
          <t>qaly / health / cycle 237</t>
        </is>
      </c>
      <c r="B971" s="1" t="n">
        <v>0.065</v>
      </c>
      <c r="C971" s="1" t="n">
        <v>0.04583333333333334</v>
      </c>
      <c r="D971" s="1" t="n">
        <v>0</v>
      </c>
    </row>
    <row r="972">
      <c r="A972" t="inlineStr">
        <is>
          <t>qaly / health / cycle 238</t>
        </is>
      </c>
      <c r="B972" s="1" t="n">
        <v>0.065</v>
      </c>
      <c r="C972" s="1" t="n">
        <v>0.04583333333333334</v>
      </c>
      <c r="D972" s="1" t="n">
        <v>0</v>
      </c>
    </row>
    <row r="973">
      <c r="A973" t="inlineStr">
        <is>
          <t>qaly / health / cycle 239</t>
        </is>
      </c>
      <c r="B973" s="1" t="n">
        <v>0.065</v>
      </c>
      <c r="C973" s="1" t="n">
        <v>0.04583333333333334</v>
      </c>
      <c r="D973" s="1" t="n">
        <v>0</v>
      </c>
    </row>
    <row r="974">
      <c r="A974" t="inlineStr">
        <is>
          <t>qaly / health / cycle 240</t>
        </is>
      </c>
      <c r="B974" s="1" t="n">
        <v>0.065</v>
      </c>
      <c r="C974" s="1" t="n">
        <v>0.04583333333333334</v>
      </c>
      <c r="D974" s="1" t="n">
        <v>0</v>
      </c>
    </row>
    <row r="975">
      <c r="A975" t="inlineStr">
        <is>
          <t>Starting cost / ae</t>
        </is>
      </c>
      <c r="B975" s="1" t="n">
        <v>2000</v>
      </c>
    </row>
    <row r="978">
      <c r="A978" t="inlineStr">
        <is>
          <t>Boundary</t>
        </is>
      </c>
      <c r="B978" t="inlineStr">
        <is>
          <t>PFS</t>
        </is>
      </c>
      <c r="C978" t="inlineStr">
        <is>
          <t>Progressed</t>
        </is>
      </c>
      <c r="D978" t="inlineStr">
        <is>
          <t>Dead</t>
        </is>
      </c>
    </row>
    <row r="979">
      <c r="A979" t="n">
        <v>0</v>
      </c>
      <c r="B979">
        <f>F979</f>
        <v/>
      </c>
      <c r="C979">
        <f>G979-F979</f>
        <v/>
      </c>
      <c r="D979">
        <f>1-G979</f>
        <v/>
      </c>
      <c r="F979">
        <f>EXP(-$B$11*(A979*$B$12))</f>
        <v/>
      </c>
      <c r="G979">
        <f>EXP(-$B$13*(A979*$B$14))</f>
        <v/>
      </c>
    </row>
    <row r="980">
      <c r="A980" t="n">
        <v>1</v>
      </c>
      <c r="B980">
        <f>F980</f>
        <v/>
      </c>
      <c r="C980">
        <f>G980-F980</f>
        <v/>
      </c>
      <c r="D980">
        <f>1-G980</f>
        <v/>
      </c>
      <c r="F980">
        <f>EXP(-$B$11*(A980*$B$12))</f>
        <v/>
      </c>
      <c r="G980">
        <f>EXP(-$B$13*(A980*$B$14))</f>
        <v/>
      </c>
    </row>
    <row r="981">
      <c r="A981" t="n">
        <v>2</v>
      </c>
      <c r="B981">
        <f>F981</f>
        <v/>
      </c>
      <c r="C981">
        <f>G981-F981</f>
        <v/>
      </c>
      <c r="D981">
        <f>1-G981</f>
        <v/>
      </c>
      <c r="F981">
        <f>EXP(-$B$11*(A981*$B$12))</f>
        <v/>
      </c>
      <c r="G981">
        <f>EXP(-$B$13*(A981*$B$14))</f>
        <v/>
      </c>
    </row>
    <row r="982">
      <c r="A982" t="n">
        <v>3</v>
      </c>
      <c r="B982">
        <f>F982</f>
        <v/>
      </c>
      <c r="C982">
        <f>G982-F982</f>
        <v/>
      </c>
      <c r="D982">
        <f>1-G982</f>
        <v/>
      </c>
      <c r="F982">
        <f>EXP(-$B$11*(A982*$B$12))</f>
        <v/>
      </c>
      <c r="G982">
        <f>EXP(-$B$13*(A982*$B$14))</f>
        <v/>
      </c>
    </row>
    <row r="983">
      <c r="A983" t="n">
        <v>4</v>
      </c>
      <c r="B983">
        <f>F983</f>
        <v/>
      </c>
      <c r="C983">
        <f>G983-F983</f>
        <v/>
      </c>
      <c r="D983">
        <f>1-G983</f>
        <v/>
      </c>
      <c r="F983">
        <f>EXP(-$B$11*(A983*$B$12))</f>
        <v/>
      </c>
      <c r="G983">
        <f>EXP(-$B$13*(A983*$B$14))</f>
        <v/>
      </c>
    </row>
    <row r="984">
      <c r="A984" t="n">
        <v>5</v>
      </c>
      <c r="B984">
        <f>F984</f>
        <v/>
      </c>
      <c r="C984">
        <f>G984-F984</f>
        <v/>
      </c>
      <c r="D984">
        <f>1-G984</f>
        <v/>
      </c>
      <c r="F984">
        <f>EXP(-$B$11*(A984*$B$12))</f>
        <v/>
      </c>
      <c r="G984">
        <f>EXP(-$B$13*(A984*$B$14))</f>
        <v/>
      </c>
    </row>
    <row r="985">
      <c r="A985" t="n">
        <v>6</v>
      </c>
      <c r="B985">
        <f>F985</f>
        <v/>
      </c>
      <c r="C985">
        <f>G985-F985</f>
        <v/>
      </c>
      <c r="D985">
        <f>1-G985</f>
        <v/>
      </c>
      <c r="F985">
        <f>EXP(-$B$11*(A985*$B$12))</f>
        <v/>
      </c>
      <c r="G985">
        <f>EXP(-$B$13*(A985*$B$14))</f>
        <v/>
      </c>
    </row>
    <row r="986">
      <c r="A986" t="n">
        <v>7</v>
      </c>
      <c r="B986">
        <f>F986</f>
        <v/>
      </c>
      <c r="C986">
        <f>G986-F986</f>
        <v/>
      </c>
      <c r="D986">
        <f>1-G986</f>
        <v/>
      </c>
      <c r="F986">
        <f>EXP(-$B$11*(A986*$B$12))</f>
        <v/>
      </c>
      <c r="G986">
        <f>EXP(-$B$13*(A986*$B$14))</f>
        <v/>
      </c>
    </row>
    <row r="987">
      <c r="A987" t="n">
        <v>8</v>
      </c>
      <c r="B987">
        <f>F987</f>
        <v/>
      </c>
      <c r="C987">
        <f>G987-F987</f>
        <v/>
      </c>
      <c r="D987">
        <f>1-G987</f>
        <v/>
      </c>
      <c r="F987">
        <f>EXP(-$B$11*(A987*$B$12))</f>
        <v/>
      </c>
      <c r="G987">
        <f>EXP(-$B$13*(A987*$B$14))</f>
        <v/>
      </c>
    </row>
    <row r="988">
      <c r="A988" t="n">
        <v>9</v>
      </c>
      <c r="B988">
        <f>F988</f>
        <v/>
      </c>
      <c r="C988">
        <f>G988-F988</f>
        <v/>
      </c>
      <c r="D988">
        <f>1-G988</f>
        <v/>
      </c>
      <c r="F988">
        <f>EXP(-$B$11*(A988*$B$12))</f>
        <v/>
      </c>
      <c r="G988">
        <f>EXP(-$B$13*(A988*$B$14))</f>
        <v/>
      </c>
    </row>
    <row r="989">
      <c r="A989" t="n">
        <v>10</v>
      </c>
      <c r="B989">
        <f>F989</f>
        <v/>
      </c>
      <c r="C989">
        <f>G989-F989</f>
        <v/>
      </c>
      <c r="D989">
        <f>1-G989</f>
        <v/>
      </c>
      <c r="F989">
        <f>EXP(-$B$11*(A989*$B$12))</f>
        <v/>
      </c>
      <c r="G989">
        <f>EXP(-$B$13*(A989*$B$14))</f>
        <v/>
      </c>
    </row>
    <row r="990">
      <c r="A990" t="n">
        <v>11</v>
      </c>
      <c r="B990">
        <f>F990</f>
        <v/>
      </c>
      <c r="C990">
        <f>G990-F990</f>
        <v/>
      </c>
      <c r="D990">
        <f>1-G990</f>
        <v/>
      </c>
      <c r="F990">
        <f>EXP(-$B$11*(A990*$B$12))</f>
        <v/>
      </c>
      <c r="G990">
        <f>EXP(-$B$13*(A990*$B$14))</f>
        <v/>
      </c>
    </row>
    <row r="991">
      <c r="A991" t="n">
        <v>12</v>
      </c>
      <c r="B991">
        <f>F991</f>
        <v/>
      </c>
      <c r="C991">
        <f>G991-F991</f>
        <v/>
      </c>
      <c r="D991">
        <f>1-G991</f>
        <v/>
      </c>
      <c r="F991">
        <f>EXP(-$B$11*(A991*$B$12))</f>
        <v/>
      </c>
      <c r="G991">
        <f>EXP(-$B$13*(A991*$B$14))</f>
        <v/>
      </c>
    </row>
    <row r="992">
      <c r="A992" t="n">
        <v>13</v>
      </c>
      <c r="B992">
        <f>F992</f>
        <v/>
      </c>
      <c r="C992">
        <f>G992-F992</f>
        <v/>
      </c>
      <c r="D992">
        <f>1-G992</f>
        <v/>
      </c>
      <c r="F992">
        <f>EXP(-$B$11*(A992*$B$12))</f>
        <v/>
      </c>
      <c r="G992">
        <f>EXP(-$B$13*(A992*$B$14))</f>
        <v/>
      </c>
    </row>
    <row r="993">
      <c r="A993" t="n">
        <v>14</v>
      </c>
      <c r="B993">
        <f>F993</f>
        <v/>
      </c>
      <c r="C993">
        <f>G993-F993</f>
        <v/>
      </c>
      <c r="D993">
        <f>1-G993</f>
        <v/>
      </c>
      <c r="F993">
        <f>EXP(-$B$11*(A993*$B$12))</f>
        <v/>
      </c>
      <c r="G993">
        <f>EXP(-$B$13*(A993*$B$14))</f>
        <v/>
      </c>
    </row>
    <row r="994">
      <c r="A994" t="n">
        <v>15</v>
      </c>
      <c r="B994">
        <f>F994</f>
        <v/>
      </c>
      <c r="C994">
        <f>G994-F994</f>
        <v/>
      </c>
      <c r="D994">
        <f>1-G994</f>
        <v/>
      </c>
      <c r="F994">
        <f>EXP(-$B$11*(A994*$B$12))</f>
        <v/>
      </c>
      <c r="G994">
        <f>EXP(-$B$13*(A994*$B$14))</f>
        <v/>
      </c>
    </row>
    <row r="995">
      <c r="A995" t="n">
        <v>16</v>
      </c>
      <c r="B995">
        <f>F995</f>
        <v/>
      </c>
      <c r="C995">
        <f>G995-F995</f>
        <v/>
      </c>
      <c r="D995">
        <f>1-G995</f>
        <v/>
      </c>
      <c r="F995">
        <f>EXP(-$B$11*(A995*$B$12))</f>
        <v/>
      </c>
      <c r="G995">
        <f>EXP(-$B$13*(A995*$B$14))</f>
        <v/>
      </c>
    </row>
    <row r="996">
      <c r="A996" t="n">
        <v>17</v>
      </c>
      <c r="B996">
        <f>F996</f>
        <v/>
      </c>
      <c r="C996">
        <f>G996-F996</f>
        <v/>
      </c>
      <c r="D996">
        <f>1-G996</f>
        <v/>
      </c>
      <c r="F996">
        <f>EXP(-$B$11*(A996*$B$12))</f>
        <v/>
      </c>
      <c r="G996">
        <f>EXP(-$B$13*(A996*$B$14))</f>
        <v/>
      </c>
    </row>
    <row r="997">
      <c r="A997" t="n">
        <v>18</v>
      </c>
      <c r="B997">
        <f>F997</f>
        <v/>
      </c>
      <c r="C997">
        <f>G997-F997</f>
        <v/>
      </c>
      <c r="D997">
        <f>1-G997</f>
        <v/>
      </c>
      <c r="F997">
        <f>EXP(-$B$11*(A997*$B$12))</f>
        <v/>
      </c>
      <c r="G997">
        <f>EXP(-$B$13*(A997*$B$14))</f>
        <v/>
      </c>
    </row>
    <row r="998">
      <c r="A998" t="n">
        <v>19</v>
      </c>
      <c r="B998">
        <f>F998</f>
        <v/>
      </c>
      <c r="C998">
        <f>G998-F998</f>
        <v/>
      </c>
      <c r="D998">
        <f>1-G998</f>
        <v/>
      </c>
      <c r="F998">
        <f>EXP(-$B$11*(A998*$B$12))</f>
        <v/>
      </c>
      <c r="G998">
        <f>EXP(-$B$13*(A998*$B$14))</f>
        <v/>
      </c>
    </row>
    <row r="999">
      <c r="A999" t="n">
        <v>20</v>
      </c>
      <c r="B999">
        <f>F999</f>
        <v/>
      </c>
      <c r="C999">
        <f>G999-F999</f>
        <v/>
      </c>
      <c r="D999">
        <f>1-G999</f>
        <v/>
      </c>
      <c r="F999">
        <f>EXP(-$B$11*(A999*$B$12))</f>
        <v/>
      </c>
      <c r="G999">
        <f>EXP(-$B$13*(A999*$B$14))</f>
        <v/>
      </c>
    </row>
    <row r="1000">
      <c r="A1000" t="n">
        <v>21</v>
      </c>
      <c r="B1000">
        <f>F1000</f>
        <v/>
      </c>
      <c r="C1000">
        <f>G1000-F1000</f>
        <v/>
      </c>
      <c r="D1000">
        <f>1-G1000</f>
        <v/>
      </c>
      <c r="F1000">
        <f>EXP(-$B$11*(A1000*$B$12))</f>
        <v/>
      </c>
      <c r="G1000">
        <f>EXP(-$B$13*(A1000*$B$14))</f>
        <v/>
      </c>
    </row>
    <row r="1001">
      <c r="A1001" t="n">
        <v>22</v>
      </c>
      <c r="B1001">
        <f>F1001</f>
        <v/>
      </c>
      <c r="C1001">
        <f>G1001-F1001</f>
        <v/>
      </c>
      <c r="D1001">
        <f>1-G1001</f>
        <v/>
      </c>
      <c r="F1001">
        <f>EXP(-$B$11*(A1001*$B$12))</f>
        <v/>
      </c>
      <c r="G1001">
        <f>EXP(-$B$13*(A1001*$B$14))</f>
        <v/>
      </c>
    </row>
    <row r="1002">
      <c r="A1002" t="n">
        <v>23</v>
      </c>
      <c r="B1002">
        <f>F1002</f>
        <v/>
      </c>
      <c r="C1002">
        <f>G1002-F1002</f>
        <v/>
      </c>
      <c r="D1002">
        <f>1-G1002</f>
        <v/>
      </c>
      <c r="F1002">
        <f>EXP(-$B$11*(A1002*$B$12))</f>
        <v/>
      </c>
      <c r="G1002">
        <f>EXP(-$B$13*(A1002*$B$14))</f>
        <v/>
      </c>
    </row>
    <row r="1003">
      <c r="A1003" t="n">
        <v>24</v>
      </c>
      <c r="B1003">
        <f>F1003</f>
        <v/>
      </c>
      <c r="C1003">
        <f>G1003-F1003</f>
        <v/>
      </c>
      <c r="D1003">
        <f>1-G1003</f>
        <v/>
      </c>
      <c r="F1003">
        <f>EXP(-$B$11*(A1003*$B$12))</f>
        <v/>
      </c>
      <c r="G1003">
        <f>EXP(-$B$13*(A1003*$B$14))</f>
        <v/>
      </c>
    </row>
    <row r="1004">
      <c r="A1004" t="n">
        <v>25</v>
      </c>
      <c r="B1004">
        <f>F1004</f>
        <v/>
      </c>
      <c r="C1004">
        <f>G1004-F1004</f>
        <v/>
      </c>
      <c r="D1004">
        <f>1-G1004</f>
        <v/>
      </c>
      <c r="F1004">
        <f>EXP(-$B$11*(A1004*$B$12))</f>
        <v/>
      </c>
      <c r="G1004">
        <f>EXP(-$B$13*(A1004*$B$14))</f>
        <v/>
      </c>
    </row>
    <row r="1005">
      <c r="A1005" t="n">
        <v>26</v>
      </c>
      <c r="B1005">
        <f>F1005</f>
        <v/>
      </c>
      <c r="C1005">
        <f>G1005-F1005</f>
        <v/>
      </c>
      <c r="D1005">
        <f>1-G1005</f>
        <v/>
      </c>
      <c r="F1005">
        <f>EXP(-$B$11*(A1005*$B$12))</f>
        <v/>
      </c>
      <c r="G1005">
        <f>EXP(-$B$13*(A1005*$B$14))</f>
        <v/>
      </c>
    </row>
    <row r="1006">
      <c r="A1006" t="n">
        <v>27</v>
      </c>
      <c r="B1006">
        <f>F1006</f>
        <v/>
      </c>
      <c r="C1006">
        <f>G1006-F1006</f>
        <v/>
      </c>
      <c r="D1006">
        <f>1-G1006</f>
        <v/>
      </c>
      <c r="F1006">
        <f>EXP(-$B$11*(A1006*$B$12))</f>
        <v/>
      </c>
      <c r="G1006">
        <f>EXP(-$B$13*(A1006*$B$14))</f>
        <v/>
      </c>
    </row>
    <row r="1007">
      <c r="A1007" t="n">
        <v>28</v>
      </c>
      <c r="B1007">
        <f>F1007</f>
        <v/>
      </c>
      <c r="C1007">
        <f>G1007-F1007</f>
        <v/>
      </c>
      <c r="D1007">
        <f>1-G1007</f>
        <v/>
      </c>
      <c r="F1007">
        <f>EXP(-$B$11*(A1007*$B$12))</f>
        <v/>
      </c>
      <c r="G1007">
        <f>EXP(-$B$13*(A1007*$B$14))</f>
        <v/>
      </c>
    </row>
    <row r="1008">
      <c r="A1008" t="n">
        <v>29</v>
      </c>
      <c r="B1008">
        <f>F1008</f>
        <v/>
      </c>
      <c r="C1008">
        <f>G1008-F1008</f>
        <v/>
      </c>
      <c r="D1008">
        <f>1-G1008</f>
        <v/>
      </c>
      <c r="F1008">
        <f>EXP(-$B$11*(A1008*$B$12))</f>
        <v/>
      </c>
      <c r="G1008">
        <f>EXP(-$B$13*(A1008*$B$14))</f>
        <v/>
      </c>
    </row>
    <row r="1009">
      <c r="A1009" t="n">
        <v>30</v>
      </c>
      <c r="B1009">
        <f>F1009</f>
        <v/>
      </c>
      <c r="C1009">
        <f>G1009-F1009</f>
        <v/>
      </c>
      <c r="D1009">
        <f>1-G1009</f>
        <v/>
      </c>
      <c r="F1009">
        <f>EXP(-$B$11*(A1009*$B$12))</f>
        <v/>
      </c>
      <c r="G1009">
        <f>EXP(-$B$13*(A1009*$B$14))</f>
        <v/>
      </c>
    </row>
    <row r="1010">
      <c r="A1010" t="n">
        <v>31</v>
      </c>
      <c r="B1010">
        <f>F1010</f>
        <v/>
      </c>
      <c r="C1010">
        <f>G1010-F1010</f>
        <v/>
      </c>
      <c r="D1010">
        <f>1-G1010</f>
        <v/>
      </c>
      <c r="F1010">
        <f>EXP(-$B$11*(A1010*$B$12))</f>
        <v/>
      </c>
      <c r="G1010">
        <f>EXP(-$B$13*(A1010*$B$14))</f>
        <v/>
      </c>
    </row>
    <row r="1011">
      <c r="A1011" t="n">
        <v>32</v>
      </c>
      <c r="B1011">
        <f>F1011</f>
        <v/>
      </c>
      <c r="C1011">
        <f>G1011-F1011</f>
        <v/>
      </c>
      <c r="D1011">
        <f>1-G1011</f>
        <v/>
      </c>
      <c r="F1011">
        <f>EXP(-$B$11*(A1011*$B$12))</f>
        <v/>
      </c>
      <c r="G1011">
        <f>EXP(-$B$13*(A1011*$B$14))</f>
        <v/>
      </c>
    </row>
    <row r="1012">
      <c r="A1012" t="n">
        <v>33</v>
      </c>
      <c r="B1012">
        <f>F1012</f>
        <v/>
      </c>
      <c r="C1012">
        <f>G1012-F1012</f>
        <v/>
      </c>
      <c r="D1012">
        <f>1-G1012</f>
        <v/>
      </c>
      <c r="F1012">
        <f>EXP(-$B$11*(A1012*$B$12))</f>
        <v/>
      </c>
      <c r="G1012">
        <f>EXP(-$B$13*(A1012*$B$14))</f>
        <v/>
      </c>
    </row>
    <row r="1013">
      <c r="A1013" t="n">
        <v>34</v>
      </c>
      <c r="B1013">
        <f>F1013</f>
        <v/>
      </c>
      <c r="C1013">
        <f>G1013-F1013</f>
        <v/>
      </c>
      <c r="D1013">
        <f>1-G1013</f>
        <v/>
      </c>
      <c r="F1013">
        <f>EXP(-$B$11*(A1013*$B$12))</f>
        <v/>
      </c>
      <c r="G1013">
        <f>EXP(-$B$13*(A1013*$B$14))</f>
        <v/>
      </c>
    </row>
    <row r="1014">
      <c r="A1014" t="n">
        <v>35</v>
      </c>
      <c r="B1014">
        <f>F1014</f>
        <v/>
      </c>
      <c r="C1014">
        <f>G1014-F1014</f>
        <v/>
      </c>
      <c r="D1014">
        <f>1-G1014</f>
        <v/>
      </c>
      <c r="F1014">
        <f>EXP(-$B$11*(A1014*$B$12))</f>
        <v/>
      </c>
      <c r="G1014">
        <f>EXP(-$B$13*(A1014*$B$14))</f>
        <v/>
      </c>
    </row>
    <row r="1015">
      <c r="A1015" t="n">
        <v>36</v>
      </c>
      <c r="B1015">
        <f>F1015</f>
        <v/>
      </c>
      <c r="C1015">
        <f>G1015-F1015</f>
        <v/>
      </c>
      <c r="D1015">
        <f>1-G1015</f>
        <v/>
      </c>
      <c r="F1015">
        <f>EXP(-$B$11*(A1015*$B$12))</f>
        <v/>
      </c>
      <c r="G1015">
        <f>EXP(-$B$13*(A1015*$B$14))</f>
        <v/>
      </c>
    </row>
    <row r="1016">
      <c r="A1016" t="n">
        <v>37</v>
      </c>
      <c r="B1016">
        <f>F1016</f>
        <v/>
      </c>
      <c r="C1016">
        <f>G1016-F1016</f>
        <v/>
      </c>
      <c r="D1016">
        <f>1-G1016</f>
        <v/>
      </c>
      <c r="F1016">
        <f>EXP(-$B$11*(A1016*$B$12))</f>
        <v/>
      </c>
      <c r="G1016">
        <f>EXP(-$B$13*(A1016*$B$14))</f>
        <v/>
      </c>
    </row>
    <row r="1017">
      <c r="A1017" t="n">
        <v>38</v>
      </c>
      <c r="B1017">
        <f>F1017</f>
        <v/>
      </c>
      <c r="C1017">
        <f>G1017-F1017</f>
        <v/>
      </c>
      <c r="D1017">
        <f>1-G1017</f>
        <v/>
      </c>
      <c r="F1017">
        <f>EXP(-$B$11*(A1017*$B$12))</f>
        <v/>
      </c>
      <c r="G1017">
        <f>EXP(-$B$13*(A1017*$B$14))</f>
        <v/>
      </c>
    </row>
    <row r="1018">
      <c r="A1018" t="n">
        <v>39</v>
      </c>
      <c r="B1018">
        <f>F1018</f>
        <v/>
      </c>
      <c r="C1018">
        <f>G1018-F1018</f>
        <v/>
      </c>
      <c r="D1018">
        <f>1-G1018</f>
        <v/>
      </c>
      <c r="F1018">
        <f>EXP(-$B$11*(A1018*$B$12))</f>
        <v/>
      </c>
      <c r="G1018">
        <f>EXP(-$B$13*(A1018*$B$14))</f>
        <v/>
      </c>
    </row>
    <row r="1019">
      <c r="A1019" t="n">
        <v>40</v>
      </c>
      <c r="B1019">
        <f>F1019</f>
        <v/>
      </c>
      <c r="C1019">
        <f>G1019-F1019</f>
        <v/>
      </c>
      <c r="D1019">
        <f>1-G1019</f>
        <v/>
      </c>
      <c r="F1019">
        <f>EXP(-$B$11*(A1019*$B$12))</f>
        <v/>
      </c>
      <c r="G1019">
        <f>EXP(-$B$13*(A1019*$B$14))</f>
        <v/>
      </c>
    </row>
    <row r="1020">
      <c r="A1020" t="n">
        <v>41</v>
      </c>
      <c r="B1020">
        <f>F1020</f>
        <v/>
      </c>
      <c r="C1020">
        <f>G1020-F1020</f>
        <v/>
      </c>
      <c r="D1020">
        <f>1-G1020</f>
        <v/>
      </c>
      <c r="F1020">
        <f>EXP(-$B$11*(A1020*$B$12))</f>
        <v/>
      </c>
      <c r="G1020">
        <f>EXP(-$B$13*(A1020*$B$14))</f>
        <v/>
      </c>
    </row>
    <row r="1021">
      <c r="A1021" t="n">
        <v>42</v>
      </c>
      <c r="B1021">
        <f>F1021</f>
        <v/>
      </c>
      <c r="C1021">
        <f>G1021-F1021</f>
        <v/>
      </c>
      <c r="D1021">
        <f>1-G1021</f>
        <v/>
      </c>
      <c r="F1021">
        <f>EXP(-$B$11*(A1021*$B$12))</f>
        <v/>
      </c>
      <c r="G1021">
        <f>EXP(-$B$13*(A1021*$B$14))</f>
        <v/>
      </c>
    </row>
    <row r="1022">
      <c r="A1022" t="n">
        <v>43</v>
      </c>
      <c r="B1022">
        <f>F1022</f>
        <v/>
      </c>
      <c r="C1022">
        <f>G1022-F1022</f>
        <v/>
      </c>
      <c r="D1022">
        <f>1-G1022</f>
        <v/>
      </c>
      <c r="F1022">
        <f>EXP(-$B$11*(A1022*$B$12))</f>
        <v/>
      </c>
      <c r="G1022">
        <f>EXP(-$B$13*(A1022*$B$14))</f>
        <v/>
      </c>
    </row>
    <row r="1023">
      <c r="A1023" t="n">
        <v>44</v>
      </c>
      <c r="B1023">
        <f>F1023</f>
        <v/>
      </c>
      <c r="C1023">
        <f>G1023-F1023</f>
        <v/>
      </c>
      <c r="D1023">
        <f>1-G1023</f>
        <v/>
      </c>
      <c r="F1023">
        <f>EXP(-$B$11*(A1023*$B$12))</f>
        <v/>
      </c>
      <c r="G1023">
        <f>EXP(-$B$13*(A1023*$B$14))</f>
        <v/>
      </c>
    </row>
    <row r="1024">
      <c r="A1024" t="n">
        <v>45</v>
      </c>
      <c r="B1024">
        <f>F1024</f>
        <v/>
      </c>
      <c r="C1024">
        <f>G1024-F1024</f>
        <v/>
      </c>
      <c r="D1024">
        <f>1-G1024</f>
        <v/>
      </c>
      <c r="F1024">
        <f>EXP(-$B$11*(A1024*$B$12))</f>
        <v/>
      </c>
      <c r="G1024">
        <f>EXP(-$B$13*(A1024*$B$14))</f>
        <v/>
      </c>
    </row>
    <row r="1025">
      <c r="A1025" t="n">
        <v>46</v>
      </c>
      <c r="B1025">
        <f>F1025</f>
        <v/>
      </c>
      <c r="C1025">
        <f>G1025-F1025</f>
        <v/>
      </c>
      <c r="D1025">
        <f>1-G1025</f>
        <v/>
      </c>
      <c r="F1025">
        <f>EXP(-$B$11*(A1025*$B$12))</f>
        <v/>
      </c>
      <c r="G1025">
        <f>EXP(-$B$13*(A1025*$B$14))</f>
        <v/>
      </c>
    </row>
    <row r="1026">
      <c r="A1026" t="n">
        <v>47</v>
      </c>
      <c r="B1026">
        <f>F1026</f>
        <v/>
      </c>
      <c r="C1026">
        <f>G1026-F1026</f>
        <v/>
      </c>
      <c r="D1026">
        <f>1-G1026</f>
        <v/>
      </c>
      <c r="F1026">
        <f>EXP(-$B$11*(A1026*$B$12))</f>
        <v/>
      </c>
      <c r="G1026">
        <f>EXP(-$B$13*(A1026*$B$14))</f>
        <v/>
      </c>
    </row>
    <row r="1027">
      <c r="A1027" t="n">
        <v>48</v>
      </c>
      <c r="B1027">
        <f>F1027</f>
        <v/>
      </c>
      <c r="C1027">
        <f>G1027-F1027</f>
        <v/>
      </c>
      <c r="D1027">
        <f>1-G1027</f>
        <v/>
      </c>
      <c r="F1027">
        <f>EXP(-$B$11*(A1027*$B$12))</f>
        <v/>
      </c>
      <c r="G1027">
        <f>EXP(-$B$13*(A1027*$B$14))</f>
        <v/>
      </c>
    </row>
    <row r="1028">
      <c r="A1028" t="n">
        <v>49</v>
      </c>
      <c r="B1028">
        <f>F1028</f>
        <v/>
      </c>
      <c r="C1028">
        <f>G1028-F1028</f>
        <v/>
      </c>
      <c r="D1028">
        <f>1-G1028</f>
        <v/>
      </c>
      <c r="F1028">
        <f>EXP(-$B$11*(A1028*$B$12))</f>
        <v/>
      </c>
      <c r="G1028">
        <f>EXP(-$B$13*(A1028*$B$14))</f>
        <v/>
      </c>
    </row>
    <row r="1029">
      <c r="A1029" t="n">
        <v>50</v>
      </c>
      <c r="B1029">
        <f>F1029</f>
        <v/>
      </c>
      <c r="C1029">
        <f>G1029-F1029</f>
        <v/>
      </c>
      <c r="D1029">
        <f>1-G1029</f>
        <v/>
      </c>
      <c r="F1029">
        <f>EXP(-$B$11*(A1029*$B$12))</f>
        <v/>
      </c>
      <c r="G1029">
        <f>EXP(-$B$13*(A1029*$B$14))</f>
        <v/>
      </c>
    </row>
    <row r="1030">
      <c r="A1030" t="n">
        <v>51</v>
      </c>
      <c r="B1030">
        <f>F1030</f>
        <v/>
      </c>
      <c r="C1030">
        <f>G1030-F1030</f>
        <v/>
      </c>
      <c r="D1030">
        <f>1-G1030</f>
        <v/>
      </c>
      <c r="F1030">
        <f>EXP(-$B$11*(A1030*$B$12))</f>
        <v/>
      </c>
      <c r="G1030">
        <f>EXP(-$B$13*(A1030*$B$14))</f>
        <v/>
      </c>
    </row>
    <row r="1031">
      <c r="A1031" t="n">
        <v>52</v>
      </c>
      <c r="B1031">
        <f>F1031</f>
        <v/>
      </c>
      <c r="C1031">
        <f>G1031-F1031</f>
        <v/>
      </c>
      <c r="D1031">
        <f>1-G1031</f>
        <v/>
      </c>
      <c r="F1031">
        <f>EXP(-$B$11*(A1031*$B$12))</f>
        <v/>
      </c>
      <c r="G1031">
        <f>EXP(-$B$13*(A1031*$B$14))</f>
        <v/>
      </c>
    </row>
    <row r="1032">
      <c r="A1032" t="n">
        <v>53</v>
      </c>
      <c r="B1032">
        <f>F1032</f>
        <v/>
      </c>
      <c r="C1032">
        <f>G1032-F1032</f>
        <v/>
      </c>
      <c r="D1032">
        <f>1-G1032</f>
        <v/>
      </c>
      <c r="F1032">
        <f>EXP(-$B$11*(A1032*$B$12))</f>
        <v/>
      </c>
      <c r="G1032">
        <f>EXP(-$B$13*(A1032*$B$14))</f>
        <v/>
      </c>
    </row>
    <row r="1033">
      <c r="A1033" t="n">
        <v>54</v>
      </c>
      <c r="B1033">
        <f>F1033</f>
        <v/>
      </c>
      <c r="C1033">
        <f>G1033-F1033</f>
        <v/>
      </c>
      <c r="D1033">
        <f>1-G1033</f>
        <v/>
      </c>
      <c r="F1033">
        <f>EXP(-$B$11*(A1033*$B$12))</f>
        <v/>
      </c>
      <c r="G1033">
        <f>EXP(-$B$13*(A1033*$B$14))</f>
        <v/>
      </c>
    </row>
    <row r="1034">
      <c r="A1034" t="n">
        <v>55</v>
      </c>
      <c r="B1034">
        <f>F1034</f>
        <v/>
      </c>
      <c r="C1034">
        <f>G1034-F1034</f>
        <v/>
      </c>
      <c r="D1034">
        <f>1-G1034</f>
        <v/>
      </c>
      <c r="F1034">
        <f>EXP(-$B$11*(A1034*$B$12))</f>
        <v/>
      </c>
      <c r="G1034">
        <f>EXP(-$B$13*(A1034*$B$14))</f>
        <v/>
      </c>
    </row>
    <row r="1035">
      <c r="A1035" t="n">
        <v>56</v>
      </c>
      <c r="B1035">
        <f>F1035</f>
        <v/>
      </c>
      <c r="C1035">
        <f>G1035-F1035</f>
        <v/>
      </c>
      <c r="D1035">
        <f>1-G1035</f>
        <v/>
      </c>
      <c r="F1035">
        <f>EXP(-$B$11*(A1035*$B$12))</f>
        <v/>
      </c>
      <c r="G1035">
        <f>EXP(-$B$13*(A1035*$B$14))</f>
        <v/>
      </c>
    </row>
    <row r="1036">
      <c r="A1036" t="n">
        <v>57</v>
      </c>
      <c r="B1036">
        <f>F1036</f>
        <v/>
      </c>
      <c r="C1036">
        <f>G1036-F1036</f>
        <v/>
      </c>
      <c r="D1036">
        <f>1-G1036</f>
        <v/>
      </c>
      <c r="F1036">
        <f>EXP(-$B$11*(A1036*$B$12))</f>
        <v/>
      </c>
      <c r="G1036">
        <f>EXP(-$B$13*(A1036*$B$14))</f>
        <v/>
      </c>
    </row>
    <row r="1037">
      <c r="A1037" t="n">
        <v>58</v>
      </c>
      <c r="B1037">
        <f>F1037</f>
        <v/>
      </c>
      <c r="C1037">
        <f>G1037-F1037</f>
        <v/>
      </c>
      <c r="D1037">
        <f>1-G1037</f>
        <v/>
      </c>
      <c r="F1037">
        <f>EXP(-$B$11*(A1037*$B$12))</f>
        <v/>
      </c>
      <c r="G1037">
        <f>EXP(-$B$13*(A1037*$B$14))</f>
        <v/>
      </c>
    </row>
    <row r="1038">
      <c r="A1038" t="n">
        <v>59</v>
      </c>
      <c r="B1038">
        <f>F1038</f>
        <v/>
      </c>
      <c r="C1038">
        <f>G1038-F1038</f>
        <v/>
      </c>
      <c r="D1038">
        <f>1-G1038</f>
        <v/>
      </c>
      <c r="F1038">
        <f>EXP(-$B$11*(A1038*$B$12))</f>
        <v/>
      </c>
      <c r="G1038">
        <f>EXP(-$B$13*(A1038*$B$14))</f>
        <v/>
      </c>
    </row>
    <row r="1039">
      <c r="A1039" t="n">
        <v>60</v>
      </c>
      <c r="B1039">
        <f>F1039</f>
        <v/>
      </c>
      <c r="C1039">
        <f>G1039-F1039</f>
        <v/>
      </c>
      <c r="D1039">
        <f>1-G1039</f>
        <v/>
      </c>
      <c r="F1039">
        <f>EXP(-$B$11*(A1039*$B$12))</f>
        <v/>
      </c>
      <c r="G1039">
        <f>EXP(-$B$13*(A1039*$B$14))</f>
        <v/>
      </c>
    </row>
    <row r="1040">
      <c r="A1040" t="n">
        <v>61</v>
      </c>
      <c r="B1040">
        <f>F1040</f>
        <v/>
      </c>
      <c r="C1040">
        <f>G1040-F1040</f>
        <v/>
      </c>
      <c r="D1040">
        <f>1-G1040</f>
        <v/>
      </c>
      <c r="F1040">
        <f>EXP(-$B$11*(A1040*$B$12))</f>
        <v/>
      </c>
      <c r="G1040">
        <f>EXP(-$B$13*(A1040*$B$14))</f>
        <v/>
      </c>
    </row>
    <row r="1041">
      <c r="A1041" t="n">
        <v>62</v>
      </c>
      <c r="B1041">
        <f>F1041</f>
        <v/>
      </c>
      <c r="C1041">
        <f>G1041-F1041</f>
        <v/>
      </c>
      <c r="D1041">
        <f>1-G1041</f>
        <v/>
      </c>
      <c r="F1041">
        <f>EXP(-$B$11*(A1041*$B$12))</f>
        <v/>
      </c>
      <c r="G1041">
        <f>EXP(-$B$13*(A1041*$B$14))</f>
        <v/>
      </c>
    </row>
    <row r="1042">
      <c r="A1042" t="n">
        <v>63</v>
      </c>
      <c r="B1042">
        <f>F1042</f>
        <v/>
      </c>
      <c r="C1042">
        <f>G1042-F1042</f>
        <v/>
      </c>
      <c r="D1042">
        <f>1-G1042</f>
        <v/>
      </c>
      <c r="F1042">
        <f>EXP(-$B$11*(A1042*$B$12))</f>
        <v/>
      </c>
      <c r="G1042">
        <f>EXP(-$B$13*(A1042*$B$14))</f>
        <v/>
      </c>
    </row>
    <row r="1043">
      <c r="A1043" t="n">
        <v>64</v>
      </c>
      <c r="B1043">
        <f>F1043</f>
        <v/>
      </c>
      <c r="C1043">
        <f>G1043-F1043</f>
        <v/>
      </c>
      <c r="D1043">
        <f>1-G1043</f>
        <v/>
      </c>
      <c r="F1043">
        <f>EXP(-$B$11*(A1043*$B$12))</f>
        <v/>
      </c>
      <c r="G1043">
        <f>EXP(-$B$13*(A1043*$B$14))</f>
        <v/>
      </c>
    </row>
    <row r="1044">
      <c r="A1044" t="n">
        <v>65</v>
      </c>
      <c r="B1044">
        <f>F1044</f>
        <v/>
      </c>
      <c r="C1044">
        <f>G1044-F1044</f>
        <v/>
      </c>
      <c r="D1044">
        <f>1-G1044</f>
        <v/>
      </c>
      <c r="F1044">
        <f>EXP(-$B$11*(A1044*$B$12))</f>
        <v/>
      </c>
      <c r="G1044">
        <f>EXP(-$B$13*(A1044*$B$14))</f>
        <v/>
      </c>
    </row>
    <row r="1045">
      <c r="A1045" t="n">
        <v>66</v>
      </c>
      <c r="B1045">
        <f>F1045</f>
        <v/>
      </c>
      <c r="C1045">
        <f>G1045-F1045</f>
        <v/>
      </c>
      <c r="D1045">
        <f>1-G1045</f>
        <v/>
      </c>
      <c r="F1045">
        <f>EXP(-$B$11*(A1045*$B$12))</f>
        <v/>
      </c>
      <c r="G1045">
        <f>EXP(-$B$13*(A1045*$B$14))</f>
        <v/>
      </c>
    </row>
    <row r="1046">
      <c r="A1046" t="n">
        <v>67</v>
      </c>
      <c r="B1046">
        <f>F1046</f>
        <v/>
      </c>
      <c r="C1046">
        <f>G1046-F1046</f>
        <v/>
      </c>
      <c r="D1046">
        <f>1-G1046</f>
        <v/>
      </c>
      <c r="F1046">
        <f>EXP(-$B$11*(A1046*$B$12))</f>
        <v/>
      </c>
      <c r="G1046">
        <f>EXP(-$B$13*(A1046*$B$14))</f>
        <v/>
      </c>
    </row>
    <row r="1047">
      <c r="A1047" t="n">
        <v>68</v>
      </c>
      <c r="B1047">
        <f>F1047</f>
        <v/>
      </c>
      <c r="C1047">
        <f>G1047-F1047</f>
        <v/>
      </c>
      <c r="D1047">
        <f>1-G1047</f>
        <v/>
      </c>
      <c r="F1047">
        <f>EXP(-$B$11*(A1047*$B$12))</f>
        <v/>
      </c>
      <c r="G1047">
        <f>EXP(-$B$13*(A1047*$B$14))</f>
        <v/>
      </c>
    </row>
    <row r="1048">
      <c r="A1048" t="n">
        <v>69</v>
      </c>
      <c r="B1048">
        <f>F1048</f>
        <v/>
      </c>
      <c r="C1048">
        <f>G1048-F1048</f>
        <v/>
      </c>
      <c r="D1048">
        <f>1-G1048</f>
        <v/>
      </c>
      <c r="F1048">
        <f>EXP(-$B$11*(A1048*$B$12))</f>
        <v/>
      </c>
      <c r="G1048">
        <f>EXP(-$B$13*(A1048*$B$14))</f>
        <v/>
      </c>
    </row>
    <row r="1049">
      <c r="A1049" t="n">
        <v>70</v>
      </c>
      <c r="B1049">
        <f>F1049</f>
        <v/>
      </c>
      <c r="C1049">
        <f>G1049-F1049</f>
        <v/>
      </c>
      <c r="D1049">
        <f>1-G1049</f>
        <v/>
      </c>
      <c r="F1049">
        <f>EXP(-$B$11*(A1049*$B$12))</f>
        <v/>
      </c>
      <c r="G1049">
        <f>EXP(-$B$13*(A1049*$B$14))</f>
        <v/>
      </c>
    </row>
    <row r="1050">
      <c r="A1050" t="n">
        <v>71</v>
      </c>
      <c r="B1050">
        <f>F1050</f>
        <v/>
      </c>
      <c r="C1050">
        <f>G1050-F1050</f>
        <v/>
      </c>
      <c r="D1050">
        <f>1-G1050</f>
        <v/>
      </c>
      <c r="F1050">
        <f>EXP(-$B$11*(A1050*$B$12))</f>
        <v/>
      </c>
      <c r="G1050">
        <f>EXP(-$B$13*(A1050*$B$14))</f>
        <v/>
      </c>
    </row>
    <row r="1051">
      <c r="A1051" t="n">
        <v>72</v>
      </c>
      <c r="B1051">
        <f>F1051</f>
        <v/>
      </c>
      <c r="C1051">
        <f>G1051-F1051</f>
        <v/>
      </c>
      <c r="D1051">
        <f>1-G1051</f>
        <v/>
      </c>
      <c r="F1051">
        <f>EXP(-$B$11*(A1051*$B$12))</f>
        <v/>
      </c>
      <c r="G1051">
        <f>EXP(-$B$13*(A1051*$B$14))</f>
        <v/>
      </c>
    </row>
    <row r="1052">
      <c r="A1052" t="n">
        <v>73</v>
      </c>
      <c r="B1052">
        <f>F1052</f>
        <v/>
      </c>
      <c r="C1052">
        <f>G1052-F1052</f>
        <v/>
      </c>
      <c r="D1052">
        <f>1-G1052</f>
        <v/>
      </c>
      <c r="F1052">
        <f>EXP(-$B$11*(A1052*$B$12))</f>
        <v/>
      </c>
      <c r="G1052">
        <f>EXP(-$B$13*(A1052*$B$14))</f>
        <v/>
      </c>
    </row>
    <row r="1053">
      <c r="A1053" t="n">
        <v>74</v>
      </c>
      <c r="B1053">
        <f>F1053</f>
        <v/>
      </c>
      <c r="C1053">
        <f>G1053-F1053</f>
        <v/>
      </c>
      <c r="D1053">
        <f>1-G1053</f>
        <v/>
      </c>
      <c r="F1053">
        <f>EXP(-$B$11*(A1053*$B$12))</f>
        <v/>
      </c>
      <c r="G1053">
        <f>EXP(-$B$13*(A1053*$B$14))</f>
        <v/>
      </c>
    </row>
    <row r="1054">
      <c r="A1054" t="n">
        <v>75</v>
      </c>
      <c r="B1054">
        <f>F1054</f>
        <v/>
      </c>
      <c r="C1054">
        <f>G1054-F1054</f>
        <v/>
      </c>
      <c r="D1054">
        <f>1-G1054</f>
        <v/>
      </c>
      <c r="F1054">
        <f>EXP(-$B$11*(A1054*$B$12))</f>
        <v/>
      </c>
      <c r="G1054">
        <f>EXP(-$B$13*(A1054*$B$14))</f>
        <v/>
      </c>
    </row>
    <row r="1055">
      <c r="A1055" t="n">
        <v>76</v>
      </c>
      <c r="B1055">
        <f>F1055</f>
        <v/>
      </c>
      <c r="C1055">
        <f>G1055-F1055</f>
        <v/>
      </c>
      <c r="D1055">
        <f>1-G1055</f>
        <v/>
      </c>
      <c r="F1055">
        <f>EXP(-$B$11*(A1055*$B$12))</f>
        <v/>
      </c>
      <c r="G1055">
        <f>EXP(-$B$13*(A1055*$B$14))</f>
        <v/>
      </c>
    </row>
    <row r="1056">
      <c r="A1056" t="n">
        <v>77</v>
      </c>
      <c r="B1056">
        <f>F1056</f>
        <v/>
      </c>
      <c r="C1056">
        <f>G1056-F1056</f>
        <v/>
      </c>
      <c r="D1056">
        <f>1-G1056</f>
        <v/>
      </c>
      <c r="F1056">
        <f>EXP(-$B$11*(A1056*$B$12))</f>
        <v/>
      </c>
      <c r="G1056">
        <f>EXP(-$B$13*(A1056*$B$14))</f>
        <v/>
      </c>
    </row>
    <row r="1057">
      <c r="A1057" t="n">
        <v>78</v>
      </c>
      <c r="B1057">
        <f>F1057</f>
        <v/>
      </c>
      <c r="C1057">
        <f>G1057-F1057</f>
        <v/>
      </c>
      <c r="D1057">
        <f>1-G1057</f>
        <v/>
      </c>
      <c r="F1057">
        <f>EXP(-$B$11*(A1057*$B$12))</f>
        <v/>
      </c>
      <c r="G1057">
        <f>EXP(-$B$13*(A1057*$B$14))</f>
        <v/>
      </c>
    </row>
    <row r="1058">
      <c r="A1058" t="n">
        <v>79</v>
      </c>
      <c r="B1058">
        <f>F1058</f>
        <v/>
      </c>
      <c r="C1058">
        <f>G1058-F1058</f>
        <v/>
      </c>
      <c r="D1058">
        <f>1-G1058</f>
        <v/>
      </c>
      <c r="F1058">
        <f>EXP(-$B$11*(A1058*$B$12))</f>
        <v/>
      </c>
      <c r="G1058">
        <f>EXP(-$B$13*(A1058*$B$14))</f>
        <v/>
      </c>
    </row>
    <row r="1059">
      <c r="A1059" t="n">
        <v>80</v>
      </c>
      <c r="B1059">
        <f>F1059</f>
        <v/>
      </c>
      <c r="C1059">
        <f>G1059-F1059</f>
        <v/>
      </c>
      <c r="D1059">
        <f>1-G1059</f>
        <v/>
      </c>
      <c r="F1059">
        <f>EXP(-$B$11*(A1059*$B$12))</f>
        <v/>
      </c>
      <c r="G1059">
        <f>EXP(-$B$13*(A1059*$B$14))</f>
        <v/>
      </c>
    </row>
    <row r="1060">
      <c r="A1060" t="n">
        <v>81</v>
      </c>
      <c r="B1060">
        <f>F1060</f>
        <v/>
      </c>
      <c r="C1060">
        <f>G1060-F1060</f>
        <v/>
      </c>
      <c r="D1060">
        <f>1-G1060</f>
        <v/>
      </c>
      <c r="F1060">
        <f>EXP(-$B$11*(A1060*$B$12))</f>
        <v/>
      </c>
      <c r="G1060">
        <f>EXP(-$B$13*(A1060*$B$14))</f>
        <v/>
      </c>
    </row>
    <row r="1061">
      <c r="A1061" t="n">
        <v>82</v>
      </c>
      <c r="B1061">
        <f>F1061</f>
        <v/>
      </c>
      <c r="C1061">
        <f>G1061-F1061</f>
        <v/>
      </c>
      <c r="D1061">
        <f>1-G1061</f>
        <v/>
      </c>
      <c r="F1061">
        <f>EXP(-$B$11*(A1061*$B$12))</f>
        <v/>
      </c>
      <c r="G1061">
        <f>EXP(-$B$13*(A1061*$B$14))</f>
        <v/>
      </c>
    </row>
    <row r="1062">
      <c r="A1062" t="n">
        <v>83</v>
      </c>
      <c r="B1062">
        <f>F1062</f>
        <v/>
      </c>
      <c r="C1062">
        <f>G1062-F1062</f>
        <v/>
      </c>
      <c r="D1062">
        <f>1-G1062</f>
        <v/>
      </c>
      <c r="F1062">
        <f>EXP(-$B$11*(A1062*$B$12))</f>
        <v/>
      </c>
      <c r="G1062">
        <f>EXP(-$B$13*(A1062*$B$14))</f>
        <v/>
      </c>
    </row>
    <row r="1063">
      <c r="A1063" t="n">
        <v>84</v>
      </c>
      <c r="B1063">
        <f>F1063</f>
        <v/>
      </c>
      <c r="C1063">
        <f>G1063-F1063</f>
        <v/>
      </c>
      <c r="D1063">
        <f>1-G1063</f>
        <v/>
      </c>
      <c r="F1063">
        <f>EXP(-$B$11*(A1063*$B$12))</f>
        <v/>
      </c>
      <c r="G1063">
        <f>EXP(-$B$13*(A1063*$B$14))</f>
        <v/>
      </c>
    </row>
    <row r="1064">
      <c r="A1064" t="n">
        <v>85</v>
      </c>
      <c r="B1064">
        <f>F1064</f>
        <v/>
      </c>
      <c r="C1064">
        <f>G1064-F1064</f>
        <v/>
      </c>
      <c r="D1064">
        <f>1-G1064</f>
        <v/>
      </c>
      <c r="F1064">
        <f>EXP(-$B$11*(A1064*$B$12))</f>
        <v/>
      </c>
      <c r="G1064">
        <f>EXP(-$B$13*(A1064*$B$14))</f>
        <v/>
      </c>
    </row>
    <row r="1065">
      <c r="A1065" t="n">
        <v>86</v>
      </c>
      <c r="B1065">
        <f>F1065</f>
        <v/>
      </c>
      <c r="C1065">
        <f>G1065-F1065</f>
        <v/>
      </c>
      <c r="D1065">
        <f>1-G1065</f>
        <v/>
      </c>
      <c r="F1065">
        <f>EXP(-$B$11*(A1065*$B$12))</f>
        <v/>
      </c>
      <c r="G1065">
        <f>EXP(-$B$13*(A1065*$B$14))</f>
        <v/>
      </c>
    </row>
    <row r="1066">
      <c r="A1066" t="n">
        <v>87</v>
      </c>
      <c r="B1066">
        <f>F1066</f>
        <v/>
      </c>
      <c r="C1066">
        <f>G1066-F1066</f>
        <v/>
      </c>
      <c r="D1066">
        <f>1-G1066</f>
        <v/>
      </c>
      <c r="F1066">
        <f>EXP(-$B$11*(A1066*$B$12))</f>
        <v/>
      </c>
      <c r="G1066">
        <f>EXP(-$B$13*(A1066*$B$14))</f>
        <v/>
      </c>
    </row>
    <row r="1067">
      <c r="A1067" t="n">
        <v>88</v>
      </c>
      <c r="B1067">
        <f>F1067</f>
        <v/>
      </c>
      <c r="C1067">
        <f>G1067-F1067</f>
        <v/>
      </c>
      <c r="D1067">
        <f>1-G1067</f>
        <v/>
      </c>
      <c r="F1067">
        <f>EXP(-$B$11*(A1067*$B$12))</f>
        <v/>
      </c>
      <c r="G1067">
        <f>EXP(-$B$13*(A1067*$B$14))</f>
        <v/>
      </c>
    </row>
    <row r="1068">
      <c r="A1068" t="n">
        <v>89</v>
      </c>
      <c r="B1068">
        <f>F1068</f>
        <v/>
      </c>
      <c r="C1068">
        <f>G1068-F1068</f>
        <v/>
      </c>
      <c r="D1068">
        <f>1-G1068</f>
        <v/>
      </c>
      <c r="F1068">
        <f>EXP(-$B$11*(A1068*$B$12))</f>
        <v/>
      </c>
      <c r="G1068">
        <f>EXP(-$B$13*(A1068*$B$14))</f>
        <v/>
      </c>
    </row>
    <row r="1069">
      <c r="A1069" t="n">
        <v>90</v>
      </c>
      <c r="B1069">
        <f>F1069</f>
        <v/>
      </c>
      <c r="C1069">
        <f>G1069-F1069</f>
        <v/>
      </c>
      <c r="D1069">
        <f>1-G1069</f>
        <v/>
      </c>
      <c r="F1069">
        <f>EXP(-$B$11*(A1069*$B$12))</f>
        <v/>
      </c>
      <c r="G1069">
        <f>EXP(-$B$13*(A1069*$B$14))</f>
        <v/>
      </c>
    </row>
    <row r="1070">
      <c r="A1070" t="n">
        <v>91</v>
      </c>
      <c r="B1070">
        <f>F1070</f>
        <v/>
      </c>
      <c r="C1070">
        <f>G1070-F1070</f>
        <v/>
      </c>
      <c r="D1070">
        <f>1-G1070</f>
        <v/>
      </c>
      <c r="F1070">
        <f>EXP(-$B$11*(A1070*$B$12))</f>
        <v/>
      </c>
      <c r="G1070">
        <f>EXP(-$B$13*(A1070*$B$14))</f>
        <v/>
      </c>
    </row>
    <row r="1071">
      <c r="A1071" t="n">
        <v>92</v>
      </c>
      <c r="B1071">
        <f>F1071</f>
        <v/>
      </c>
      <c r="C1071">
        <f>G1071-F1071</f>
        <v/>
      </c>
      <c r="D1071">
        <f>1-G1071</f>
        <v/>
      </c>
      <c r="F1071">
        <f>EXP(-$B$11*(A1071*$B$12))</f>
        <v/>
      </c>
      <c r="G1071">
        <f>EXP(-$B$13*(A1071*$B$14))</f>
        <v/>
      </c>
    </row>
    <row r="1072">
      <c r="A1072" t="n">
        <v>93</v>
      </c>
      <c r="B1072">
        <f>F1072</f>
        <v/>
      </c>
      <c r="C1072">
        <f>G1072-F1072</f>
        <v/>
      </c>
      <c r="D1072">
        <f>1-G1072</f>
        <v/>
      </c>
      <c r="F1072">
        <f>EXP(-$B$11*(A1072*$B$12))</f>
        <v/>
      </c>
      <c r="G1072">
        <f>EXP(-$B$13*(A1072*$B$14))</f>
        <v/>
      </c>
    </row>
    <row r="1073">
      <c r="A1073" t="n">
        <v>94</v>
      </c>
      <c r="B1073">
        <f>F1073</f>
        <v/>
      </c>
      <c r="C1073">
        <f>G1073-F1073</f>
        <v/>
      </c>
      <c r="D1073">
        <f>1-G1073</f>
        <v/>
      </c>
      <c r="F1073">
        <f>EXP(-$B$11*(A1073*$B$12))</f>
        <v/>
      </c>
      <c r="G1073">
        <f>EXP(-$B$13*(A1073*$B$14))</f>
        <v/>
      </c>
    </row>
    <row r="1074">
      <c r="A1074" t="n">
        <v>95</v>
      </c>
      <c r="B1074">
        <f>F1074</f>
        <v/>
      </c>
      <c r="C1074">
        <f>G1074-F1074</f>
        <v/>
      </c>
      <c r="D1074">
        <f>1-G1074</f>
        <v/>
      </c>
      <c r="F1074">
        <f>EXP(-$B$11*(A1074*$B$12))</f>
        <v/>
      </c>
      <c r="G1074">
        <f>EXP(-$B$13*(A1074*$B$14))</f>
        <v/>
      </c>
    </row>
    <row r="1075">
      <c r="A1075" t="n">
        <v>96</v>
      </c>
      <c r="B1075">
        <f>F1075</f>
        <v/>
      </c>
      <c r="C1075">
        <f>G1075-F1075</f>
        <v/>
      </c>
      <c r="D1075">
        <f>1-G1075</f>
        <v/>
      </c>
      <c r="F1075">
        <f>EXP(-$B$11*(A1075*$B$12))</f>
        <v/>
      </c>
      <c r="G1075">
        <f>EXP(-$B$13*(A1075*$B$14))</f>
        <v/>
      </c>
    </row>
    <row r="1076">
      <c r="A1076" t="n">
        <v>97</v>
      </c>
      <c r="B1076">
        <f>F1076</f>
        <v/>
      </c>
      <c r="C1076">
        <f>G1076-F1076</f>
        <v/>
      </c>
      <c r="D1076">
        <f>1-G1076</f>
        <v/>
      </c>
      <c r="F1076">
        <f>EXP(-$B$11*(A1076*$B$12))</f>
        <v/>
      </c>
      <c r="G1076">
        <f>EXP(-$B$13*(A1076*$B$14))</f>
        <v/>
      </c>
    </row>
    <row r="1077">
      <c r="A1077" t="n">
        <v>98</v>
      </c>
      <c r="B1077">
        <f>F1077</f>
        <v/>
      </c>
      <c r="C1077">
        <f>G1077-F1077</f>
        <v/>
      </c>
      <c r="D1077">
        <f>1-G1077</f>
        <v/>
      </c>
      <c r="F1077">
        <f>EXP(-$B$11*(A1077*$B$12))</f>
        <v/>
      </c>
      <c r="G1077">
        <f>EXP(-$B$13*(A1077*$B$14))</f>
        <v/>
      </c>
    </row>
    <row r="1078">
      <c r="A1078" t="n">
        <v>99</v>
      </c>
      <c r="B1078">
        <f>F1078</f>
        <v/>
      </c>
      <c r="C1078">
        <f>G1078-F1078</f>
        <v/>
      </c>
      <c r="D1078">
        <f>1-G1078</f>
        <v/>
      </c>
      <c r="F1078">
        <f>EXP(-$B$11*(A1078*$B$12))</f>
        <v/>
      </c>
      <c r="G1078">
        <f>EXP(-$B$13*(A1078*$B$14))</f>
        <v/>
      </c>
    </row>
    <row r="1079">
      <c r="A1079" t="n">
        <v>100</v>
      </c>
      <c r="B1079">
        <f>F1079</f>
        <v/>
      </c>
      <c r="C1079">
        <f>G1079-F1079</f>
        <v/>
      </c>
      <c r="D1079">
        <f>1-G1079</f>
        <v/>
      </c>
      <c r="F1079">
        <f>EXP(-$B$11*(A1079*$B$12))</f>
        <v/>
      </c>
      <c r="G1079">
        <f>EXP(-$B$13*(A1079*$B$14))</f>
        <v/>
      </c>
    </row>
    <row r="1080">
      <c r="A1080" t="n">
        <v>101</v>
      </c>
      <c r="B1080">
        <f>F1080</f>
        <v/>
      </c>
      <c r="C1080">
        <f>G1080-F1080</f>
        <v/>
      </c>
      <c r="D1080">
        <f>1-G1080</f>
        <v/>
      </c>
      <c r="F1080">
        <f>EXP(-$B$11*(A1080*$B$12))</f>
        <v/>
      </c>
      <c r="G1080">
        <f>EXP(-$B$13*(A1080*$B$14))</f>
        <v/>
      </c>
    </row>
    <row r="1081">
      <c r="A1081" t="n">
        <v>102</v>
      </c>
      <c r="B1081">
        <f>F1081</f>
        <v/>
      </c>
      <c r="C1081">
        <f>G1081-F1081</f>
        <v/>
      </c>
      <c r="D1081">
        <f>1-G1081</f>
        <v/>
      </c>
      <c r="F1081">
        <f>EXP(-$B$11*(A1081*$B$12))</f>
        <v/>
      </c>
      <c r="G1081">
        <f>EXP(-$B$13*(A1081*$B$14))</f>
        <v/>
      </c>
    </row>
    <row r="1082">
      <c r="A1082" t="n">
        <v>103</v>
      </c>
      <c r="B1082">
        <f>F1082</f>
        <v/>
      </c>
      <c r="C1082">
        <f>G1082-F1082</f>
        <v/>
      </c>
      <c r="D1082">
        <f>1-G1082</f>
        <v/>
      </c>
      <c r="F1082">
        <f>EXP(-$B$11*(A1082*$B$12))</f>
        <v/>
      </c>
      <c r="G1082">
        <f>EXP(-$B$13*(A1082*$B$14))</f>
        <v/>
      </c>
    </row>
    <row r="1083">
      <c r="A1083" t="n">
        <v>104</v>
      </c>
      <c r="B1083">
        <f>F1083</f>
        <v/>
      </c>
      <c r="C1083">
        <f>G1083-F1083</f>
        <v/>
      </c>
      <c r="D1083">
        <f>1-G1083</f>
        <v/>
      </c>
      <c r="F1083">
        <f>EXP(-$B$11*(A1083*$B$12))</f>
        <v/>
      </c>
      <c r="G1083">
        <f>EXP(-$B$13*(A1083*$B$14))</f>
        <v/>
      </c>
    </row>
    <row r="1084">
      <c r="A1084" t="n">
        <v>105</v>
      </c>
      <c r="B1084">
        <f>F1084</f>
        <v/>
      </c>
      <c r="C1084">
        <f>G1084-F1084</f>
        <v/>
      </c>
      <c r="D1084">
        <f>1-G1084</f>
        <v/>
      </c>
      <c r="F1084">
        <f>EXP(-$B$11*(A1084*$B$12))</f>
        <v/>
      </c>
      <c r="G1084">
        <f>EXP(-$B$13*(A1084*$B$14))</f>
        <v/>
      </c>
    </row>
    <row r="1085">
      <c r="A1085" t="n">
        <v>106</v>
      </c>
      <c r="B1085">
        <f>F1085</f>
        <v/>
      </c>
      <c r="C1085">
        <f>G1085-F1085</f>
        <v/>
      </c>
      <c r="D1085">
        <f>1-G1085</f>
        <v/>
      </c>
      <c r="F1085">
        <f>EXP(-$B$11*(A1085*$B$12))</f>
        <v/>
      </c>
      <c r="G1085">
        <f>EXP(-$B$13*(A1085*$B$14))</f>
        <v/>
      </c>
    </row>
    <row r="1086">
      <c r="A1086" t="n">
        <v>107</v>
      </c>
      <c r="B1086">
        <f>F1086</f>
        <v/>
      </c>
      <c r="C1086">
        <f>G1086-F1086</f>
        <v/>
      </c>
      <c r="D1086">
        <f>1-G1086</f>
        <v/>
      </c>
      <c r="F1086">
        <f>EXP(-$B$11*(A1086*$B$12))</f>
        <v/>
      </c>
      <c r="G1086">
        <f>EXP(-$B$13*(A1086*$B$14))</f>
        <v/>
      </c>
    </row>
    <row r="1087">
      <c r="A1087" t="n">
        <v>108</v>
      </c>
      <c r="B1087">
        <f>F1087</f>
        <v/>
      </c>
      <c r="C1087">
        <f>G1087-F1087</f>
        <v/>
      </c>
      <c r="D1087">
        <f>1-G1087</f>
        <v/>
      </c>
      <c r="F1087">
        <f>EXP(-$B$11*(A1087*$B$12))</f>
        <v/>
      </c>
      <c r="G1087">
        <f>EXP(-$B$13*(A1087*$B$14))</f>
        <v/>
      </c>
    </row>
    <row r="1088">
      <c r="A1088" t="n">
        <v>109</v>
      </c>
      <c r="B1088">
        <f>F1088</f>
        <v/>
      </c>
      <c r="C1088">
        <f>G1088-F1088</f>
        <v/>
      </c>
      <c r="D1088">
        <f>1-G1088</f>
        <v/>
      </c>
      <c r="F1088">
        <f>EXP(-$B$11*(A1088*$B$12))</f>
        <v/>
      </c>
      <c r="G1088">
        <f>EXP(-$B$13*(A1088*$B$14))</f>
        <v/>
      </c>
    </row>
    <row r="1089">
      <c r="A1089" t="n">
        <v>110</v>
      </c>
      <c r="B1089">
        <f>F1089</f>
        <v/>
      </c>
      <c r="C1089">
        <f>G1089-F1089</f>
        <v/>
      </c>
      <c r="D1089">
        <f>1-G1089</f>
        <v/>
      </c>
      <c r="F1089">
        <f>EXP(-$B$11*(A1089*$B$12))</f>
        <v/>
      </c>
      <c r="G1089">
        <f>EXP(-$B$13*(A1089*$B$14))</f>
        <v/>
      </c>
    </row>
    <row r="1090">
      <c r="A1090" t="n">
        <v>111</v>
      </c>
      <c r="B1090">
        <f>F1090</f>
        <v/>
      </c>
      <c r="C1090">
        <f>G1090-F1090</f>
        <v/>
      </c>
      <c r="D1090">
        <f>1-G1090</f>
        <v/>
      </c>
      <c r="F1090">
        <f>EXP(-$B$11*(A1090*$B$12))</f>
        <v/>
      </c>
      <c r="G1090">
        <f>EXP(-$B$13*(A1090*$B$14))</f>
        <v/>
      </c>
    </row>
    <row r="1091">
      <c r="A1091" t="n">
        <v>112</v>
      </c>
      <c r="B1091">
        <f>F1091</f>
        <v/>
      </c>
      <c r="C1091">
        <f>G1091-F1091</f>
        <v/>
      </c>
      <c r="D1091">
        <f>1-G1091</f>
        <v/>
      </c>
      <c r="F1091">
        <f>EXP(-$B$11*(A1091*$B$12))</f>
        <v/>
      </c>
      <c r="G1091">
        <f>EXP(-$B$13*(A1091*$B$14))</f>
        <v/>
      </c>
    </row>
    <row r="1092">
      <c r="A1092" t="n">
        <v>113</v>
      </c>
      <c r="B1092">
        <f>F1092</f>
        <v/>
      </c>
      <c r="C1092">
        <f>G1092-F1092</f>
        <v/>
      </c>
      <c r="D1092">
        <f>1-G1092</f>
        <v/>
      </c>
      <c r="F1092">
        <f>EXP(-$B$11*(A1092*$B$12))</f>
        <v/>
      </c>
      <c r="G1092">
        <f>EXP(-$B$13*(A1092*$B$14))</f>
        <v/>
      </c>
    </row>
    <row r="1093">
      <c r="A1093" t="n">
        <v>114</v>
      </c>
      <c r="B1093">
        <f>F1093</f>
        <v/>
      </c>
      <c r="C1093">
        <f>G1093-F1093</f>
        <v/>
      </c>
      <c r="D1093">
        <f>1-G1093</f>
        <v/>
      </c>
      <c r="F1093">
        <f>EXP(-$B$11*(A1093*$B$12))</f>
        <v/>
      </c>
      <c r="G1093">
        <f>EXP(-$B$13*(A1093*$B$14))</f>
        <v/>
      </c>
    </row>
    <row r="1094">
      <c r="A1094" t="n">
        <v>115</v>
      </c>
      <c r="B1094">
        <f>F1094</f>
        <v/>
      </c>
      <c r="C1094">
        <f>G1094-F1094</f>
        <v/>
      </c>
      <c r="D1094">
        <f>1-G1094</f>
        <v/>
      </c>
      <c r="F1094">
        <f>EXP(-$B$11*(A1094*$B$12))</f>
        <v/>
      </c>
      <c r="G1094">
        <f>EXP(-$B$13*(A1094*$B$14))</f>
        <v/>
      </c>
    </row>
    <row r="1095">
      <c r="A1095" t="n">
        <v>116</v>
      </c>
      <c r="B1095">
        <f>F1095</f>
        <v/>
      </c>
      <c r="C1095">
        <f>G1095-F1095</f>
        <v/>
      </c>
      <c r="D1095">
        <f>1-G1095</f>
        <v/>
      </c>
      <c r="F1095">
        <f>EXP(-$B$11*(A1095*$B$12))</f>
        <v/>
      </c>
      <c r="G1095">
        <f>EXP(-$B$13*(A1095*$B$14))</f>
        <v/>
      </c>
    </row>
    <row r="1096">
      <c r="A1096" t="n">
        <v>117</v>
      </c>
      <c r="B1096">
        <f>F1096</f>
        <v/>
      </c>
      <c r="C1096">
        <f>G1096-F1096</f>
        <v/>
      </c>
      <c r="D1096">
        <f>1-G1096</f>
        <v/>
      </c>
      <c r="F1096">
        <f>EXP(-$B$11*(A1096*$B$12))</f>
        <v/>
      </c>
      <c r="G1096">
        <f>EXP(-$B$13*(A1096*$B$14))</f>
        <v/>
      </c>
    </row>
    <row r="1097">
      <c r="A1097" t="n">
        <v>118</v>
      </c>
      <c r="B1097">
        <f>F1097</f>
        <v/>
      </c>
      <c r="C1097">
        <f>G1097-F1097</f>
        <v/>
      </c>
      <c r="D1097">
        <f>1-G1097</f>
        <v/>
      </c>
      <c r="F1097">
        <f>EXP(-$B$11*(A1097*$B$12))</f>
        <v/>
      </c>
      <c r="G1097">
        <f>EXP(-$B$13*(A1097*$B$14))</f>
        <v/>
      </c>
    </row>
    <row r="1098">
      <c r="A1098" t="n">
        <v>119</v>
      </c>
      <c r="B1098">
        <f>F1098</f>
        <v/>
      </c>
      <c r="C1098">
        <f>G1098-F1098</f>
        <v/>
      </c>
      <c r="D1098">
        <f>1-G1098</f>
        <v/>
      </c>
      <c r="F1098">
        <f>EXP(-$B$11*(A1098*$B$12))</f>
        <v/>
      </c>
      <c r="G1098">
        <f>EXP(-$B$13*(A1098*$B$14))</f>
        <v/>
      </c>
    </row>
    <row r="1099">
      <c r="A1099" t="n">
        <v>120</v>
      </c>
      <c r="B1099">
        <f>F1099</f>
        <v/>
      </c>
      <c r="C1099">
        <f>G1099-F1099</f>
        <v/>
      </c>
      <c r="D1099">
        <f>1-G1099</f>
        <v/>
      </c>
      <c r="F1099">
        <f>EXP(-$B$11*(A1099*$B$12))</f>
        <v/>
      </c>
      <c r="G1099">
        <f>EXP(-$B$13*(A1099*$B$14))</f>
        <v/>
      </c>
    </row>
    <row r="1100">
      <c r="A1100" t="n">
        <v>121</v>
      </c>
      <c r="B1100">
        <f>F1100</f>
        <v/>
      </c>
      <c r="C1100">
        <f>G1100-F1100</f>
        <v/>
      </c>
      <c r="D1100">
        <f>1-G1100</f>
        <v/>
      </c>
      <c r="F1100">
        <f>EXP(-$B$11*(A1100*$B$12))</f>
        <v/>
      </c>
      <c r="G1100">
        <f>EXP(-$B$13*(A1100*$B$14))</f>
        <v/>
      </c>
    </row>
    <row r="1101">
      <c r="A1101" t="n">
        <v>122</v>
      </c>
      <c r="B1101">
        <f>F1101</f>
        <v/>
      </c>
      <c r="C1101">
        <f>G1101-F1101</f>
        <v/>
      </c>
      <c r="D1101">
        <f>1-G1101</f>
        <v/>
      </c>
      <c r="F1101">
        <f>EXP(-$B$11*(A1101*$B$12))</f>
        <v/>
      </c>
      <c r="G1101">
        <f>EXP(-$B$13*(A1101*$B$14))</f>
        <v/>
      </c>
    </row>
    <row r="1102">
      <c r="A1102" t="n">
        <v>123</v>
      </c>
      <c r="B1102">
        <f>F1102</f>
        <v/>
      </c>
      <c r="C1102">
        <f>G1102-F1102</f>
        <v/>
      </c>
      <c r="D1102">
        <f>1-G1102</f>
        <v/>
      </c>
      <c r="F1102">
        <f>EXP(-$B$11*(A1102*$B$12))</f>
        <v/>
      </c>
      <c r="G1102">
        <f>EXP(-$B$13*(A1102*$B$14))</f>
        <v/>
      </c>
    </row>
    <row r="1103">
      <c r="A1103" t="n">
        <v>124</v>
      </c>
      <c r="B1103">
        <f>F1103</f>
        <v/>
      </c>
      <c r="C1103">
        <f>G1103-F1103</f>
        <v/>
      </c>
      <c r="D1103">
        <f>1-G1103</f>
        <v/>
      </c>
      <c r="F1103">
        <f>EXP(-$B$11*(A1103*$B$12))</f>
        <v/>
      </c>
      <c r="G1103">
        <f>EXP(-$B$13*(A1103*$B$14))</f>
        <v/>
      </c>
    </row>
    <row r="1104">
      <c r="A1104" t="n">
        <v>125</v>
      </c>
      <c r="B1104">
        <f>F1104</f>
        <v/>
      </c>
      <c r="C1104">
        <f>G1104-F1104</f>
        <v/>
      </c>
      <c r="D1104">
        <f>1-G1104</f>
        <v/>
      </c>
      <c r="F1104">
        <f>EXP(-$B$11*(A1104*$B$12))</f>
        <v/>
      </c>
      <c r="G1104">
        <f>EXP(-$B$13*(A1104*$B$14))</f>
        <v/>
      </c>
    </row>
    <row r="1105">
      <c r="A1105" t="n">
        <v>126</v>
      </c>
      <c r="B1105">
        <f>F1105</f>
        <v/>
      </c>
      <c r="C1105">
        <f>G1105-F1105</f>
        <v/>
      </c>
      <c r="D1105">
        <f>1-G1105</f>
        <v/>
      </c>
      <c r="F1105">
        <f>EXP(-$B$11*(A1105*$B$12))</f>
        <v/>
      </c>
      <c r="G1105">
        <f>EXP(-$B$13*(A1105*$B$14))</f>
        <v/>
      </c>
    </row>
    <row r="1106">
      <c r="A1106" t="n">
        <v>127</v>
      </c>
      <c r="B1106">
        <f>F1106</f>
        <v/>
      </c>
      <c r="C1106">
        <f>G1106-F1106</f>
        <v/>
      </c>
      <c r="D1106">
        <f>1-G1106</f>
        <v/>
      </c>
      <c r="F1106">
        <f>EXP(-$B$11*(A1106*$B$12))</f>
        <v/>
      </c>
      <c r="G1106">
        <f>EXP(-$B$13*(A1106*$B$14))</f>
        <v/>
      </c>
    </row>
    <row r="1107">
      <c r="A1107" t="n">
        <v>128</v>
      </c>
      <c r="B1107">
        <f>F1107</f>
        <v/>
      </c>
      <c r="C1107">
        <f>G1107-F1107</f>
        <v/>
      </c>
      <c r="D1107">
        <f>1-G1107</f>
        <v/>
      </c>
      <c r="F1107">
        <f>EXP(-$B$11*(A1107*$B$12))</f>
        <v/>
      </c>
      <c r="G1107">
        <f>EXP(-$B$13*(A1107*$B$14))</f>
        <v/>
      </c>
    </row>
    <row r="1108">
      <c r="A1108" t="n">
        <v>129</v>
      </c>
      <c r="B1108">
        <f>F1108</f>
        <v/>
      </c>
      <c r="C1108">
        <f>G1108-F1108</f>
        <v/>
      </c>
      <c r="D1108">
        <f>1-G1108</f>
        <v/>
      </c>
      <c r="F1108">
        <f>EXP(-$B$11*(A1108*$B$12))</f>
        <v/>
      </c>
      <c r="G1108">
        <f>EXP(-$B$13*(A1108*$B$14))</f>
        <v/>
      </c>
    </row>
    <row r="1109">
      <c r="A1109" t="n">
        <v>130</v>
      </c>
      <c r="B1109">
        <f>F1109</f>
        <v/>
      </c>
      <c r="C1109">
        <f>G1109-F1109</f>
        <v/>
      </c>
      <c r="D1109">
        <f>1-G1109</f>
        <v/>
      </c>
      <c r="F1109">
        <f>EXP(-$B$11*(A1109*$B$12))</f>
        <v/>
      </c>
      <c r="G1109">
        <f>EXP(-$B$13*(A1109*$B$14))</f>
        <v/>
      </c>
    </row>
    <row r="1110">
      <c r="A1110" t="n">
        <v>131</v>
      </c>
      <c r="B1110">
        <f>F1110</f>
        <v/>
      </c>
      <c r="C1110">
        <f>G1110-F1110</f>
        <v/>
      </c>
      <c r="D1110">
        <f>1-G1110</f>
        <v/>
      </c>
      <c r="F1110">
        <f>EXP(-$B$11*(A1110*$B$12))</f>
        <v/>
      </c>
      <c r="G1110">
        <f>EXP(-$B$13*(A1110*$B$14))</f>
        <v/>
      </c>
    </row>
    <row r="1111">
      <c r="A1111" t="n">
        <v>132</v>
      </c>
      <c r="B1111">
        <f>F1111</f>
        <v/>
      </c>
      <c r="C1111">
        <f>G1111-F1111</f>
        <v/>
      </c>
      <c r="D1111">
        <f>1-G1111</f>
        <v/>
      </c>
      <c r="F1111">
        <f>EXP(-$B$11*(A1111*$B$12))</f>
        <v/>
      </c>
      <c r="G1111">
        <f>EXP(-$B$13*(A1111*$B$14))</f>
        <v/>
      </c>
    </row>
    <row r="1112">
      <c r="A1112" t="n">
        <v>133</v>
      </c>
      <c r="B1112">
        <f>F1112</f>
        <v/>
      </c>
      <c r="C1112">
        <f>G1112-F1112</f>
        <v/>
      </c>
      <c r="D1112">
        <f>1-G1112</f>
        <v/>
      </c>
      <c r="F1112">
        <f>EXP(-$B$11*(A1112*$B$12))</f>
        <v/>
      </c>
      <c r="G1112">
        <f>EXP(-$B$13*(A1112*$B$14))</f>
        <v/>
      </c>
    </row>
    <row r="1113">
      <c r="A1113" t="n">
        <v>134</v>
      </c>
      <c r="B1113">
        <f>F1113</f>
        <v/>
      </c>
      <c r="C1113">
        <f>G1113-F1113</f>
        <v/>
      </c>
      <c r="D1113">
        <f>1-G1113</f>
        <v/>
      </c>
      <c r="F1113">
        <f>EXP(-$B$11*(A1113*$B$12))</f>
        <v/>
      </c>
      <c r="G1113">
        <f>EXP(-$B$13*(A1113*$B$14))</f>
        <v/>
      </c>
    </row>
    <row r="1114">
      <c r="A1114" t="n">
        <v>135</v>
      </c>
      <c r="B1114">
        <f>F1114</f>
        <v/>
      </c>
      <c r="C1114">
        <f>G1114-F1114</f>
        <v/>
      </c>
      <c r="D1114">
        <f>1-G1114</f>
        <v/>
      </c>
      <c r="F1114">
        <f>EXP(-$B$11*(A1114*$B$12))</f>
        <v/>
      </c>
      <c r="G1114">
        <f>EXP(-$B$13*(A1114*$B$14))</f>
        <v/>
      </c>
    </row>
    <row r="1115">
      <c r="A1115" t="n">
        <v>136</v>
      </c>
      <c r="B1115">
        <f>F1115</f>
        <v/>
      </c>
      <c r="C1115">
        <f>G1115-F1115</f>
        <v/>
      </c>
      <c r="D1115">
        <f>1-G1115</f>
        <v/>
      </c>
      <c r="F1115">
        <f>EXP(-$B$11*(A1115*$B$12))</f>
        <v/>
      </c>
      <c r="G1115">
        <f>EXP(-$B$13*(A1115*$B$14))</f>
        <v/>
      </c>
    </row>
    <row r="1116">
      <c r="A1116" t="n">
        <v>137</v>
      </c>
      <c r="B1116">
        <f>F1116</f>
        <v/>
      </c>
      <c r="C1116">
        <f>G1116-F1116</f>
        <v/>
      </c>
      <c r="D1116">
        <f>1-G1116</f>
        <v/>
      </c>
      <c r="F1116">
        <f>EXP(-$B$11*(A1116*$B$12))</f>
        <v/>
      </c>
      <c r="G1116">
        <f>EXP(-$B$13*(A1116*$B$14))</f>
        <v/>
      </c>
    </row>
    <row r="1117">
      <c r="A1117" t="n">
        <v>138</v>
      </c>
      <c r="B1117">
        <f>F1117</f>
        <v/>
      </c>
      <c r="C1117">
        <f>G1117-F1117</f>
        <v/>
      </c>
      <c r="D1117">
        <f>1-G1117</f>
        <v/>
      </c>
      <c r="F1117">
        <f>EXP(-$B$11*(A1117*$B$12))</f>
        <v/>
      </c>
      <c r="G1117">
        <f>EXP(-$B$13*(A1117*$B$14))</f>
        <v/>
      </c>
    </row>
    <row r="1118">
      <c r="A1118" t="n">
        <v>139</v>
      </c>
      <c r="B1118">
        <f>F1118</f>
        <v/>
      </c>
      <c r="C1118">
        <f>G1118-F1118</f>
        <v/>
      </c>
      <c r="D1118">
        <f>1-G1118</f>
        <v/>
      </c>
      <c r="F1118">
        <f>EXP(-$B$11*(A1118*$B$12))</f>
        <v/>
      </c>
      <c r="G1118">
        <f>EXP(-$B$13*(A1118*$B$14))</f>
        <v/>
      </c>
    </row>
    <row r="1119">
      <c r="A1119" t="n">
        <v>140</v>
      </c>
      <c r="B1119">
        <f>F1119</f>
        <v/>
      </c>
      <c r="C1119">
        <f>G1119-F1119</f>
        <v/>
      </c>
      <c r="D1119">
        <f>1-G1119</f>
        <v/>
      </c>
      <c r="F1119">
        <f>EXP(-$B$11*(A1119*$B$12))</f>
        <v/>
      </c>
      <c r="G1119">
        <f>EXP(-$B$13*(A1119*$B$14))</f>
        <v/>
      </c>
    </row>
    <row r="1120">
      <c r="A1120" t="n">
        <v>141</v>
      </c>
      <c r="B1120">
        <f>F1120</f>
        <v/>
      </c>
      <c r="C1120">
        <f>G1120-F1120</f>
        <v/>
      </c>
      <c r="D1120">
        <f>1-G1120</f>
        <v/>
      </c>
      <c r="F1120">
        <f>EXP(-$B$11*(A1120*$B$12))</f>
        <v/>
      </c>
      <c r="G1120">
        <f>EXP(-$B$13*(A1120*$B$14))</f>
        <v/>
      </c>
    </row>
    <row r="1121">
      <c r="A1121" t="n">
        <v>142</v>
      </c>
      <c r="B1121">
        <f>F1121</f>
        <v/>
      </c>
      <c r="C1121">
        <f>G1121-F1121</f>
        <v/>
      </c>
      <c r="D1121">
        <f>1-G1121</f>
        <v/>
      </c>
      <c r="F1121">
        <f>EXP(-$B$11*(A1121*$B$12))</f>
        <v/>
      </c>
      <c r="G1121">
        <f>EXP(-$B$13*(A1121*$B$14))</f>
        <v/>
      </c>
    </row>
    <row r="1122">
      <c r="A1122" t="n">
        <v>143</v>
      </c>
      <c r="B1122">
        <f>F1122</f>
        <v/>
      </c>
      <c r="C1122">
        <f>G1122-F1122</f>
        <v/>
      </c>
      <c r="D1122">
        <f>1-G1122</f>
        <v/>
      </c>
      <c r="F1122">
        <f>EXP(-$B$11*(A1122*$B$12))</f>
        <v/>
      </c>
      <c r="G1122">
        <f>EXP(-$B$13*(A1122*$B$14))</f>
        <v/>
      </c>
    </row>
    <row r="1123">
      <c r="A1123" t="n">
        <v>144</v>
      </c>
      <c r="B1123">
        <f>F1123</f>
        <v/>
      </c>
      <c r="C1123">
        <f>G1123-F1123</f>
        <v/>
      </c>
      <c r="D1123">
        <f>1-G1123</f>
        <v/>
      </c>
      <c r="F1123">
        <f>EXP(-$B$11*(A1123*$B$12))</f>
        <v/>
      </c>
      <c r="G1123">
        <f>EXP(-$B$13*(A1123*$B$14))</f>
        <v/>
      </c>
    </row>
    <row r="1124">
      <c r="A1124" t="n">
        <v>145</v>
      </c>
      <c r="B1124">
        <f>F1124</f>
        <v/>
      </c>
      <c r="C1124">
        <f>G1124-F1124</f>
        <v/>
      </c>
      <c r="D1124">
        <f>1-G1124</f>
        <v/>
      </c>
      <c r="F1124">
        <f>EXP(-$B$11*(A1124*$B$12))</f>
        <v/>
      </c>
      <c r="G1124">
        <f>EXP(-$B$13*(A1124*$B$14))</f>
        <v/>
      </c>
    </row>
    <row r="1125">
      <c r="A1125" t="n">
        <v>146</v>
      </c>
      <c r="B1125">
        <f>F1125</f>
        <v/>
      </c>
      <c r="C1125">
        <f>G1125-F1125</f>
        <v/>
      </c>
      <c r="D1125">
        <f>1-G1125</f>
        <v/>
      </c>
      <c r="F1125">
        <f>EXP(-$B$11*(A1125*$B$12))</f>
        <v/>
      </c>
      <c r="G1125">
        <f>EXP(-$B$13*(A1125*$B$14))</f>
        <v/>
      </c>
    </row>
    <row r="1126">
      <c r="A1126" t="n">
        <v>147</v>
      </c>
      <c r="B1126">
        <f>F1126</f>
        <v/>
      </c>
      <c r="C1126">
        <f>G1126-F1126</f>
        <v/>
      </c>
      <c r="D1126">
        <f>1-G1126</f>
        <v/>
      </c>
      <c r="F1126">
        <f>EXP(-$B$11*(A1126*$B$12))</f>
        <v/>
      </c>
      <c r="G1126">
        <f>EXP(-$B$13*(A1126*$B$14))</f>
        <v/>
      </c>
    </row>
    <row r="1127">
      <c r="A1127" t="n">
        <v>148</v>
      </c>
      <c r="B1127">
        <f>F1127</f>
        <v/>
      </c>
      <c r="C1127">
        <f>G1127-F1127</f>
        <v/>
      </c>
      <c r="D1127">
        <f>1-G1127</f>
        <v/>
      </c>
      <c r="F1127">
        <f>EXP(-$B$11*(A1127*$B$12))</f>
        <v/>
      </c>
      <c r="G1127">
        <f>EXP(-$B$13*(A1127*$B$14))</f>
        <v/>
      </c>
    </row>
    <row r="1128">
      <c r="A1128" t="n">
        <v>149</v>
      </c>
      <c r="B1128">
        <f>F1128</f>
        <v/>
      </c>
      <c r="C1128">
        <f>G1128-F1128</f>
        <v/>
      </c>
      <c r="D1128">
        <f>1-G1128</f>
        <v/>
      </c>
      <c r="F1128">
        <f>EXP(-$B$11*(A1128*$B$12))</f>
        <v/>
      </c>
      <c r="G1128">
        <f>EXP(-$B$13*(A1128*$B$14))</f>
        <v/>
      </c>
    </row>
    <row r="1129">
      <c r="A1129" t="n">
        <v>150</v>
      </c>
      <c r="B1129">
        <f>F1129</f>
        <v/>
      </c>
      <c r="C1129">
        <f>G1129-F1129</f>
        <v/>
      </c>
      <c r="D1129">
        <f>1-G1129</f>
        <v/>
      </c>
      <c r="F1129">
        <f>EXP(-$B$11*(A1129*$B$12))</f>
        <v/>
      </c>
      <c r="G1129">
        <f>EXP(-$B$13*(A1129*$B$14))</f>
        <v/>
      </c>
    </row>
    <row r="1130">
      <c r="A1130" t="n">
        <v>151</v>
      </c>
      <c r="B1130">
        <f>F1130</f>
        <v/>
      </c>
      <c r="C1130">
        <f>G1130-F1130</f>
        <v/>
      </c>
      <c r="D1130">
        <f>1-G1130</f>
        <v/>
      </c>
      <c r="F1130">
        <f>EXP(-$B$11*(A1130*$B$12))</f>
        <v/>
      </c>
      <c r="G1130">
        <f>EXP(-$B$13*(A1130*$B$14))</f>
        <v/>
      </c>
    </row>
    <row r="1131">
      <c r="A1131" t="n">
        <v>152</v>
      </c>
      <c r="B1131">
        <f>F1131</f>
        <v/>
      </c>
      <c r="C1131">
        <f>G1131-F1131</f>
        <v/>
      </c>
      <c r="D1131">
        <f>1-G1131</f>
        <v/>
      </c>
      <c r="F1131">
        <f>EXP(-$B$11*(A1131*$B$12))</f>
        <v/>
      </c>
      <c r="G1131">
        <f>EXP(-$B$13*(A1131*$B$14))</f>
        <v/>
      </c>
    </row>
    <row r="1132">
      <c r="A1132" t="n">
        <v>153</v>
      </c>
      <c r="B1132">
        <f>F1132</f>
        <v/>
      </c>
      <c r="C1132">
        <f>G1132-F1132</f>
        <v/>
      </c>
      <c r="D1132">
        <f>1-G1132</f>
        <v/>
      </c>
      <c r="F1132">
        <f>EXP(-$B$11*(A1132*$B$12))</f>
        <v/>
      </c>
      <c r="G1132">
        <f>EXP(-$B$13*(A1132*$B$14))</f>
        <v/>
      </c>
    </row>
    <row r="1133">
      <c r="A1133" t="n">
        <v>154</v>
      </c>
      <c r="B1133">
        <f>F1133</f>
        <v/>
      </c>
      <c r="C1133">
        <f>G1133-F1133</f>
        <v/>
      </c>
      <c r="D1133">
        <f>1-G1133</f>
        <v/>
      </c>
      <c r="F1133">
        <f>EXP(-$B$11*(A1133*$B$12))</f>
        <v/>
      </c>
      <c r="G1133">
        <f>EXP(-$B$13*(A1133*$B$14))</f>
        <v/>
      </c>
    </row>
    <row r="1134">
      <c r="A1134" t="n">
        <v>155</v>
      </c>
      <c r="B1134">
        <f>F1134</f>
        <v/>
      </c>
      <c r="C1134">
        <f>G1134-F1134</f>
        <v/>
      </c>
      <c r="D1134">
        <f>1-G1134</f>
        <v/>
      </c>
      <c r="F1134">
        <f>EXP(-$B$11*(A1134*$B$12))</f>
        <v/>
      </c>
      <c r="G1134">
        <f>EXP(-$B$13*(A1134*$B$14))</f>
        <v/>
      </c>
    </row>
    <row r="1135">
      <c r="A1135" t="n">
        <v>156</v>
      </c>
      <c r="B1135">
        <f>F1135</f>
        <v/>
      </c>
      <c r="C1135">
        <f>G1135-F1135</f>
        <v/>
      </c>
      <c r="D1135">
        <f>1-G1135</f>
        <v/>
      </c>
      <c r="F1135">
        <f>EXP(-$B$11*(A1135*$B$12))</f>
        <v/>
      </c>
      <c r="G1135">
        <f>EXP(-$B$13*(A1135*$B$14))</f>
        <v/>
      </c>
    </row>
    <row r="1136">
      <c r="A1136" t="n">
        <v>157</v>
      </c>
      <c r="B1136">
        <f>F1136</f>
        <v/>
      </c>
      <c r="C1136">
        <f>G1136-F1136</f>
        <v/>
      </c>
      <c r="D1136">
        <f>1-G1136</f>
        <v/>
      </c>
      <c r="F1136">
        <f>EXP(-$B$11*(A1136*$B$12))</f>
        <v/>
      </c>
      <c r="G1136">
        <f>EXP(-$B$13*(A1136*$B$14))</f>
        <v/>
      </c>
    </row>
    <row r="1137">
      <c r="A1137" t="n">
        <v>158</v>
      </c>
      <c r="B1137">
        <f>F1137</f>
        <v/>
      </c>
      <c r="C1137">
        <f>G1137-F1137</f>
        <v/>
      </c>
      <c r="D1137">
        <f>1-G1137</f>
        <v/>
      </c>
      <c r="F1137">
        <f>EXP(-$B$11*(A1137*$B$12))</f>
        <v/>
      </c>
      <c r="G1137">
        <f>EXP(-$B$13*(A1137*$B$14))</f>
        <v/>
      </c>
    </row>
    <row r="1138">
      <c r="A1138" t="n">
        <v>159</v>
      </c>
      <c r="B1138">
        <f>F1138</f>
        <v/>
      </c>
      <c r="C1138">
        <f>G1138-F1138</f>
        <v/>
      </c>
      <c r="D1138">
        <f>1-G1138</f>
        <v/>
      </c>
      <c r="F1138">
        <f>EXP(-$B$11*(A1138*$B$12))</f>
        <v/>
      </c>
      <c r="G1138">
        <f>EXP(-$B$13*(A1138*$B$14))</f>
        <v/>
      </c>
    </row>
    <row r="1139">
      <c r="A1139" t="n">
        <v>160</v>
      </c>
      <c r="B1139">
        <f>F1139</f>
        <v/>
      </c>
      <c r="C1139">
        <f>G1139-F1139</f>
        <v/>
      </c>
      <c r="D1139">
        <f>1-G1139</f>
        <v/>
      </c>
      <c r="F1139">
        <f>EXP(-$B$11*(A1139*$B$12))</f>
        <v/>
      </c>
      <c r="G1139">
        <f>EXP(-$B$13*(A1139*$B$14))</f>
        <v/>
      </c>
    </row>
    <row r="1140">
      <c r="A1140" t="n">
        <v>161</v>
      </c>
      <c r="B1140">
        <f>F1140</f>
        <v/>
      </c>
      <c r="C1140">
        <f>G1140-F1140</f>
        <v/>
      </c>
      <c r="D1140">
        <f>1-G1140</f>
        <v/>
      </c>
      <c r="F1140">
        <f>EXP(-$B$11*(A1140*$B$12))</f>
        <v/>
      </c>
      <c r="G1140">
        <f>EXP(-$B$13*(A1140*$B$14))</f>
        <v/>
      </c>
    </row>
    <row r="1141">
      <c r="A1141" t="n">
        <v>162</v>
      </c>
      <c r="B1141">
        <f>F1141</f>
        <v/>
      </c>
      <c r="C1141">
        <f>G1141-F1141</f>
        <v/>
      </c>
      <c r="D1141">
        <f>1-G1141</f>
        <v/>
      </c>
      <c r="F1141">
        <f>EXP(-$B$11*(A1141*$B$12))</f>
        <v/>
      </c>
      <c r="G1141">
        <f>EXP(-$B$13*(A1141*$B$14))</f>
        <v/>
      </c>
    </row>
    <row r="1142">
      <c r="A1142" t="n">
        <v>163</v>
      </c>
      <c r="B1142">
        <f>F1142</f>
        <v/>
      </c>
      <c r="C1142">
        <f>G1142-F1142</f>
        <v/>
      </c>
      <c r="D1142">
        <f>1-G1142</f>
        <v/>
      </c>
      <c r="F1142">
        <f>EXP(-$B$11*(A1142*$B$12))</f>
        <v/>
      </c>
      <c r="G1142">
        <f>EXP(-$B$13*(A1142*$B$14))</f>
        <v/>
      </c>
    </row>
    <row r="1143">
      <c r="A1143" t="n">
        <v>164</v>
      </c>
      <c r="B1143">
        <f>F1143</f>
        <v/>
      </c>
      <c r="C1143">
        <f>G1143-F1143</f>
        <v/>
      </c>
      <c r="D1143">
        <f>1-G1143</f>
        <v/>
      </c>
      <c r="F1143">
        <f>EXP(-$B$11*(A1143*$B$12))</f>
        <v/>
      </c>
      <c r="G1143">
        <f>EXP(-$B$13*(A1143*$B$14))</f>
        <v/>
      </c>
    </row>
    <row r="1144">
      <c r="A1144" t="n">
        <v>165</v>
      </c>
      <c r="B1144">
        <f>F1144</f>
        <v/>
      </c>
      <c r="C1144">
        <f>G1144-F1144</f>
        <v/>
      </c>
      <c r="D1144">
        <f>1-G1144</f>
        <v/>
      </c>
      <c r="F1144">
        <f>EXP(-$B$11*(A1144*$B$12))</f>
        <v/>
      </c>
      <c r="G1144">
        <f>EXP(-$B$13*(A1144*$B$14))</f>
        <v/>
      </c>
    </row>
    <row r="1145">
      <c r="A1145" t="n">
        <v>166</v>
      </c>
      <c r="B1145">
        <f>F1145</f>
        <v/>
      </c>
      <c r="C1145">
        <f>G1145-F1145</f>
        <v/>
      </c>
      <c r="D1145">
        <f>1-G1145</f>
        <v/>
      </c>
      <c r="F1145">
        <f>EXP(-$B$11*(A1145*$B$12))</f>
        <v/>
      </c>
      <c r="G1145">
        <f>EXP(-$B$13*(A1145*$B$14))</f>
        <v/>
      </c>
    </row>
    <row r="1146">
      <c r="A1146" t="n">
        <v>167</v>
      </c>
      <c r="B1146">
        <f>F1146</f>
        <v/>
      </c>
      <c r="C1146">
        <f>G1146-F1146</f>
        <v/>
      </c>
      <c r="D1146">
        <f>1-G1146</f>
        <v/>
      </c>
      <c r="F1146">
        <f>EXP(-$B$11*(A1146*$B$12))</f>
        <v/>
      </c>
      <c r="G1146">
        <f>EXP(-$B$13*(A1146*$B$14))</f>
        <v/>
      </c>
    </row>
    <row r="1147">
      <c r="A1147" t="n">
        <v>168</v>
      </c>
      <c r="B1147">
        <f>F1147</f>
        <v/>
      </c>
      <c r="C1147">
        <f>G1147-F1147</f>
        <v/>
      </c>
      <c r="D1147">
        <f>1-G1147</f>
        <v/>
      </c>
      <c r="F1147">
        <f>EXP(-$B$11*(A1147*$B$12))</f>
        <v/>
      </c>
      <c r="G1147">
        <f>EXP(-$B$13*(A1147*$B$14))</f>
        <v/>
      </c>
    </row>
    <row r="1148">
      <c r="A1148" t="n">
        <v>169</v>
      </c>
      <c r="B1148">
        <f>F1148</f>
        <v/>
      </c>
      <c r="C1148">
        <f>G1148-F1148</f>
        <v/>
      </c>
      <c r="D1148">
        <f>1-G1148</f>
        <v/>
      </c>
      <c r="F1148">
        <f>EXP(-$B$11*(A1148*$B$12))</f>
        <v/>
      </c>
      <c r="G1148">
        <f>EXP(-$B$13*(A1148*$B$14))</f>
        <v/>
      </c>
    </row>
    <row r="1149">
      <c r="A1149" t="n">
        <v>170</v>
      </c>
      <c r="B1149">
        <f>F1149</f>
        <v/>
      </c>
      <c r="C1149">
        <f>G1149-F1149</f>
        <v/>
      </c>
      <c r="D1149">
        <f>1-G1149</f>
        <v/>
      </c>
      <c r="F1149">
        <f>EXP(-$B$11*(A1149*$B$12))</f>
        <v/>
      </c>
      <c r="G1149">
        <f>EXP(-$B$13*(A1149*$B$14))</f>
        <v/>
      </c>
    </row>
    <row r="1150">
      <c r="A1150" t="n">
        <v>171</v>
      </c>
      <c r="B1150">
        <f>F1150</f>
        <v/>
      </c>
      <c r="C1150">
        <f>G1150-F1150</f>
        <v/>
      </c>
      <c r="D1150">
        <f>1-G1150</f>
        <v/>
      </c>
      <c r="F1150">
        <f>EXP(-$B$11*(A1150*$B$12))</f>
        <v/>
      </c>
      <c r="G1150">
        <f>EXP(-$B$13*(A1150*$B$14))</f>
        <v/>
      </c>
    </row>
    <row r="1151">
      <c r="A1151" t="n">
        <v>172</v>
      </c>
      <c r="B1151">
        <f>F1151</f>
        <v/>
      </c>
      <c r="C1151">
        <f>G1151-F1151</f>
        <v/>
      </c>
      <c r="D1151">
        <f>1-G1151</f>
        <v/>
      </c>
      <c r="F1151">
        <f>EXP(-$B$11*(A1151*$B$12))</f>
        <v/>
      </c>
      <c r="G1151">
        <f>EXP(-$B$13*(A1151*$B$14))</f>
        <v/>
      </c>
    </row>
    <row r="1152">
      <c r="A1152" t="n">
        <v>173</v>
      </c>
      <c r="B1152">
        <f>F1152</f>
        <v/>
      </c>
      <c r="C1152">
        <f>G1152-F1152</f>
        <v/>
      </c>
      <c r="D1152">
        <f>1-G1152</f>
        <v/>
      </c>
      <c r="F1152">
        <f>EXP(-$B$11*(A1152*$B$12))</f>
        <v/>
      </c>
      <c r="G1152">
        <f>EXP(-$B$13*(A1152*$B$14))</f>
        <v/>
      </c>
    </row>
    <row r="1153">
      <c r="A1153" t="n">
        <v>174</v>
      </c>
      <c r="B1153">
        <f>F1153</f>
        <v/>
      </c>
      <c r="C1153">
        <f>G1153-F1153</f>
        <v/>
      </c>
      <c r="D1153">
        <f>1-G1153</f>
        <v/>
      </c>
      <c r="F1153">
        <f>EXP(-$B$11*(A1153*$B$12))</f>
        <v/>
      </c>
      <c r="G1153">
        <f>EXP(-$B$13*(A1153*$B$14))</f>
        <v/>
      </c>
    </row>
    <row r="1154">
      <c r="A1154" t="n">
        <v>175</v>
      </c>
      <c r="B1154">
        <f>F1154</f>
        <v/>
      </c>
      <c r="C1154">
        <f>G1154-F1154</f>
        <v/>
      </c>
      <c r="D1154">
        <f>1-G1154</f>
        <v/>
      </c>
      <c r="F1154">
        <f>EXP(-$B$11*(A1154*$B$12))</f>
        <v/>
      </c>
      <c r="G1154">
        <f>EXP(-$B$13*(A1154*$B$14))</f>
        <v/>
      </c>
    </row>
    <row r="1155">
      <c r="A1155" t="n">
        <v>176</v>
      </c>
      <c r="B1155">
        <f>F1155</f>
        <v/>
      </c>
      <c r="C1155">
        <f>G1155-F1155</f>
        <v/>
      </c>
      <c r="D1155">
        <f>1-G1155</f>
        <v/>
      </c>
      <c r="F1155">
        <f>EXP(-$B$11*(A1155*$B$12))</f>
        <v/>
      </c>
      <c r="G1155">
        <f>EXP(-$B$13*(A1155*$B$14))</f>
        <v/>
      </c>
    </row>
    <row r="1156">
      <c r="A1156" t="n">
        <v>177</v>
      </c>
      <c r="B1156">
        <f>F1156</f>
        <v/>
      </c>
      <c r="C1156">
        <f>G1156-F1156</f>
        <v/>
      </c>
      <c r="D1156">
        <f>1-G1156</f>
        <v/>
      </c>
      <c r="F1156">
        <f>EXP(-$B$11*(A1156*$B$12))</f>
        <v/>
      </c>
      <c r="G1156">
        <f>EXP(-$B$13*(A1156*$B$14))</f>
        <v/>
      </c>
    </row>
    <row r="1157">
      <c r="A1157" t="n">
        <v>178</v>
      </c>
      <c r="B1157">
        <f>F1157</f>
        <v/>
      </c>
      <c r="C1157">
        <f>G1157-F1157</f>
        <v/>
      </c>
      <c r="D1157">
        <f>1-G1157</f>
        <v/>
      </c>
      <c r="F1157">
        <f>EXP(-$B$11*(A1157*$B$12))</f>
        <v/>
      </c>
      <c r="G1157">
        <f>EXP(-$B$13*(A1157*$B$14))</f>
        <v/>
      </c>
    </row>
    <row r="1158">
      <c r="A1158" t="n">
        <v>179</v>
      </c>
      <c r="B1158">
        <f>F1158</f>
        <v/>
      </c>
      <c r="C1158">
        <f>G1158-F1158</f>
        <v/>
      </c>
      <c r="D1158">
        <f>1-G1158</f>
        <v/>
      </c>
      <c r="F1158">
        <f>EXP(-$B$11*(A1158*$B$12))</f>
        <v/>
      </c>
      <c r="G1158">
        <f>EXP(-$B$13*(A1158*$B$14))</f>
        <v/>
      </c>
    </row>
    <row r="1159">
      <c r="A1159" t="n">
        <v>180</v>
      </c>
      <c r="B1159">
        <f>F1159</f>
        <v/>
      </c>
      <c r="C1159">
        <f>G1159-F1159</f>
        <v/>
      </c>
      <c r="D1159">
        <f>1-G1159</f>
        <v/>
      </c>
      <c r="F1159">
        <f>EXP(-$B$11*(A1159*$B$12))</f>
        <v/>
      </c>
      <c r="G1159">
        <f>EXP(-$B$13*(A1159*$B$14))</f>
        <v/>
      </c>
    </row>
    <row r="1160">
      <c r="A1160" t="n">
        <v>181</v>
      </c>
      <c r="B1160">
        <f>F1160</f>
        <v/>
      </c>
      <c r="C1160">
        <f>G1160-F1160</f>
        <v/>
      </c>
      <c r="D1160">
        <f>1-G1160</f>
        <v/>
      </c>
      <c r="F1160">
        <f>EXP(-$B$11*(A1160*$B$12))</f>
        <v/>
      </c>
      <c r="G1160">
        <f>EXP(-$B$13*(A1160*$B$14))</f>
        <v/>
      </c>
    </row>
    <row r="1161">
      <c r="A1161" t="n">
        <v>182</v>
      </c>
      <c r="B1161">
        <f>F1161</f>
        <v/>
      </c>
      <c r="C1161">
        <f>G1161-F1161</f>
        <v/>
      </c>
      <c r="D1161">
        <f>1-G1161</f>
        <v/>
      </c>
      <c r="F1161">
        <f>EXP(-$B$11*(A1161*$B$12))</f>
        <v/>
      </c>
      <c r="G1161">
        <f>EXP(-$B$13*(A1161*$B$14))</f>
        <v/>
      </c>
    </row>
    <row r="1162">
      <c r="A1162" t="n">
        <v>183</v>
      </c>
      <c r="B1162">
        <f>F1162</f>
        <v/>
      </c>
      <c r="C1162">
        <f>G1162-F1162</f>
        <v/>
      </c>
      <c r="D1162">
        <f>1-G1162</f>
        <v/>
      </c>
      <c r="F1162">
        <f>EXP(-$B$11*(A1162*$B$12))</f>
        <v/>
      </c>
      <c r="G1162">
        <f>EXP(-$B$13*(A1162*$B$14))</f>
        <v/>
      </c>
    </row>
    <row r="1163">
      <c r="A1163" t="n">
        <v>184</v>
      </c>
      <c r="B1163">
        <f>F1163</f>
        <v/>
      </c>
      <c r="C1163">
        <f>G1163-F1163</f>
        <v/>
      </c>
      <c r="D1163">
        <f>1-G1163</f>
        <v/>
      </c>
      <c r="F1163">
        <f>EXP(-$B$11*(A1163*$B$12))</f>
        <v/>
      </c>
      <c r="G1163">
        <f>EXP(-$B$13*(A1163*$B$14))</f>
        <v/>
      </c>
    </row>
    <row r="1164">
      <c r="A1164" t="n">
        <v>185</v>
      </c>
      <c r="B1164">
        <f>F1164</f>
        <v/>
      </c>
      <c r="C1164">
        <f>G1164-F1164</f>
        <v/>
      </c>
      <c r="D1164">
        <f>1-G1164</f>
        <v/>
      </c>
      <c r="F1164">
        <f>EXP(-$B$11*(A1164*$B$12))</f>
        <v/>
      </c>
      <c r="G1164">
        <f>EXP(-$B$13*(A1164*$B$14))</f>
        <v/>
      </c>
    </row>
    <row r="1165">
      <c r="A1165" t="n">
        <v>186</v>
      </c>
      <c r="B1165">
        <f>F1165</f>
        <v/>
      </c>
      <c r="C1165">
        <f>G1165-F1165</f>
        <v/>
      </c>
      <c r="D1165">
        <f>1-G1165</f>
        <v/>
      </c>
      <c r="F1165">
        <f>EXP(-$B$11*(A1165*$B$12))</f>
        <v/>
      </c>
      <c r="G1165">
        <f>EXP(-$B$13*(A1165*$B$14))</f>
        <v/>
      </c>
    </row>
    <row r="1166">
      <c r="A1166" t="n">
        <v>187</v>
      </c>
      <c r="B1166">
        <f>F1166</f>
        <v/>
      </c>
      <c r="C1166">
        <f>G1166-F1166</f>
        <v/>
      </c>
      <c r="D1166">
        <f>1-G1166</f>
        <v/>
      </c>
      <c r="F1166">
        <f>EXP(-$B$11*(A1166*$B$12))</f>
        <v/>
      </c>
      <c r="G1166">
        <f>EXP(-$B$13*(A1166*$B$14))</f>
        <v/>
      </c>
    </row>
    <row r="1167">
      <c r="A1167" t="n">
        <v>188</v>
      </c>
      <c r="B1167">
        <f>F1167</f>
        <v/>
      </c>
      <c r="C1167">
        <f>G1167-F1167</f>
        <v/>
      </c>
      <c r="D1167">
        <f>1-G1167</f>
        <v/>
      </c>
      <c r="F1167">
        <f>EXP(-$B$11*(A1167*$B$12))</f>
        <v/>
      </c>
      <c r="G1167">
        <f>EXP(-$B$13*(A1167*$B$14))</f>
        <v/>
      </c>
    </row>
    <row r="1168">
      <c r="A1168" t="n">
        <v>189</v>
      </c>
      <c r="B1168">
        <f>F1168</f>
        <v/>
      </c>
      <c r="C1168">
        <f>G1168-F1168</f>
        <v/>
      </c>
      <c r="D1168">
        <f>1-G1168</f>
        <v/>
      </c>
      <c r="F1168">
        <f>EXP(-$B$11*(A1168*$B$12))</f>
        <v/>
      </c>
      <c r="G1168">
        <f>EXP(-$B$13*(A1168*$B$14))</f>
        <v/>
      </c>
    </row>
    <row r="1169">
      <c r="A1169" t="n">
        <v>190</v>
      </c>
      <c r="B1169">
        <f>F1169</f>
        <v/>
      </c>
      <c r="C1169">
        <f>G1169-F1169</f>
        <v/>
      </c>
      <c r="D1169">
        <f>1-G1169</f>
        <v/>
      </c>
      <c r="F1169">
        <f>EXP(-$B$11*(A1169*$B$12))</f>
        <v/>
      </c>
      <c r="G1169">
        <f>EXP(-$B$13*(A1169*$B$14))</f>
        <v/>
      </c>
    </row>
    <row r="1170">
      <c r="A1170" t="n">
        <v>191</v>
      </c>
      <c r="B1170">
        <f>F1170</f>
        <v/>
      </c>
      <c r="C1170">
        <f>G1170-F1170</f>
        <v/>
      </c>
      <c r="D1170">
        <f>1-G1170</f>
        <v/>
      </c>
      <c r="F1170">
        <f>EXP(-$B$11*(A1170*$B$12))</f>
        <v/>
      </c>
      <c r="G1170">
        <f>EXP(-$B$13*(A1170*$B$14))</f>
        <v/>
      </c>
    </row>
    <row r="1171">
      <c r="A1171" t="n">
        <v>192</v>
      </c>
      <c r="B1171">
        <f>F1171</f>
        <v/>
      </c>
      <c r="C1171">
        <f>G1171-F1171</f>
        <v/>
      </c>
      <c r="D1171">
        <f>1-G1171</f>
        <v/>
      </c>
      <c r="F1171">
        <f>EXP(-$B$11*(A1171*$B$12))</f>
        <v/>
      </c>
      <c r="G1171">
        <f>EXP(-$B$13*(A1171*$B$14))</f>
        <v/>
      </c>
    </row>
    <row r="1172">
      <c r="A1172" t="n">
        <v>193</v>
      </c>
      <c r="B1172">
        <f>F1172</f>
        <v/>
      </c>
      <c r="C1172">
        <f>G1172-F1172</f>
        <v/>
      </c>
      <c r="D1172">
        <f>1-G1172</f>
        <v/>
      </c>
      <c r="F1172">
        <f>EXP(-$B$11*(A1172*$B$12))</f>
        <v/>
      </c>
      <c r="G1172">
        <f>EXP(-$B$13*(A1172*$B$14))</f>
        <v/>
      </c>
    </row>
    <row r="1173">
      <c r="A1173" t="n">
        <v>194</v>
      </c>
      <c r="B1173">
        <f>F1173</f>
        <v/>
      </c>
      <c r="C1173">
        <f>G1173-F1173</f>
        <v/>
      </c>
      <c r="D1173">
        <f>1-G1173</f>
        <v/>
      </c>
      <c r="F1173">
        <f>EXP(-$B$11*(A1173*$B$12))</f>
        <v/>
      </c>
      <c r="G1173">
        <f>EXP(-$B$13*(A1173*$B$14))</f>
        <v/>
      </c>
    </row>
    <row r="1174">
      <c r="A1174" t="n">
        <v>195</v>
      </c>
      <c r="B1174">
        <f>F1174</f>
        <v/>
      </c>
      <c r="C1174">
        <f>G1174-F1174</f>
        <v/>
      </c>
      <c r="D1174">
        <f>1-G1174</f>
        <v/>
      </c>
      <c r="F1174">
        <f>EXP(-$B$11*(A1174*$B$12))</f>
        <v/>
      </c>
      <c r="G1174">
        <f>EXP(-$B$13*(A1174*$B$14))</f>
        <v/>
      </c>
    </row>
    <row r="1175">
      <c r="A1175" t="n">
        <v>196</v>
      </c>
      <c r="B1175">
        <f>F1175</f>
        <v/>
      </c>
      <c r="C1175">
        <f>G1175-F1175</f>
        <v/>
      </c>
      <c r="D1175">
        <f>1-G1175</f>
        <v/>
      </c>
      <c r="F1175">
        <f>EXP(-$B$11*(A1175*$B$12))</f>
        <v/>
      </c>
      <c r="G1175">
        <f>EXP(-$B$13*(A1175*$B$14))</f>
        <v/>
      </c>
    </row>
    <row r="1176">
      <c r="A1176" t="n">
        <v>197</v>
      </c>
      <c r="B1176">
        <f>F1176</f>
        <v/>
      </c>
      <c r="C1176">
        <f>G1176-F1176</f>
        <v/>
      </c>
      <c r="D1176">
        <f>1-G1176</f>
        <v/>
      </c>
      <c r="F1176">
        <f>EXP(-$B$11*(A1176*$B$12))</f>
        <v/>
      </c>
      <c r="G1176">
        <f>EXP(-$B$13*(A1176*$B$14))</f>
        <v/>
      </c>
    </row>
    <row r="1177">
      <c r="A1177" t="n">
        <v>198</v>
      </c>
      <c r="B1177">
        <f>F1177</f>
        <v/>
      </c>
      <c r="C1177">
        <f>G1177-F1177</f>
        <v/>
      </c>
      <c r="D1177">
        <f>1-G1177</f>
        <v/>
      </c>
      <c r="F1177">
        <f>EXP(-$B$11*(A1177*$B$12))</f>
        <v/>
      </c>
      <c r="G1177">
        <f>EXP(-$B$13*(A1177*$B$14))</f>
        <v/>
      </c>
    </row>
    <row r="1178">
      <c r="A1178" t="n">
        <v>199</v>
      </c>
      <c r="B1178">
        <f>F1178</f>
        <v/>
      </c>
      <c r="C1178">
        <f>G1178-F1178</f>
        <v/>
      </c>
      <c r="D1178">
        <f>1-G1178</f>
        <v/>
      </c>
      <c r="F1178">
        <f>EXP(-$B$11*(A1178*$B$12))</f>
        <v/>
      </c>
      <c r="G1178">
        <f>EXP(-$B$13*(A1178*$B$14))</f>
        <v/>
      </c>
    </row>
    <row r="1179">
      <c r="A1179" t="n">
        <v>200</v>
      </c>
      <c r="B1179">
        <f>F1179</f>
        <v/>
      </c>
      <c r="C1179">
        <f>G1179-F1179</f>
        <v/>
      </c>
      <c r="D1179">
        <f>1-G1179</f>
        <v/>
      </c>
      <c r="F1179">
        <f>EXP(-$B$11*(A1179*$B$12))</f>
        <v/>
      </c>
      <c r="G1179">
        <f>EXP(-$B$13*(A1179*$B$14))</f>
        <v/>
      </c>
    </row>
    <row r="1180">
      <c r="A1180" t="n">
        <v>201</v>
      </c>
      <c r="B1180">
        <f>F1180</f>
        <v/>
      </c>
      <c r="C1180">
        <f>G1180-F1180</f>
        <v/>
      </c>
      <c r="D1180">
        <f>1-G1180</f>
        <v/>
      </c>
      <c r="F1180">
        <f>EXP(-$B$11*(A1180*$B$12))</f>
        <v/>
      </c>
      <c r="G1180">
        <f>EXP(-$B$13*(A1180*$B$14))</f>
        <v/>
      </c>
    </row>
    <row r="1181">
      <c r="A1181" t="n">
        <v>202</v>
      </c>
      <c r="B1181">
        <f>F1181</f>
        <v/>
      </c>
      <c r="C1181">
        <f>G1181-F1181</f>
        <v/>
      </c>
      <c r="D1181">
        <f>1-G1181</f>
        <v/>
      </c>
      <c r="F1181">
        <f>EXP(-$B$11*(A1181*$B$12))</f>
        <v/>
      </c>
      <c r="G1181">
        <f>EXP(-$B$13*(A1181*$B$14))</f>
        <v/>
      </c>
    </row>
    <row r="1182">
      <c r="A1182" t="n">
        <v>203</v>
      </c>
      <c r="B1182">
        <f>F1182</f>
        <v/>
      </c>
      <c r="C1182">
        <f>G1182-F1182</f>
        <v/>
      </c>
      <c r="D1182">
        <f>1-G1182</f>
        <v/>
      </c>
      <c r="F1182">
        <f>EXP(-$B$11*(A1182*$B$12))</f>
        <v/>
      </c>
      <c r="G1182">
        <f>EXP(-$B$13*(A1182*$B$14))</f>
        <v/>
      </c>
    </row>
    <row r="1183">
      <c r="A1183" t="n">
        <v>204</v>
      </c>
      <c r="B1183">
        <f>F1183</f>
        <v/>
      </c>
      <c r="C1183">
        <f>G1183-F1183</f>
        <v/>
      </c>
      <c r="D1183">
        <f>1-G1183</f>
        <v/>
      </c>
      <c r="F1183">
        <f>EXP(-$B$11*(A1183*$B$12))</f>
        <v/>
      </c>
      <c r="G1183">
        <f>EXP(-$B$13*(A1183*$B$14))</f>
        <v/>
      </c>
    </row>
    <row r="1184">
      <c r="A1184" t="n">
        <v>205</v>
      </c>
      <c r="B1184">
        <f>F1184</f>
        <v/>
      </c>
      <c r="C1184">
        <f>G1184-F1184</f>
        <v/>
      </c>
      <c r="D1184">
        <f>1-G1184</f>
        <v/>
      </c>
      <c r="F1184">
        <f>EXP(-$B$11*(A1184*$B$12))</f>
        <v/>
      </c>
      <c r="G1184">
        <f>EXP(-$B$13*(A1184*$B$14))</f>
        <v/>
      </c>
    </row>
    <row r="1185">
      <c r="A1185" t="n">
        <v>206</v>
      </c>
      <c r="B1185">
        <f>F1185</f>
        <v/>
      </c>
      <c r="C1185">
        <f>G1185-F1185</f>
        <v/>
      </c>
      <c r="D1185">
        <f>1-G1185</f>
        <v/>
      </c>
      <c r="F1185">
        <f>EXP(-$B$11*(A1185*$B$12))</f>
        <v/>
      </c>
      <c r="G1185">
        <f>EXP(-$B$13*(A1185*$B$14))</f>
        <v/>
      </c>
    </row>
    <row r="1186">
      <c r="A1186" t="n">
        <v>207</v>
      </c>
      <c r="B1186">
        <f>F1186</f>
        <v/>
      </c>
      <c r="C1186">
        <f>G1186-F1186</f>
        <v/>
      </c>
      <c r="D1186">
        <f>1-G1186</f>
        <v/>
      </c>
      <c r="F1186">
        <f>EXP(-$B$11*(A1186*$B$12))</f>
        <v/>
      </c>
      <c r="G1186">
        <f>EXP(-$B$13*(A1186*$B$14))</f>
        <v/>
      </c>
    </row>
    <row r="1187">
      <c r="A1187" t="n">
        <v>208</v>
      </c>
      <c r="B1187">
        <f>F1187</f>
        <v/>
      </c>
      <c r="C1187">
        <f>G1187-F1187</f>
        <v/>
      </c>
      <c r="D1187">
        <f>1-G1187</f>
        <v/>
      </c>
      <c r="F1187">
        <f>EXP(-$B$11*(A1187*$B$12))</f>
        <v/>
      </c>
      <c r="G1187">
        <f>EXP(-$B$13*(A1187*$B$14))</f>
        <v/>
      </c>
    </row>
    <row r="1188">
      <c r="A1188" t="n">
        <v>209</v>
      </c>
      <c r="B1188">
        <f>F1188</f>
        <v/>
      </c>
      <c r="C1188">
        <f>G1188-F1188</f>
        <v/>
      </c>
      <c r="D1188">
        <f>1-G1188</f>
        <v/>
      </c>
      <c r="F1188">
        <f>EXP(-$B$11*(A1188*$B$12))</f>
        <v/>
      </c>
      <c r="G1188">
        <f>EXP(-$B$13*(A1188*$B$14))</f>
        <v/>
      </c>
    </row>
    <row r="1189">
      <c r="A1189" t="n">
        <v>210</v>
      </c>
      <c r="B1189">
        <f>F1189</f>
        <v/>
      </c>
      <c r="C1189">
        <f>G1189-F1189</f>
        <v/>
      </c>
      <c r="D1189">
        <f>1-G1189</f>
        <v/>
      </c>
      <c r="F1189">
        <f>EXP(-$B$11*(A1189*$B$12))</f>
        <v/>
      </c>
      <c r="G1189">
        <f>EXP(-$B$13*(A1189*$B$14))</f>
        <v/>
      </c>
    </row>
    <row r="1190">
      <c r="A1190" t="n">
        <v>211</v>
      </c>
      <c r="B1190">
        <f>F1190</f>
        <v/>
      </c>
      <c r="C1190">
        <f>G1190-F1190</f>
        <v/>
      </c>
      <c r="D1190">
        <f>1-G1190</f>
        <v/>
      </c>
      <c r="F1190">
        <f>EXP(-$B$11*(A1190*$B$12))</f>
        <v/>
      </c>
      <c r="G1190">
        <f>EXP(-$B$13*(A1190*$B$14))</f>
        <v/>
      </c>
    </row>
    <row r="1191">
      <c r="A1191" t="n">
        <v>212</v>
      </c>
      <c r="B1191">
        <f>F1191</f>
        <v/>
      </c>
      <c r="C1191">
        <f>G1191-F1191</f>
        <v/>
      </c>
      <c r="D1191">
        <f>1-G1191</f>
        <v/>
      </c>
      <c r="F1191">
        <f>EXP(-$B$11*(A1191*$B$12))</f>
        <v/>
      </c>
      <c r="G1191">
        <f>EXP(-$B$13*(A1191*$B$14))</f>
        <v/>
      </c>
    </row>
    <row r="1192">
      <c r="A1192" t="n">
        <v>213</v>
      </c>
      <c r="B1192">
        <f>F1192</f>
        <v/>
      </c>
      <c r="C1192">
        <f>G1192-F1192</f>
        <v/>
      </c>
      <c r="D1192">
        <f>1-G1192</f>
        <v/>
      </c>
      <c r="F1192">
        <f>EXP(-$B$11*(A1192*$B$12))</f>
        <v/>
      </c>
      <c r="G1192">
        <f>EXP(-$B$13*(A1192*$B$14))</f>
        <v/>
      </c>
    </row>
    <row r="1193">
      <c r="A1193" t="n">
        <v>214</v>
      </c>
      <c r="B1193">
        <f>F1193</f>
        <v/>
      </c>
      <c r="C1193">
        <f>G1193-F1193</f>
        <v/>
      </c>
      <c r="D1193">
        <f>1-G1193</f>
        <v/>
      </c>
      <c r="F1193">
        <f>EXP(-$B$11*(A1193*$B$12))</f>
        <v/>
      </c>
      <c r="G1193">
        <f>EXP(-$B$13*(A1193*$B$14))</f>
        <v/>
      </c>
    </row>
    <row r="1194">
      <c r="A1194" t="n">
        <v>215</v>
      </c>
      <c r="B1194">
        <f>F1194</f>
        <v/>
      </c>
      <c r="C1194">
        <f>G1194-F1194</f>
        <v/>
      </c>
      <c r="D1194">
        <f>1-G1194</f>
        <v/>
      </c>
      <c r="F1194">
        <f>EXP(-$B$11*(A1194*$B$12))</f>
        <v/>
      </c>
      <c r="G1194">
        <f>EXP(-$B$13*(A1194*$B$14))</f>
        <v/>
      </c>
    </row>
    <row r="1195">
      <c r="A1195" t="n">
        <v>216</v>
      </c>
      <c r="B1195">
        <f>F1195</f>
        <v/>
      </c>
      <c r="C1195">
        <f>G1195-F1195</f>
        <v/>
      </c>
      <c r="D1195">
        <f>1-G1195</f>
        <v/>
      </c>
      <c r="F1195">
        <f>EXP(-$B$11*(A1195*$B$12))</f>
        <v/>
      </c>
      <c r="G1195">
        <f>EXP(-$B$13*(A1195*$B$14))</f>
        <v/>
      </c>
    </row>
    <row r="1196">
      <c r="A1196" t="n">
        <v>217</v>
      </c>
      <c r="B1196">
        <f>F1196</f>
        <v/>
      </c>
      <c r="C1196">
        <f>G1196-F1196</f>
        <v/>
      </c>
      <c r="D1196">
        <f>1-G1196</f>
        <v/>
      </c>
      <c r="F1196">
        <f>EXP(-$B$11*(A1196*$B$12))</f>
        <v/>
      </c>
      <c r="G1196">
        <f>EXP(-$B$13*(A1196*$B$14))</f>
        <v/>
      </c>
    </row>
    <row r="1197">
      <c r="A1197" t="n">
        <v>218</v>
      </c>
      <c r="B1197">
        <f>F1197</f>
        <v/>
      </c>
      <c r="C1197">
        <f>G1197-F1197</f>
        <v/>
      </c>
      <c r="D1197">
        <f>1-G1197</f>
        <v/>
      </c>
      <c r="F1197">
        <f>EXP(-$B$11*(A1197*$B$12))</f>
        <v/>
      </c>
      <c r="G1197">
        <f>EXP(-$B$13*(A1197*$B$14))</f>
        <v/>
      </c>
    </row>
    <row r="1198">
      <c r="A1198" t="n">
        <v>219</v>
      </c>
      <c r="B1198">
        <f>F1198</f>
        <v/>
      </c>
      <c r="C1198">
        <f>G1198-F1198</f>
        <v/>
      </c>
      <c r="D1198">
        <f>1-G1198</f>
        <v/>
      </c>
      <c r="F1198">
        <f>EXP(-$B$11*(A1198*$B$12))</f>
        <v/>
      </c>
      <c r="G1198">
        <f>EXP(-$B$13*(A1198*$B$14))</f>
        <v/>
      </c>
    </row>
    <row r="1199">
      <c r="A1199" t="n">
        <v>220</v>
      </c>
      <c r="B1199">
        <f>F1199</f>
        <v/>
      </c>
      <c r="C1199">
        <f>G1199-F1199</f>
        <v/>
      </c>
      <c r="D1199">
        <f>1-G1199</f>
        <v/>
      </c>
      <c r="F1199">
        <f>EXP(-$B$11*(A1199*$B$12))</f>
        <v/>
      </c>
      <c r="G1199">
        <f>EXP(-$B$13*(A1199*$B$14))</f>
        <v/>
      </c>
    </row>
    <row r="1200">
      <c r="A1200" t="n">
        <v>221</v>
      </c>
      <c r="B1200">
        <f>F1200</f>
        <v/>
      </c>
      <c r="C1200">
        <f>G1200-F1200</f>
        <v/>
      </c>
      <c r="D1200">
        <f>1-G1200</f>
        <v/>
      </c>
      <c r="F1200">
        <f>EXP(-$B$11*(A1200*$B$12))</f>
        <v/>
      </c>
      <c r="G1200">
        <f>EXP(-$B$13*(A1200*$B$14))</f>
        <v/>
      </c>
    </row>
    <row r="1201">
      <c r="A1201" t="n">
        <v>222</v>
      </c>
      <c r="B1201">
        <f>F1201</f>
        <v/>
      </c>
      <c r="C1201">
        <f>G1201-F1201</f>
        <v/>
      </c>
      <c r="D1201">
        <f>1-G1201</f>
        <v/>
      </c>
      <c r="F1201">
        <f>EXP(-$B$11*(A1201*$B$12))</f>
        <v/>
      </c>
      <c r="G1201">
        <f>EXP(-$B$13*(A1201*$B$14))</f>
        <v/>
      </c>
    </row>
    <row r="1202">
      <c r="A1202" t="n">
        <v>223</v>
      </c>
      <c r="B1202">
        <f>F1202</f>
        <v/>
      </c>
      <c r="C1202">
        <f>G1202-F1202</f>
        <v/>
      </c>
      <c r="D1202">
        <f>1-G1202</f>
        <v/>
      </c>
      <c r="F1202">
        <f>EXP(-$B$11*(A1202*$B$12))</f>
        <v/>
      </c>
      <c r="G1202">
        <f>EXP(-$B$13*(A1202*$B$14))</f>
        <v/>
      </c>
    </row>
    <row r="1203">
      <c r="A1203" t="n">
        <v>224</v>
      </c>
      <c r="B1203">
        <f>F1203</f>
        <v/>
      </c>
      <c r="C1203">
        <f>G1203-F1203</f>
        <v/>
      </c>
      <c r="D1203">
        <f>1-G1203</f>
        <v/>
      </c>
      <c r="F1203">
        <f>EXP(-$B$11*(A1203*$B$12))</f>
        <v/>
      </c>
      <c r="G1203">
        <f>EXP(-$B$13*(A1203*$B$14))</f>
        <v/>
      </c>
    </row>
    <row r="1204">
      <c r="A1204" t="n">
        <v>225</v>
      </c>
      <c r="B1204">
        <f>F1204</f>
        <v/>
      </c>
      <c r="C1204">
        <f>G1204-F1204</f>
        <v/>
      </c>
      <c r="D1204">
        <f>1-G1204</f>
        <v/>
      </c>
      <c r="F1204">
        <f>EXP(-$B$11*(A1204*$B$12))</f>
        <v/>
      </c>
      <c r="G1204">
        <f>EXP(-$B$13*(A1204*$B$14))</f>
        <v/>
      </c>
    </row>
    <row r="1205">
      <c r="A1205" t="n">
        <v>226</v>
      </c>
      <c r="B1205">
        <f>F1205</f>
        <v/>
      </c>
      <c r="C1205">
        <f>G1205-F1205</f>
        <v/>
      </c>
      <c r="D1205">
        <f>1-G1205</f>
        <v/>
      </c>
      <c r="F1205">
        <f>EXP(-$B$11*(A1205*$B$12))</f>
        <v/>
      </c>
      <c r="G1205">
        <f>EXP(-$B$13*(A1205*$B$14))</f>
        <v/>
      </c>
    </row>
    <row r="1206">
      <c r="A1206" t="n">
        <v>227</v>
      </c>
      <c r="B1206">
        <f>F1206</f>
        <v/>
      </c>
      <c r="C1206">
        <f>G1206-F1206</f>
        <v/>
      </c>
      <c r="D1206">
        <f>1-G1206</f>
        <v/>
      </c>
      <c r="F1206">
        <f>EXP(-$B$11*(A1206*$B$12))</f>
        <v/>
      </c>
      <c r="G1206">
        <f>EXP(-$B$13*(A1206*$B$14))</f>
        <v/>
      </c>
    </row>
    <row r="1207">
      <c r="A1207" t="n">
        <v>228</v>
      </c>
      <c r="B1207">
        <f>F1207</f>
        <v/>
      </c>
      <c r="C1207">
        <f>G1207-F1207</f>
        <v/>
      </c>
      <c r="D1207">
        <f>1-G1207</f>
        <v/>
      </c>
      <c r="F1207">
        <f>EXP(-$B$11*(A1207*$B$12))</f>
        <v/>
      </c>
      <c r="G1207">
        <f>EXP(-$B$13*(A1207*$B$14))</f>
        <v/>
      </c>
    </row>
    <row r="1208">
      <c r="A1208" t="n">
        <v>229</v>
      </c>
      <c r="B1208">
        <f>F1208</f>
        <v/>
      </c>
      <c r="C1208">
        <f>G1208-F1208</f>
        <v/>
      </c>
      <c r="D1208">
        <f>1-G1208</f>
        <v/>
      </c>
      <c r="F1208">
        <f>EXP(-$B$11*(A1208*$B$12))</f>
        <v/>
      </c>
      <c r="G1208">
        <f>EXP(-$B$13*(A1208*$B$14))</f>
        <v/>
      </c>
    </row>
    <row r="1209">
      <c r="A1209" t="n">
        <v>230</v>
      </c>
      <c r="B1209">
        <f>F1209</f>
        <v/>
      </c>
      <c r="C1209">
        <f>G1209-F1209</f>
        <v/>
      </c>
      <c r="D1209">
        <f>1-G1209</f>
        <v/>
      </c>
      <c r="F1209">
        <f>EXP(-$B$11*(A1209*$B$12))</f>
        <v/>
      </c>
      <c r="G1209">
        <f>EXP(-$B$13*(A1209*$B$14))</f>
        <v/>
      </c>
    </row>
    <row r="1210">
      <c r="A1210" t="n">
        <v>231</v>
      </c>
      <c r="B1210">
        <f>F1210</f>
        <v/>
      </c>
      <c r="C1210">
        <f>G1210-F1210</f>
        <v/>
      </c>
      <c r="D1210">
        <f>1-G1210</f>
        <v/>
      </c>
      <c r="F1210">
        <f>EXP(-$B$11*(A1210*$B$12))</f>
        <v/>
      </c>
      <c r="G1210">
        <f>EXP(-$B$13*(A1210*$B$14))</f>
        <v/>
      </c>
    </row>
    <row r="1211">
      <c r="A1211" t="n">
        <v>232</v>
      </c>
      <c r="B1211">
        <f>F1211</f>
        <v/>
      </c>
      <c r="C1211">
        <f>G1211-F1211</f>
        <v/>
      </c>
      <c r="D1211">
        <f>1-G1211</f>
        <v/>
      </c>
      <c r="F1211">
        <f>EXP(-$B$11*(A1211*$B$12))</f>
        <v/>
      </c>
      <c r="G1211">
        <f>EXP(-$B$13*(A1211*$B$14))</f>
        <v/>
      </c>
    </row>
    <row r="1212">
      <c r="A1212" t="n">
        <v>233</v>
      </c>
      <c r="B1212">
        <f>F1212</f>
        <v/>
      </c>
      <c r="C1212">
        <f>G1212-F1212</f>
        <v/>
      </c>
      <c r="D1212">
        <f>1-G1212</f>
        <v/>
      </c>
      <c r="F1212">
        <f>EXP(-$B$11*(A1212*$B$12))</f>
        <v/>
      </c>
      <c r="G1212">
        <f>EXP(-$B$13*(A1212*$B$14))</f>
        <v/>
      </c>
    </row>
    <row r="1213">
      <c r="A1213" t="n">
        <v>234</v>
      </c>
      <c r="B1213">
        <f>F1213</f>
        <v/>
      </c>
      <c r="C1213">
        <f>G1213-F1213</f>
        <v/>
      </c>
      <c r="D1213">
        <f>1-G1213</f>
        <v/>
      </c>
      <c r="F1213">
        <f>EXP(-$B$11*(A1213*$B$12))</f>
        <v/>
      </c>
      <c r="G1213">
        <f>EXP(-$B$13*(A1213*$B$14))</f>
        <v/>
      </c>
    </row>
    <row r="1214">
      <c r="A1214" t="n">
        <v>235</v>
      </c>
      <c r="B1214">
        <f>F1214</f>
        <v/>
      </c>
      <c r="C1214">
        <f>G1214-F1214</f>
        <v/>
      </c>
      <c r="D1214">
        <f>1-G1214</f>
        <v/>
      </c>
      <c r="F1214">
        <f>EXP(-$B$11*(A1214*$B$12))</f>
        <v/>
      </c>
      <c r="G1214">
        <f>EXP(-$B$13*(A1214*$B$14))</f>
        <v/>
      </c>
    </row>
    <row r="1215">
      <c r="A1215" t="n">
        <v>236</v>
      </c>
      <c r="B1215">
        <f>F1215</f>
        <v/>
      </c>
      <c r="C1215">
        <f>G1215-F1215</f>
        <v/>
      </c>
      <c r="D1215">
        <f>1-G1215</f>
        <v/>
      </c>
      <c r="F1215">
        <f>EXP(-$B$11*(A1215*$B$12))</f>
        <v/>
      </c>
      <c r="G1215">
        <f>EXP(-$B$13*(A1215*$B$14))</f>
        <v/>
      </c>
    </row>
    <row r="1216">
      <c r="A1216" t="n">
        <v>237</v>
      </c>
      <c r="B1216">
        <f>F1216</f>
        <v/>
      </c>
      <c r="C1216">
        <f>G1216-F1216</f>
        <v/>
      </c>
      <c r="D1216">
        <f>1-G1216</f>
        <v/>
      </c>
      <c r="F1216">
        <f>EXP(-$B$11*(A1216*$B$12))</f>
        <v/>
      </c>
      <c r="G1216">
        <f>EXP(-$B$13*(A1216*$B$14))</f>
        <v/>
      </c>
    </row>
    <row r="1217">
      <c r="A1217" t="n">
        <v>238</v>
      </c>
      <c r="B1217">
        <f>F1217</f>
        <v/>
      </c>
      <c r="C1217">
        <f>G1217-F1217</f>
        <v/>
      </c>
      <c r="D1217">
        <f>1-G1217</f>
        <v/>
      </c>
      <c r="F1217">
        <f>EXP(-$B$11*(A1217*$B$12))</f>
        <v/>
      </c>
      <c r="G1217">
        <f>EXP(-$B$13*(A1217*$B$14))</f>
        <v/>
      </c>
    </row>
    <row r="1218">
      <c r="A1218" t="n">
        <v>239</v>
      </c>
      <c r="B1218">
        <f>F1218</f>
        <v/>
      </c>
      <c r="C1218">
        <f>G1218-F1218</f>
        <v/>
      </c>
      <c r="D1218">
        <f>1-G1218</f>
        <v/>
      </c>
      <c r="F1218">
        <f>EXP(-$B$11*(A1218*$B$12))</f>
        <v/>
      </c>
      <c r="G1218">
        <f>EXP(-$B$13*(A1218*$B$14))</f>
        <v/>
      </c>
    </row>
    <row r="1219">
      <c r="A1219" t="n">
        <v>240</v>
      </c>
      <c r="B1219">
        <f>F1219</f>
        <v/>
      </c>
      <c r="C1219">
        <f>G1219-F1219</f>
        <v/>
      </c>
      <c r="D1219">
        <f>1-G1219</f>
        <v/>
      </c>
      <c r="F1219">
        <f>EXP(-$B$11*(A1219*$B$12))</f>
        <v/>
      </c>
      <c r="G1219">
        <f>EXP(-$B$13*(A1219*$B$14))</f>
        <v/>
      </c>
    </row>
    <row r="1226">
      <c r="A1226" t="n">
        <v>1</v>
      </c>
      <c r="B1226">
        <f>IF($B$4="life-table",(B979+B980)/2,IF($B$4="beginning",B979,B980))</f>
        <v/>
      </c>
      <c r="C1226">
        <f>IF($B$4="life-table",(C979+C980)/2,IF($B$4="beginning",C979,C980))</f>
        <v/>
      </c>
      <c r="D1226">
        <f>IF($B$4="life-table",(D979+D980)/2,IF($B$4="beginning",D979,D980))</f>
        <v/>
      </c>
      <c r="F1226">
        <f>((B1226*$B$15+C1226*$C$15+D1226*$D$15)+(B1226*$B$255+C1226*$C$255+D1226*$D$255)+(B1226*$B$495+C1226*$C$495+D1226*$D$495)+$B$975)/(1+$B$2)^(0)</f>
        <v/>
      </c>
      <c r="G1226">
        <f>((B1226*$B$735+C1226*$C$735+D1226*$D$735))/(1+$B$3)^(0)</f>
        <v/>
      </c>
    </row>
    <row r="1227">
      <c r="A1227" t="n">
        <v>2</v>
      </c>
      <c r="B1227">
        <f>IF($B$4="life-table",(B980+B981)/2,IF($B$4="beginning",B980,B981))</f>
        <v/>
      </c>
      <c r="C1227">
        <f>IF($B$4="life-table",(C980+C981)/2,IF($B$4="beginning",C980,C981))</f>
        <v/>
      </c>
      <c r="D1227">
        <f>IF($B$4="life-table",(D980+D981)/2,IF($B$4="beginning",D980,D981))</f>
        <v/>
      </c>
      <c r="F1227">
        <f>((B1227*$B$16+C1227*$C$16+D1227*$D$16)+(B1227*$B$256+C1227*$C$256+D1227*$D$256)+(B1227*$B$496+C1227*$C$496+D1227*$D$496))/(1+$B$2)^(1)</f>
        <v/>
      </c>
      <c r="G1227">
        <f>((B1227*$B$736+C1227*$C$736+D1227*$D$736))/(1+$B$3)^(1)</f>
        <v/>
      </c>
    </row>
    <row r="1228">
      <c r="A1228" t="n">
        <v>3</v>
      </c>
      <c r="B1228">
        <f>IF($B$4="life-table",(B981+B982)/2,IF($B$4="beginning",B981,B982))</f>
        <v/>
      </c>
      <c r="C1228">
        <f>IF($B$4="life-table",(C981+C982)/2,IF($B$4="beginning",C981,C982))</f>
        <v/>
      </c>
      <c r="D1228">
        <f>IF($B$4="life-table",(D981+D982)/2,IF($B$4="beginning",D981,D982))</f>
        <v/>
      </c>
      <c r="F1228">
        <f>((B1228*$B$17+C1228*$C$17+D1228*$D$17)+(B1228*$B$257+C1228*$C$257+D1228*$D$257)+(B1228*$B$497+C1228*$C$497+D1228*$D$497))/(1+$B$2)^(2)</f>
        <v/>
      </c>
      <c r="G1228">
        <f>((B1228*$B$737+C1228*$C$737+D1228*$D$737))/(1+$B$3)^(2)</f>
        <v/>
      </c>
    </row>
    <row r="1229">
      <c r="A1229" t="n">
        <v>4</v>
      </c>
      <c r="B1229">
        <f>IF($B$4="life-table",(B982+B983)/2,IF($B$4="beginning",B982,B983))</f>
        <v/>
      </c>
      <c r="C1229">
        <f>IF($B$4="life-table",(C982+C983)/2,IF($B$4="beginning",C982,C983))</f>
        <v/>
      </c>
      <c r="D1229">
        <f>IF($B$4="life-table",(D982+D983)/2,IF($B$4="beginning",D982,D983))</f>
        <v/>
      </c>
      <c r="F1229">
        <f>((B1229*$B$18+C1229*$C$18+D1229*$D$18)+(B1229*$B$258+C1229*$C$258+D1229*$D$258)+(B1229*$B$498+C1229*$C$498+D1229*$D$498))/(1+$B$2)^(3)</f>
        <v/>
      </c>
      <c r="G1229">
        <f>((B1229*$B$738+C1229*$C$738+D1229*$D$738))/(1+$B$3)^(3)</f>
        <v/>
      </c>
    </row>
    <row r="1230">
      <c r="A1230" t="n">
        <v>5</v>
      </c>
      <c r="B1230">
        <f>IF($B$4="life-table",(B983+B984)/2,IF($B$4="beginning",B983,B984))</f>
        <v/>
      </c>
      <c r="C1230">
        <f>IF($B$4="life-table",(C983+C984)/2,IF($B$4="beginning",C983,C984))</f>
        <v/>
      </c>
      <c r="D1230">
        <f>IF($B$4="life-table",(D983+D984)/2,IF($B$4="beginning",D983,D984))</f>
        <v/>
      </c>
      <c r="F1230">
        <f>((B1230*$B$19+C1230*$C$19+D1230*$D$19)+(B1230*$B$259+C1230*$C$259+D1230*$D$259)+(B1230*$B$499+C1230*$C$499+D1230*$D$499))/(1+$B$2)^(4)</f>
        <v/>
      </c>
      <c r="G1230">
        <f>((B1230*$B$739+C1230*$C$739+D1230*$D$739))/(1+$B$3)^(4)</f>
        <v/>
      </c>
    </row>
    <row r="1231">
      <c r="A1231" t="n">
        <v>6</v>
      </c>
      <c r="B1231">
        <f>IF($B$4="life-table",(B984+B985)/2,IF($B$4="beginning",B984,B985))</f>
        <v/>
      </c>
      <c r="C1231">
        <f>IF($B$4="life-table",(C984+C985)/2,IF($B$4="beginning",C984,C985))</f>
        <v/>
      </c>
      <c r="D1231">
        <f>IF($B$4="life-table",(D984+D985)/2,IF($B$4="beginning",D984,D985))</f>
        <v/>
      </c>
      <c r="F1231">
        <f>((B1231*$B$20+C1231*$C$20+D1231*$D$20)+(B1231*$B$260+C1231*$C$260+D1231*$D$260)+(B1231*$B$500+C1231*$C$500+D1231*$D$500))/(1+$B$2)^(5)</f>
        <v/>
      </c>
      <c r="G1231">
        <f>((B1231*$B$740+C1231*$C$740+D1231*$D$740))/(1+$B$3)^(5)</f>
        <v/>
      </c>
    </row>
    <row r="1232">
      <c r="A1232" t="n">
        <v>7</v>
      </c>
      <c r="B1232">
        <f>IF($B$4="life-table",(B985+B986)/2,IF($B$4="beginning",B985,B986))</f>
        <v/>
      </c>
      <c r="C1232">
        <f>IF($B$4="life-table",(C985+C986)/2,IF($B$4="beginning",C985,C986))</f>
        <v/>
      </c>
      <c r="D1232">
        <f>IF($B$4="life-table",(D985+D986)/2,IF($B$4="beginning",D985,D986))</f>
        <v/>
      </c>
      <c r="F1232">
        <f>((B1232*$B$21+C1232*$C$21+D1232*$D$21)+(B1232*$B$261+C1232*$C$261+D1232*$D$261)+(B1232*$B$501+C1232*$C$501+D1232*$D$501))/(1+$B$2)^(6)</f>
        <v/>
      </c>
      <c r="G1232">
        <f>((B1232*$B$741+C1232*$C$741+D1232*$D$741))/(1+$B$3)^(6)</f>
        <v/>
      </c>
    </row>
    <row r="1233">
      <c r="A1233" t="n">
        <v>8</v>
      </c>
      <c r="B1233">
        <f>IF($B$4="life-table",(B986+B987)/2,IF($B$4="beginning",B986,B987))</f>
        <v/>
      </c>
      <c r="C1233">
        <f>IF($B$4="life-table",(C986+C987)/2,IF($B$4="beginning",C986,C987))</f>
        <v/>
      </c>
      <c r="D1233">
        <f>IF($B$4="life-table",(D986+D987)/2,IF($B$4="beginning",D986,D987))</f>
        <v/>
      </c>
      <c r="F1233">
        <f>((B1233*$B$22+C1233*$C$22+D1233*$D$22)+(B1233*$B$262+C1233*$C$262+D1233*$D$262)+(B1233*$B$502+C1233*$C$502+D1233*$D$502))/(1+$B$2)^(7)</f>
        <v/>
      </c>
      <c r="G1233">
        <f>((B1233*$B$742+C1233*$C$742+D1233*$D$742))/(1+$B$3)^(7)</f>
        <v/>
      </c>
    </row>
    <row r="1234">
      <c r="A1234" t="n">
        <v>9</v>
      </c>
      <c r="B1234">
        <f>IF($B$4="life-table",(B987+B988)/2,IF($B$4="beginning",B987,B988))</f>
        <v/>
      </c>
      <c r="C1234">
        <f>IF($B$4="life-table",(C987+C988)/2,IF($B$4="beginning",C987,C988))</f>
        <v/>
      </c>
      <c r="D1234">
        <f>IF($B$4="life-table",(D987+D988)/2,IF($B$4="beginning",D987,D988))</f>
        <v/>
      </c>
      <c r="F1234">
        <f>((B1234*$B$23+C1234*$C$23+D1234*$D$23)+(B1234*$B$263+C1234*$C$263+D1234*$D$263)+(B1234*$B$503+C1234*$C$503+D1234*$D$503))/(1+$B$2)^(8)</f>
        <v/>
      </c>
      <c r="G1234">
        <f>((B1234*$B$743+C1234*$C$743+D1234*$D$743))/(1+$B$3)^(8)</f>
        <v/>
      </c>
    </row>
    <row r="1235">
      <c r="A1235" t="n">
        <v>10</v>
      </c>
      <c r="B1235">
        <f>IF($B$4="life-table",(B988+B989)/2,IF($B$4="beginning",B988,B989))</f>
        <v/>
      </c>
      <c r="C1235">
        <f>IF($B$4="life-table",(C988+C989)/2,IF($B$4="beginning",C988,C989))</f>
        <v/>
      </c>
      <c r="D1235">
        <f>IF($B$4="life-table",(D988+D989)/2,IF($B$4="beginning",D988,D989))</f>
        <v/>
      </c>
      <c r="F1235">
        <f>((B1235*$B$24+C1235*$C$24+D1235*$D$24)+(B1235*$B$264+C1235*$C$264+D1235*$D$264)+(B1235*$B$504+C1235*$C$504+D1235*$D$504))/(1+$B$2)^(9)</f>
        <v/>
      </c>
      <c r="G1235">
        <f>((B1235*$B$744+C1235*$C$744+D1235*$D$744))/(1+$B$3)^(9)</f>
        <v/>
      </c>
    </row>
    <row r="1236">
      <c r="A1236" t="n">
        <v>11</v>
      </c>
      <c r="B1236">
        <f>IF($B$4="life-table",(B989+B990)/2,IF($B$4="beginning",B989,B990))</f>
        <v/>
      </c>
      <c r="C1236">
        <f>IF($B$4="life-table",(C989+C990)/2,IF($B$4="beginning",C989,C990))</f>
        <v/>
      </c>
      <c r="D1236">
        <f>IF($B$4="life-table",(D989+D990)/2,IF($B$4="beginning",D989,D990))</f>
        <v/>
      </c>
      <c r="F1236">
        <f>((B1236*$B$25+C1236*$C$25+D1236*$D$25)+(B1236*$B$265+C1236*$C$265+D1236*$D$265)+(B1236*$B$505+C1236*$C$505+D1236*$D$505))/(1+$B$2)^(10)</f>
        <v/>
      </c>
      <c r="G1236">
        <f>((B1236*$B$745+C1236*$C$745+D1236*$D$745))/(1+$B$3)^(10)</f>
        <v/>
      </c>
    </row>
    <row r="1237">
      <c r="A1237" t="n">
        <v>12</v>
      </c>
      <c r="B1237">
        <f>IF($B$4="life-table",(B990+B991)/2,IF($B$4="beginning",B990,B991))</f>
        <v/>
      </c>
      <c r="C1237">
        <f>IF($B$4="life-table",(C990+C991)/2,IF($B$4="beginning",C990,C991))</f>
        <v/>
      </c>
      <c r="D1237">
        <f>IF($B$4="life-table",(D990+D991)/2,IF($B$4="beginning",D990,D991))</f>
        <v/>
      </c>
      <c r="F1237">
        <f>((B1237*$B$26+C1237*$C$26+D1237*$D$26)+(B1237*$B$266+C1237*$C$266+D1237*$D$266)+(B1237*$B$506+C1237*$C$506+D1237*$D$506))/(1+$B$2)^(11)</f>
        <v/>
      </c>
      <c r="G1237">
        <f>((B1237*$B$746+C1237*$C$746+D1237*$D$746))/(1+$B$3)^(11)</f>
        <v/>
      </c>
    </row>
    <row r="1238">
      <c r="A1238" t="n">
        <v>13</v>
      </c>
      <c r="B1238">
        <f>IF($B$4="life-table",(B991+B992)/2,IF($B$4="beginning",B991,B992))</f>
        <v/>
      </c>
      <c r="C1238">
        <f>IF($B$4="life-table",(C991+C992)/2,IF($B$4="beginning",C991,C992))</f>
        <v/>
      </c>
      <c r="D1238">
        <f>IF($B$4="life-table",(D991+D992)/2,IF($B$4="beginning",D991,D992))</f>
        <v/>
      </c>
      <c r="F1238">
        <f>((B1238*$B$27+C1238*$C$27+D1238*$D$27)+(B1238*$B$267+C1238*$C$267+D1238*$D$267)+(B1238*$B$507+C1238*$C$507+D1238*$D$507))/(1+$B$2)^(12)</f>
        <v/>
      </c>
      <c r="G1238">
        <f>((B1238*$B$747+C1238*$C$747+D1238*$D$747))/(1+$B$3)^(12)</f>
        <v/>
      </c>
    </row>
    <row r="1239">
      <c r="A1239" t="n">
        <v>14</v>
      </c>
      <c r="B1239">
        <f>IF($B$4="life-table",(B992+B993)/2,IF($B$4="beginning",B992,B993))</f>
        <v/>
      </c>
      <c r="C1239">
        <f>IF($B$4="life-table",(C992+C993)/2,IF($B$4="beginning",C992,C993))</f>
        <v/>
      </c>
      <c r="D1239">
        <f>IF($B$4="life-table",(D992+D993)/2,IF($B$4="beginning",D992,D993))</f>
        <v/>
      </c>
      <c r="F1239">
        <f>((B1239*$B$28+C1239*$C$28+D1239*$D$28)+(B1239*$B$268+C1239*$C$268+D1239*$D$268)+(B1239*$B$508+C1239*$C$508+D1239*$D$508))/(1+$B$2)^(13)</f>
        <v/>
      </c>
      <c r="G1239">
        <f>((B1239*$B$748+C1239*$C$748+D1239*$D$748))/(1+$B$3)^(13)</f>
        <v/>
      </c>
    </row>
    <row r="1240">
      <c r="A1240" t="n">
        <v>15</v>
      </c>
      <c r="B1240">
        <f>IF($B$4="life-table",(B993+B994)/2,IF($B$4="beginning",B993,B994))</f>
        <v/>
      </c>
      <c r="C1240">
        <f>IF($B$4="life-table",(C993+C994)/2,IF($B$4="beginning",C993,C994))</f>
        <v/>
      </c>
      <c r="D1240">
        <f>IF($B$4="life-table",(D993+D994)/2,IF($B$4="beginning",D993,D994))</f>
        <v/>
      </c>
      <c r="F1240">
        <f>((B1240*$B$29+C1240*$C$29+D1240*$D$29)+(B1240*$B$269+C1240*$C$269+D1240*$D$269)+(B1240*$B$509+C1240*$C$509+D1240*$D$509))/(1+$B$2)^(14)</f>
        <v/>
      </c>
      <c r="G1240">
        <f>((B1240*$B$749+C1240*$C$749+D1240*$D$749))/(1+$B$3)^(14)</f>
        <v/>
      </c>
    </row>
    <row r="1241">
      <c r="A1241" t="n">
        <v>16</v>
      </c>
      <c r="B1241">
        <f>IF($B$4="life-table",(B994+B995)/2,IF($B$4="beginning",B994,B995))</f>
        <v/>
      </c>
      <c r="C1241">
        <f>IF($B$4="life-table",(C994+C995)/2,IF($B$4="beginning",C994,C995))</f>
        <v/>
      </c>
      <c r="D1241">
        <f>IF($B$4="life-table",(D994+D995)/2,IF($B$4="beginning",D994,D995))</f>
        <v/>
      </c>
      <c r="F1241">
        <f>((B1241*$B$30+C1241*$C$30+D1241*$D$30)+(B1241*$B$270+C1241*$C$270+D1241*$D$270)+(B1241*$B$510+C1241*$C$510+D1241*$D$510))/(1+$B$2)^(15)</f>
        <v/>
      </c>
      <c r="G1241">
        <f>((B1241*$B$750+C1241*$C$750+D1241*$D$750))/(1+$B$3)^(15)</f>
        <v/>
      </c>
    </row>
    <row r="1242">
      <c r="A1242" t="n">
        <v>17</v>
      </c>
      <c r="B1242">
        <f>IF($B$4="life-table",(B995+B996)/2,IF($B$4="beginning",B995,B996))</f>
        <v/>
      </c>
      <c r="C1242">
        <f>IF($B$4="life-table",(C995+C996)/2,IF($B$4="beginning",C995,C996))</f>
        <v/>
      </c>
      <c r="D1242">
        <f>IF($B$4="life-table",(D995+D996)/2,IF($B$4="beginning",D995,D996))</f>
        <v/>
      </c>
      <c r="F1242">
        <f>((B1242*$B$31+C1242*$C$31+D1242*$D$31)+(B1242*$B$271+C1242*$C$271+D1242*$D$271)+(B1242*$B$511+C1242*$C$511+D1242*$D$511))/(1+$B$2)^(16)</f>
        <v/>
      </c>
      <c r="G1242">
        <f>((B1242*$B$751+C1242*$C$751+D1242*$D$751))/(1+$B$3)^(16)</f>
        <v/>
      </c>
    </row>
    <row r="1243">
      <c r="A1243" t="n">
        <v>18</v>
      </c>
      <c r="B1243">
        <f>IF($B$4="life-table",(B996+B997)/2,IF($B$4="beginning",B996,B997))</f>
        <v/>
      </c>
      <c r="C1243">
        <f>IF($B$4="life-table",(C996+C997)/2,IF($B$4="beginning",C996,C997))</f>
        <v/>
      </c>
      <c r="D1243">
        <f>IF($B$4="life-table",(D996+D997)/2,IF($B$4="beginning",D996,D997))</f>
        <v/>
      </c>
      <c r="F1243">
        <f>((B1243*$B$32+C1243*$C$32+D1243*$D$32)+(B1243*$B$272+C1243*$C$272+D1243*$D$272)+(B1243*$B$512+C1243*$C$512+D1243*$D$512))/(1+$B$2)^(17)</f>
        <v/>
      </c>
      <c r="G1243">
        <f>((B1243*$B$752+C1243*$C$752+D1243*$D$752))/(1+$B$3)^(17)</f>
        <v/>
      </c>
    </row>
    <row r="1244">
      <c r="A1244" t="n">
        <v>19</v>
      </c>
      <c r="B1244">
        <f>IF($B$4="life-table",(B997+B998)/2,IF($B$4="beginning",B997,B998))</f>
        <v/>
      </c>
      <c r="C1244">
        <f>IF($B$4="life-table",(C997+C998)/2,IF($B$4="beginning",C997,C998))</f>
        <v/>
      </c>
      <c r="D1244">
        <f>IF($B$4="life-table",(D997+D998)/2,IF($B$4="beginning",D997,D998))</f>
        <v/>
      </c>
      <c r="F1244">
        <f>((B1244*$B$33+C1244*$C$33+D1244*$D$33)+(B1244*$B$273+C1244*$C$273+D1244*$D$273)+(B1244*$B$513+C1244*$C$513+D1244*$D$513))/(1+$B$2)^(18)</f>
        <v/>
      </c>
      <c r="G1244">
        <f>((B1244*$B$753+C1244*$C$753+D1244*$D$753))/(1+$B$3)^(18)</f>
        <v/>
      </c>
    </row>
    <row r="1245">
      <c r="A1245" t="n">
        <v>20</v>
      </c>
      <c r="B1245">
        <f>IF($B$4="life-table",(B998+B999)/2,IF($B$4="beginning",B998,B999))</f>
        <v/>
      </c>
      <c r="C1245">
        <f>IF($B$4="life-table",(C998+C999)/2,IF($B$4="beginning",C998,C999))</f>
        <v/>
      </c>
      <c r="D1245">
        <f>IF($B$4="life-table",(D998+D999)/2,IF($B$4="beginning",D998,D999))</f>
        <v/>
      </c>
      <c r="F1245">
        <f>((B1245*$B$34+C1245*$C$34+D1245*$D$34)+(B1245*$B$274+C1245*$C$274+D1245*$D$274)+(B1245*$B$514+C1245*$C$514+D1245*$D$514))/(1+$B$2)^(19)</f>
        <v/>
      </c>
      <c r="G1245">
        <f>((B1245*$B$754+C1245*$C$754+D1245*$D$754))/(1+$B$3)^(19)</f>
        <v/>
      </c>
    </row>
    <row r="1246">
      <c r="A1246" t="n">
        <v>21</v>
      </c>
      <c r="B1246">
        <f>IF($B$4="life-table",(B999+B1000)/2,IF($B$4="beginning",B999,B1000))</f>
        <v/>
      </c>
      <c r="C1246">
        <f>IF($B$4="life-table",(C999+C1000)/2,IF($B$4="beginning",C999,C1000))</f>
        <v/>
      </c>
      <c r="D1246">
        <f>IF($B$4="life-table",(D999+D1000)/2,IF($B$4="beginning",D999,D1000))</f>
        <v/>
      </c>
      <c r="F1246">
        <f>((B1246*$B$35+C1246*$C$35+D1246*$D$35)+(B1246*$B$275+C1246*$C$275+D1246*$D$275)+(B1246*$B$515+C1246*$C$515+D1246*$D$515))/(1+$B$2)^(20)</f>
        <v/>
      </c>
      <c r="G1246">
        <f>((B1246*$B$755+C1246*$C$755+D1246*$D$755))/(1+$B$3)^(20)</f>
        <v/>
      </c>
    </row>
    <row r="1247">
      <c r="A1247" t="n">
        <v>22</v>
      </c>
      <c r="B1247">
        <f>IF($B$4="life-table",(B1000+B1001)/2,IF($B$4="beginning",B1000,B1001))</f>
        <v/>
      </c>
      <c r="C1247">
        <f>IF($B$4="life-table",(C1000+C1001)/2,IF($B$4="beginning",C1000,C1001))</f>
        <v/>
      </c>
      <c r="D1247">
        <f>IF($B$4="life-table",(D1000+D1001)/2,IF($B$4="beginning",D1000,D1001))</f>
        <v/>
      </c>
      <c r="F1247">
        <f>((B1247*$B$36+C1247*$C$36+D1247*$D$36)+(B1247*$B$276+C1247*$C$276+D1247*$D$276)+(B1247*$B$516+C1247*$C$516+D1247*$D$516))/(1+$B$2)^(21)</f>
        <v/>
      </c>
      <c r="G1247">
        <f>((B1247*$B$756+C1247*$C$756+D1247*$D$756))/(1+$B$3)^(21)</f>
        <v/>
      </c>
    </row>
    <row r="1248">
      <c r="A1248" t="n">
        <v>23</v>
      </c>
      <c r="B1248">
        <f>IF($B$4="life-table",(B1001+B1002)/2,IF($B$4="beginning",B1001,B1002))</f>
        <v/>
      </c>
      <c r="C1248">
        <f>IF($B$4="life-table",(C1001+C1002)/2,IF($B$4="beginning",C1001,C1002))</f>
        <v/>
      </c>
      <c r="D1248">
        <f>IF($B$4="life-table",(D1001+D1002)/2,IF($B$4="beginning",D1001,D1002))</f>
        <v/>
      </c>
      <c r="F1248">
        <f>((B1248*$B$37+C1248*$C$37+D1248*$D$37)+(B1248*$B$277+C1248*$C$277+D1248*$D$277)+(B1248*$B$517+C1248*$C$517+D1248*$D$517))/(1+$B$2)^(22)</f>
        <v/>
      </c>
      <c r="G1248">
        <f>((B1248*$B$757+C1248*$C$757+D1248*$D$757))/(1+$B$3)^(22)</f>
        <v/>
      </c>
    </row>
    <row r="1249">
      <c r="A1249" t="n">
        <v>24</v>
      </c>
      <c r="B1249">
        <f>IF($B$4="life-table",(B1002+B1003)/2,IF($B$4="beginning",B1002,B1003))</f>
        <v/>
      </c>
      <c r="C1249">
        <f>IF($B$4="life-table",(C1002+C1003)/2,IF($B$4="beginning",C1002,C1003))</f>
        <v/>
      </c>
      <c r="D1249">
        <f>IF($B$4="life-table",(D1002+D1003)/2,IF($B$4="beginning",D1002,D1003))</f>
        <v/>
      </c>
      <c r="F1249">
        <f>((B1249*$B$38+C1249*$C$38+D1249*$D$38)+(B1249*$B$278+C1249*$C$278+D1249*$D$278)+(B1249*$B$518+C1249*$C$518+D1249*$D$518))/(1+$B$2)^(23)</f>
        <v/>
      </c>
      <c r="G1249">
        <f>((B1249*$B$758+C1249*$C$758+D1249*$D$758))/(1+$B$3)^(23)</f>
        <v/>
      </c>
    </row>
    <row r="1250">
      <c r="A1250" t="n">
        <v>25</v>
      </c>
      <c r="B1250">
        <f>IF($B$4="life-table",(B1003+B1004)/2,IF($B$4="beginning",B1003,B1004))</f>
        <v/>
      </c>
      <c r="C1250">
        <f>IF($B$4="life-table",(C1003+C1004)/2,IF($B$4="beginning",C1003,C1004))</f>
        <v/>
      </c>
      <c r="D1250">
        <f>IF($B$4="life-table",(D1003+D1004)/2,IF($B$4="beginning",D1003,D1004))</f>
        <v/>
      </c>
      <c r="F1250">
        <f>((B1250*$B$39+C1250*$C$39+D1250*$D$39)+(B1250*$B$279+C1250*$C$279+D1250*$D$279)+(B1250*$B$519+C1250*$C$519+D1250*$D$519))/(1+$B$2)^(24)</f>
        <v/>
      </c>
      <c r="G1250">
        <f>((B1250*$B$759+C1250*$C$759+D1250*$D$759))/(1+$B$3)^(24)</f>
        <v/>
      </c>
    </row>
    <row r="1251">
      <c r="A1251" t="n">
        <v>26</v>
      </c>
      <c r="B1251">
        <f>IF($B$4="life-table",(B1004+B1005)/2,IF($B$4="beginning",B1004,B1005))</f>
        <v/>
      </c>
      <c r="C1251">
        <f>IF($B$4="life-table",(C1004+C1005)/2,IF($B$4="beginning",C1004,C1005))</f>
        <v/>
      </c>
      <c r="D1251">
        <f>IF($B$4="life-table",(D1004+D1005)/2,IF($B$4="beginning",D1004,D1005))</f>
        <v/>
      </c>
      <c r="F1251">
        <f>((B1251*$B$40+C1251*$C$40+D1251*$D$40)+(B1251*$B$280+C1251*$C$280+D1251*$D$280)+(B1251*$B$520+C1251*$C$520+D1251*$D$520))/(1+$B$2)^(25)</f>
        <v/>
      </c>
      <c r="G1251">
        <f>((B1251*$B$760+C1251*$C$760+D1251*$D$760))/(1+$B$3)^(25)</f>
        <v/>
      </c>
    </row>
    <row r="1252">
      <c r="A1252" t="n">
        <v>27</v>
      </c>
      <c r="B1252">
        <f>IF($B$4="life-table",(B1005+B1006)/2,IF($B$4="beginning",B1005,B1006))</f>
        <v/>
      </c>
      <c r="C1252">
        <f>IF($B$4="life-table",(C1005+C1006)/2,IF($B$4="beginning",C1005,C1006))</f>
        <v/>
      </c>
      <c r="D1252">
        <f>IF($B$4="life-table",(D1005+D1006)/2,IF($B$4="beginning",D1005,D1006))</f>
        <v/>
      </c>
      <c r="F1252">
        <f>((B1252*$B$41+C1252*$C$41+D1252*$D$41)+(B1252*$B$281+C1252*$C$281+D1252*$D$281)+(B1252*$B$521+C1252*$C$521+D1252*$D$521))/(1+$B$2)^(26)</f>
        <v/>
      </c>
      <c r="G1252">
        <f>((B1252*$B$761+C1252*$C$761+D1252*$D$761))/(1+$B$3)^(26)</f>
        <v/>
      </c>
    </row>
    <row r="1253">
      <c r="A1253" t="n">
        <v>28</v>
      </c>
      <c r="B1253">
        <f>IF($B$4="life-table",(B1006+B1007)/2,IF($B$4="beginning",B1006,B1007))</f>
        <v/>
      </c>
      <c r="C1253">
        <f>IF($B$4="life-table",(C1006+C1007)/2,IF($B$4="beginning",C1006,C1007))</f>
        <v/>
      </c>
      <c r="D1253">
        <f>IF($B$4="life-table",(D1006+D1007)/2,IF($B$4="beginning",D1006,D1007))</f>
        <v/>
      </c>
      <c r="F1253">
        <f>((B1253*$B$42+C1253*$C$42+D1253*$D$42)+(B1253*$B$282+C1253*$C$282+D1253*$D$282)+(B1253*$B$522+C1253*$C$522+D1253*$D$522))/(1+$B$2)^(27)</f>
        <v/>
      </c>
      <c r="G1253">
        <f>((B1253*$B$762+C1253*$C$762+D1253*$D$762))/(1+$B$3)^(27)</f>
        <v/>
      </c>
    </row>
    <row r="1254">
      <c r="A1254" t="n">
        <v>29</v>
      </c>
      <c r="B1254">
        <f>IF($B$4="life-table",(B1007+B1008)/2,IF($B$4="beginning",B1007,B1008))</f>
        <v/>
      </c>
      <c r="C1254">
        <f>IF($B$4="life-table",(C1007+C1008)/2,IF($B$4="beginning",C1007,C1008))</f>
        <v/>
      </c>
      <c r="D1254">
        <f>IF($B$4="life-table",(D1007+D1008)/2,IF($B$4="beginning",D1007,D1008))</f>
        <v/>
      </c>
      <c r="F1254">
        <f>((B1254*$B$43+C1254*$C$43+D1254*$D$43)+(B1254*$B$283+C1254*$C$283+D1254*$D$283)+(B1254*$B$523+C1254*$C$523+D1254*$D$523))/(1+$B$2)^(28)</f>
        <v/>
      </c>
      <c r="G1254">
        <f>((B1254*$B$763+C1254*$C$763+D1254*$D$763))/(1+$B$3)^(28)</f>
        <v/>
      </c>
    </row>
    <row r="1255">
      <c r="A1255" t="n">
        <v>30</v>
      </c>
      <c r="B1255">
        <f>IF($B$4="life-table",(B1008+B1009)/2,IF($B$4="beginning",B1008,B1009))</f>
        <v/>
      </c>
      <c r="C1255">
        <f>IF($B$4="life-table",(C1008+C1009)/2,IF($B$4="beginning",C1008,C1009))</f>
        <v/>
      </c>
      <c r="D1255">
        <f>IF($B$4="life-table",(D1008+D1009)/2,IF($B$4="beginning",D1008,D1009))</f>
        <v/>
      </c>
      <c r="F1255">
        <f>((B1255*$B$44+C1255*$C$44+D1255*$D$44)+(B1255*$B$284+C1255*$C$284+D1255*$D$284)+(B1255*$B$524+C1255*$C$524+D1255*$D$524))/(1+$B$2)^(29)</f>
        <v/>
      </c>
      <c r="G1255">
        <f>((B1255*$B$764+C1255*$C$764+D1255*$D$764))/(1+$B$3)^(29)</f>
        <v/>
      </c>
    </row>
    <row r="1256">
      <c r="A1256" t="n">
        <v>31</v>
      </c>
      <c r="B1256">
        <f>IF($B$4="life-table",(B1009+B1010)/2,IF($B$4="beginning",B1009,B1010))</f>
        <v/>
      </c>
      <c r="C1256">
        <f>IF($B$4="life-table",(C1009+C1010)/2,IF($B$4="beginning",C1009,C1010))</f>
        <v/>
      </c>
      <c r="D1256">
        <f>IF($B$4="life-table",(D1009+D1010)/2,IF($B$4="beginning",D1009,D1010))</f>
        <v/>
      </c>
      <c r="F1256">
        <f>((B1256*$B$45+C1256*$C$45+D1256*$D$45)+(B1256*$B$285+C1256*$C$285+D1256*$D$285)+(B1256*$B$525+C1256*$C$525+D1256*$D$525))/(1+$B$2)^(30)</f>
        <v/>
      </c>
      <c r="G1256">
        <f>((B1256*$B$765+C1256*$C$765+D1256*$D$765))/(1+$B$3)^(30)</f>
        <v/>
      </c>
    </row>
    <row r="1257">
      <c r="A1257" t="n">
        <v>32</v>
      </c>
      <c r="B1257">
        <f>IF($B$4="life-table",(B1010+B1011)/2,IF($B$4="beginning",B1010,B1011))</f>
        <v/>
      </c>
      <c r="C1257">
        <f>IF($B$4="life-table",(C1010+C1011)/2,IF($B$4="beginning",C1010,C1011))</f>
        <v/>
      </c>
      <c r="D1257">
        <f>IF($B$4="life-table",(D1010+D1011)/2,IF($B$4="beginning",D1010,D1011))</f>
        <v/>
      </c>
      <c r="F1257">
        <f>((B1257*$B$46+C1257*$C$46+D1257*$D$46)+(B1257*$B$286+C1257*$C$286+D1257*$D$286)+(B1257*$B$526+C1257*$C$526+D1257*$D$526))/(1+$B$2)^(31)</f>
        <v/>
      </c>
      <c r="G1257">
        <f>((B1257*$B$766+C1257*$C$766+D1257*$D$766))/(1+$B$3)^(31)</f>
        <v/>
      </c>
    </row>
    <row r="1258">
      <c r="A1258" t="n">
        <v>33</v>
      </c>
      <c r="B1258">
        <f>IF($B$4="life-table",(B1011+B1012)/2,IF($B$4="beginning",B1011,B1012))</f>
        <v/>
      </c>
      <c r="C1258">
        <f>IF($B$4="life-table",(C1011+C1012)/2,IF($B$4="beginning",C1011,C1012))</f>
        <v/>
      </c>
      <c r="D1258">
        <f>IF($B$4="life-table",(D1011+D1012)/2,IF($B$4="beginning",D1011,D1012))</f>
        <v/>
      </c>
      <c r="F1258">
        <f>((B1258*$B$47+C1258*$C$47+D1258*$D$47)+(B1258*$B$287+C1258*$C$287+D1258*$D$287)+(B1258*$B$527+C1258*$C$527+D1258*$D$527))/(1+$B$2)^(32)</f>
        <v/>
      </c>
      <c r="G1258">
        <f>((B1258*$B$767+C1258*$C$767+D1258*$D$767))/(1+$B$3)^(32)</f>
        <v/>
      </c>
    </row>
    <row r="1259">
      <c r="A1259" t="n">
        <v>34</v>
      </c>
      <c r="B1259">
        <f>IF($B$4="life-table",(B1012+B1013)/2,IF($B$4="beginning",B1012,B1013))</f>
        <v/>
      </c>
      <c r="C1259">
        <f>IF($B$4="life-table",(C1012+C1013)/2,IF($B$4="beginning",C1012,C1013))</f>
        <v/>
      </c>
      <c r="D1259">
        <f>IF($B$4="life-table",(D1012+D1013)/2,IF($B$4="beginning",D1012,D1013))</f>
        <v/>
      </c>
      <c r="F1259">
        <f>((B1259*$B$48+C1259*$C$48+D1259*$D$48)+(B1259*$B$288+C1259*$C$288+D1259*$D$288)+(B1259*$B$528+C1259*$C$528+D1259*$D$528))/(1+$B$2)^(33)</f>
        <v/>
      </c>
      <c r="G1259">
        <f>((B1259*$B$768+C1259*$C$768+D1259*$D$768))/(1+$B$3)^(33)</f>
        <v/>
      </c>
    </row>
    <row r="1260">
      <c r="A1260" t="n">
        <v>35</v>
      </c>
      <c r="B1260">
        <f>IF($B$4="life-table",(B1013+B1014)/2,IF($B$4="beginning",B1013,B1014))</f>
        <v/>
      </c>
      <c r="C1260">
        <f>IF($B$4="life-table",(C1013+C1014)/2,IF($B$4="beginning",C1013,C1014))</f>
        <v/>
      </c>
      <c r="D1260">
        <f>IF($B$4="life-table",(D1013+D1014)/2,IF($B$4="beginning",D1013,D1014))</f>
        <v/>
      </c>
      <c r="F1260">
        <f>((B1260*$B$49+C1260*$C$49+D1260*$D$49)+(B1260*$B$289+C1260*$C$289+D1260*$D$289)+(B1260*$B$529+C1260*$C$529+D1260*$D$529))/(1+$B$2)^(34)</f>
        <v/>
      </c>
      <c r="G1260">
        <f>((B1260*$B$769+C1260*$C$769+D1260*$D$769))/(1+$B$3)^(34)</f>
        <v/>
      </c>
    </row>
    <row r="1261">
      <c r="A1261" t="n">
        <v>36</v>
      </c>
      <c r="B1261">
        <f>IF($B$4="life-table",(B1014+B1015)/2,IF($B$4="beginning",B1014,B1015))</f>
        <v/>
      </c>
      <c r="C1261">
        <f>IF($B$4="life-table",(C1014+C1015)/2,IF($B$4="beginning",C1014,C1015))</f>
        <v/>
      </c>
      <c r="D1261">
        <f>IF($B$4="life-table",(D1014+D1015)/2,IF($B$4="beginning",D1014,D1015))</f>
        <v/>
      </c>
      <c r="F1261">
        <f>((B1261*$B$50+C1261*$C$50+D1261*$D$50)+(B1261*$B$290+C1261*$C$290+D1261*$D$290)+(B1261*$B$530+C1261*$C$530+D1261*$D$530))/(1+$B$2)^(35)</f>
        <v/>
      </c>
      <c r="G1261">
        <f>((B1261*$B$770+C1261*$C$770+D1261*$D$770))/(1+$B$3)^(35)</f>
        <v/>
      </c>
    </row>
    <row r="1262">
      <c r="A1262" t="n">
        <v>37</v>
      </c>
      <c r="B1262">
        <f>IF($B$4="life-table",(B1015+B1016)/2,IF($B$4="beginning",B1015,B1016))</f>
        <v/>
      </c>
      <c r="C1262">
        <f>IF($B$4="life-table",(C1015+C1016)/2,IF($B$4="beginning",C1015,C1016))</f>
        <v/>
      </c>
      <c r="D1262">
        <f>IF($B$4="life-table",(D1015+D1016)/2,IF($B$4="beginning",D1015,D1016))</f>
        <v/>
      </c>
      <c r="F1262">
        <f>((B1262*$B$51+C1262*$C$51+D1262*$D$51)+(B1262*$B$291+C1262*$C$291+D1262*$D$291)+(B1262*$B$531+C1262*$C$531+D1262*$D$531))/(1+$B$2)^(36)</f>
        <v/>
      </c>
      <c r="G1262">
        <f>((B1262*$B$771+C1262*$C$771+D1262*$D$771))/(1+$B$3)^(36)</f>
        <v/>
      </c>
    </row>
    <row r="1263">
      <c r="A1263" t="n">
        <v>38</v>
      </c>
      <c r="B1263">
        <f>IF($B$4="life-table",(B1016+B1017)/2,IF($B$4="beginning",B1016,B1017))</f>
        <v/>
      </c>
      <c r="C1263">
        <f>IF($B$4="life-table",(C1016+C1017)/2,IF($B$4="beginning",C1016,C1017))</f>
        <v/>
      </c>
      <c r="D1263">
        <f>IF($B$4="life-table",(D1016+D1017)/2,IF($B$4="beginning",D1016,D1017))</f>
        <v/>
      </c>
      <c r="F1263">
        <f>((B1263*$B$52+C1263*$C$52+D1263*$D$52)+(B1263*$B$292+C1263*$C$292+D1263*$D$292)+(B1263*$B$532+C1263*$C$532+D1263*$D$532))/(1+$B$2)^(37)</f>
        <v/>
      </c>
      <c r="G1263">
        <f>((B1263*$B$772+C1263*$C$772+D1263*$D$772))/(1+$B$3)^(37)</f>
        <v/>
      </c>
    </row>
    <row r="1264">
      <c r="A1264" t="n">
        <v>39</v>
      </c>
      <c r="B1264">
        <f>IF($B$4="life-table",(B1017+B1018)/2,IF($B$4="beginning",B1017,B1018))</f>
        <v/>
      </c>
      <c r="C1264">
        <f>IF($B$4="life-table",(C1017+C1018)/2,IF($B$4="beginning",C1017,C1018))</f>
        <v/>
      </c>
      <c r="D1264">
        <f>IF($B$4="life-table",(D1017+D1018)/2,IF($B$4="beginning",D1017,D1018))</f>
        <v/>
      </c>
      <c r="F1264">
        <f>((B1264*$B$53+C1264*$C$53+D1264*$D$53)+(B1264*$B$293+C1264*$C$293+D1264*$D$293)+(B1264*$B$533+C1264*$C$533+D1264*$D$533))/(1+$B$2)^(38)</f>
        <v/>
      </c>
      <c r="G1264">
        <f>((B1264*$B$773+C1264*$C$773+D1264*$D$773))/(1+$B$3)^(38)</f>
        <v/>
      </c>
    </row>
    <row r="1265">
      <c r="A1265" t="n">
        <v>40</v>
      </c>
      <c r="B1265">
        <f>IF($B$4="life-table",(B1018+B1019)/2,IF($B$4="beginning",B1018,B1019))</f>
        <v/>
      </c>
      <c r="C1265">
        <f>IF($B$4="life-table",(C1018+C1019)/2,IF($B$4="beginning",C1018,C1019))</f>
        <v/>
      </c>
      <c r="D1265">
        <f>IF($B$4="life-table",(D1018+D1019)/2,IF($B$4="beginning",D1018,D1019))</f>
        <v/>
      </c>
      <c r="F1265">
        <f>((B1265*$B$54+C1265*$C$54+D1265*$D$54)+(B1265*$B$294+C1265*$C$294+D1265*$D$294)+(B1265*$B$534+C1265*$C$534+D1265*$D$534))/(1+$B$2)^(39)</f>
        <v/>
      </c>
      <c r="G1265">
        <f>((B1265*$B$774+C1265*$C$774+D1265*$D$774))/(1+$B$3)^(39)</f>
        <v/>
      </c>
    </row>
    <row r="1266">
      <c r="A1266" t="n">
        <v>41</v>
      </c>
      <c r="B1266">
        <f>IF($B$4="life-table",(B1019+B1020)/2,IF($B$4="beginning",B1019,B1020))</f>
        <v/>
      </c>
      <c r="C1266">
        <f>IF($B$4="life-table",(C1019+C1020)/2,IF($B$4="beginning",C1019,C1020))</f>
        <v/>
      </c>
      <c r="D1266">
        <f>IF($B$4="life-table",(D1019+D1020)/2,IF($B$4="beginning",D1019,D1020))</f>
        <v/>
      </c>
      <c r="F1266">
        <f>((B1266*$B$55+C1266*$C$55+D1266*$D$55)+(B1266*$B$295+C1266*$C$295+D1266*$D$295)+(B1266*$B$535+C1266*$C$535+D1266*$D$535))/(1+$B$2)^(40)</f>
        <v/>
      </c>
      <c r="G1266">
        <f>((B1266*$B$775+C1266*$C$775+D1266*$D$775))/(1+$B$3)^(40)</f>
        <v/>
      </c>
    </row>
    <row r="1267">
      <c r="A1267" t="n">
        <v>42</v>
      </c>
      <c r="B1267">
        <f>IF($B$4="life-table",(B1020+B1021)/2,IF($B$4="beginning",B1020,B1021))</f>
        <v/>
      </c>
      <c r="C1267">
        <f>IF($B$4="life-table",(C1020+C1021)/2,IF($B$4="beginning",C1020,C1021))</f>
        <v/>
      </c>
      <c r="D1267">
        <f>IF($B$4="life-table",(D1020+D1021)/2,IF($B$4="beginning",D1020,D1021))</f>
        <v/>
      </c>
      <c r="F1267">
        <f>((B1267*$B$56+C1267*$C$56+D1267*$D$56)+(B1267*$B$296+C1267*$C$296+D1267*$D$296)+(B1267*$B$536+C1267*$C$536+D1267*$D$536))/(1+$B$2)^(41)</f>
        <v/>
      </c>
      <c r="G1267">
        <f>((B1267*$B$776+C1267*$C$776+D1267*$D$776))/(1+$B$3)^(41)</f>
        <v/>
      </c>
    </row>
    <row r="1268">
      <c r="A1268" t="n">
        <v>43</v>
      </c>
      <c r="B1268">
        <f>IF($B$4="life-table",(B1021+B1022)/2,IF($B$4="beginning",B1021,B1022))</f>
        <v/>
      </c>
      <c r="C1268">
        <f>IF($B$4="life-table",(C1021+C1022)/2,IF($B$4="beginning",C1021,C1022))</f>
        <v/>
      </c>
      <c r="D1268">
        <f>IF($B$4="life-table",(D1021+D1022)/2,IF($B$4="beginning",D1021,D1022))</f>
        <v/>
      </c>
      <c r="F1268">
        <f>((B1268*$B$57+C1268*$C$57+D1268*$D$57)+(B1268*$B$297+C1268*$C$297+D1268*$D$297)+(B1268*$B$537+C1268*$C$537+D1268*$D$537))/(1+$B$2)^(42)</f>
        <v/>
      </c>
      <c r="G1268">
        <f>((B1268*$B$777+C1268*$C$777+D1268*$D$777))/(1+$B$3)^(42)</f>
        <v/>
      </c>
    </row>
    <row r="1269">
      <c r="A1269" t="n">
        <v>44</v>
      </c>
      <c r="B1269">
        <f>IF($B$4="life-table",(B1022+B1023)/2,IF($B$4="beginning",B1022,B1023))</f>
        <v/>
      </c>
      <c r="C1269">
        <f>IF($B$4="life-table",(C1022+C1023)/2,IF($B$4="beginning",C1022,C1023))</f>
        <v/>
      </c>
      <c r="D1269">
        <f>IF($B$4="life-table",(D1022+D1023)/2,IF($B$4="beginning",D1022,D1023))</f>
        <v/>
      </c>
      <c r="F1269">
        <f>((B1269*$B$58+C1269*$C$58+D1269*$D$58)+(B1269*$B$298+C1269*$C$298+D1269*$D$298)+(B1269*$B$538+C1269*$C$538+D1269*$D$538))/(1+$B$2)^(43)</f>
        <v/>
      </c>
      <c r="G1269">
        <f>((B1269*$B$778+C1269*$C$778+D1269*$D$778))/(1+$B$3)^(43)</f>
        <v/>
      </c>
    </row>
    <row r="1270">
      <c r="A1270" t="n">
        <v>45</v>
      </c>
      <c r="B1270">
        <f>IF($B$4="life-table",(B1023+B1024)/2,IF($B$4="beginning",B1023,B1024))</f>
        <v/>
      </c>
      <c r="C1270">
        <f>IF($B$4="life-table",(C1023+C1024)/2,IF($B$4="beginning",C1023,C1024))</f>
        <v/>
      </c>
      <c r="D1270">
        <f>IF($B$4="life-table",(D1023+D1024)/2,IF($B$4="beginning",D1023,D1024))</f>
        <v/>
      </c>
      <c r="F1270">
        <f>((B1270*$B$59+C1270*$C$59+D1270*$D$59)+(B1270*$B$299+C1270*$C$299+D1270*$D$299)+(B1270*$B$539+C1270*$C$539+D1270*$D$539))/(1+$B$2)^(44)</f>
        <v/>
      </c>
      <c r="G1270">
        <f>((B1270*$B$779+C1270*$C$779+D1270*$D$779))/(1+$B$3)^(44)</f>
        <v/>
      </c>
    </row>
    <row r="1271">
      <c r="A1271" t="n">
        <v>46</v>
      </c>
      <c r="B1271">
        <f>IF($B$4="life-table",(B1024+B1025)/2,IF($B$4="beginning",B1024,B1025))</f>
        <v/>
      </c>
      <c r="C1271">
        <f>IF($B$4="life-table",(C1024+C1025)/2,IF($B$4="beginning",C1024,C1025))</f>
        <v/>
      </c>
      <c r="D1271">
        <f>IF($B$4="life-table",(D1024+D1025)/2,IF($B$4="beginning",D1024,D1025))</f>
        <v/>
      </c>
      <c r="F1271">
        <f>((B1271*$B$60+C1271*$C$60+D1271*$D$60)+(B1271*$B$300+C1271*$C$300+D1271*$D$300)+(B1271*$B$540+C1271*$C$540+D1271*$D$540))/(1+$B$2)^(45)</f>
        <v/>
      </c>
      <c r="G1271">
        <f>((B1271*$B$780+C1271*$C$780+D1271*$D$780))/(1+$B$3)^(45)</f>
        <v/>
      </c>
    </row>
    <row r="1272">
      <c r="A1272" t="n">
        <v>47</v>
      </c>
      <c r="B1272">
        <f>IF($B$4="life-table",(B1025+B1026)/2,IF($B$4="beginning",B1025,B1026))</f>
        <v/>
      </c>
      <c r="C1272">
        <f>IF($B$4="life-table",(C1025+C1026)/2,IF($B$4="beginning",C1025,C1026))</f>
        <v/>
      </c>
      <c r="D1272">
        <f>IF($B$4="life-table",(D1025+D1026)/2,IF($B$4="beginning",D1025,D1026))</f>
        <v/>
      </c>
      <c r="F1272">
        <f>((B1272*$B$61+C1272*$C$61+D1272*$D$61)+(B1272*$B$301+C1272*$C$301+D1272*$D$301)+(B1272*$B$541+C1272*$C$541+D1272*$D$541))/(1+$B$2)^(46)</f>
        <v/>
      </c>
      <c r="G1272">
        <f>((B1272*$B$781+C1272*$C$781+D1272*$D$781))/(1+$B$3)^(46)</f>
        <v/>
      </c>
    </row>
    <row r="1273">
      <c r="A1273" t="n">
        <v>48</v>
      </c>
      <c r="B1273">
        <f>IF($B$4="life-table",(B1026+B1027)/2,IF($B$4="beginning",B1026,B1027))</f>
        <v/>
      </c>
      <c r="C1273">
        <f>IF($B$4="life-table",(C1026+C1027)/2,IF($B$4="beginning",C1026,C1027))</f>
        <v/>
      </c>
      <c r="D1273">
        <f>IF($B$4="life-table",(D1026+D1027)/2,IF($B$4="beginning",D1026,D1027))</f>
        <v/>
      </c>
      <c r="F1273">
        <f>((B1273*$B$62+C1273*$C$62+D1273*$D$62)+(B1273*$B$302+C1273*$C$302+D1273*$D$302)+(B1273*$B$542+C1273*$C$542+D1273*$D$542))/(1+$B$2)^(47)</f>
        <v/>
      </c>
      <c r="G1273">
        <f>((B1273*$B$782+C1273*$C$782+D1273*$D$782))/(1+$B$3)^(47)</f>
        <v/>
      </c>
    </row>
    <row r="1274">
      <c r="A1274" t="n">
        <v>49</v>
      </c>
      <c r="B1274">
        <f>IF($B$4="life-table",(B1027+B1028)/2,IF($B$4="beginning",B1027,B1028))</f>
        <v/>
      </c>
      <c r="C1274">
        <f>IF($B$4="life-table",(C1027+C1028)/2,IF($B$4="beginning",C1027,C1028))</f>
        <v/>
      </c>
      <c r="D1274">
        <f>IF($B$4="life-table",(D1027+D1028)/2,IF($B$4="beginning",D1027,D1028))</f>
        <v/>
      </c>
      <c r="F1274">
        <f>((B1274*$B$63+C1274*$C$63+D1274*$D$63)+(B1274*$B$303+C1274*$C$303+D1274*$D$303)+(B1274*$B$543+C1274*$C$543+D1274*$D$543))/(1+$B$2)^(48)</f>
        <v/>
      </c>
      <c r="G1274">
        <f>((B1274*$B$783+C1274*$C$783+D1274*$D$783))/(1+$B$3)^(48)</f>
        <v/>
      </c>
    </row>
    <row r="1275">
      <c r="A1275" t="n">
        <v>50</v>
      </c>
      <c r="B1275">
        <f>IF($B$4="life-table",(B1028+B1029)/2,IF($B$4="beginning",B1028,B1029))</f>
        <v/>
      </c>
      <c r="C1275">
        <f>IF($B$4="life-table",(C1028+C1029)/2,IF($B$4="beginning",C1028,C1029))</f>
        <v/>
      </c>
      <c r="D1275">
        <f>IF($B$4="life-table",(D1028+D1029)/2,IF($B$4="beginning",D1028,D1029))</f>
        <v/>
      </c>
      <c r="F1275">
        <f>((B1275*$B$64+C1275*$C$64+D1275*$D$64)+(B1275*$B$304+C1275*$C$304+D1275*$D$304)+(B1275*$B$544+C1275*$C$544+D1275*$D$544))/(1+$B$2)^(49)</f>
        <v/>
      </c>
      <c r="G1275">
        <f>((B1275*$B$784+C1275*$C$784+D1275*$D$784))/(1+$B$3)^(49)</f>
        <v/>
      </c>
    </row>
    <row r="1276">
      <c r="A1276" t="n">
        <v>51</v>
      </c>
      <c r="B1276">
        <f>IF($B$4="life-table",(B1029+B1030)/2,IF($B$4="beginning",B1029,B1030))</f>
        <v/>
      </c>
      <c r="C1276">
        <f>IF($B$4="life-table",(C1029+C1030)/2,IF($B$4="beginning",C1029,C1030))</f>
        <v/>
      </c>
      <c r="D1276">
        <f>IF($B$4="life-table",(D1029+D1030)/2,IF($B$4="beginning",D1029,D1030))</f>
        <v/>
      </c>
      <c r="F1276">
        <f>((B1276*$B$65+C1276*$C$65+D1276*$D$65)+(B1276*$B$305+C1276*$C$305+D1276*$D$305)+(B1276*$B$545+C1276*$C$545+D1276*$D$545))/(1+$B$2)^(50)</f>
        <v/>
      </c>
      <c r="G1276">
        <f>((B1276*$B$785+C1276*$C$785+D1276*$D$785))/(1+$B$3)^(50)</f>
        <v/>
      </c>
    </row>
    <row r="1277">
      <c r="A1277" t="n">
        <v>52</v>
      </c>
      <c r="B1277">
        <f>IF($B$4="life-table",(B1030+B1031)/2,IF($B$4="beginning",B1030,B1031))</f>
        <v/>
      </c>
      <c r="C1277">
        <f>IF($B$4="life-table",(C1030+C1031)/2,IF($B$4="beginning",C1030,C1031))</f>
        <v/>
      </c>
      <c r="D1277">
        <f>IF($B$4="life-table",(D1030+D1031)/2,IF($B$4="beginning",D1030,D1031))</f>
        <v/>
      </c>
      <c r="F1277">
        <f>((B1277*$B$66+C1277*$C$66+D1277*$D$66)+(B1277*$B$306+C1277*$C$306+D1277*$D$306)+(B1277*$B$546+C1277*$C$546+D1277*$D$546))/(1+$B$2)^(51)</f>
        <v/>
      </c>
      <c r="G1277">
        <f>((B1277*$B$786+C1277*$C$786+D1277*$D$786))/(1+$B$3)^(51)</f>
        <v/>
      </c>
    </row>
    <row r="1278">
      <c r="A1278" t="n">
        <v>53</v>
      </c>
      <c r="B1278">
        <f>IF($B$4="life-table",(B1031+B1032)/2,IF($B$4="beginning",B1031,B1032))</f>
        <v/>
      </c>
      <c r="C1278">
        <f>IF($B$4="life-table",(C1031+C1032)/2,IF($B$4="beginning",C1031,C1032))</f>
        <v/>
      </c>
      <c r="D1278">
        <f>IF($B$4="life-table",(D1031+D1032)/2,IF($B$4="beginning",D1031,D1032))</f>
        <v/>
      </c>
      <c r="F1278">
        <f>((B1278*$B$67+C1278*$C$67+D1278*$D$67)+(B1278*$B$307+C1278*$C$307+D1278*$D$307)+(B1278*$B$547+C1278*$C$547+D1278*$D$547))/(1+$B$2)^(52)</f>
        <v/>
      </c>
      <c r="G1278">
        <f>((B1278*$B$787+C1278*$C$787+D1278*$D$787))/(1+$B$3)^(52)</f>
        <v/>
      </c>
    </row>
    <row r="1279">
      <c r="A1279" t="n">
        <v>54</v>
      </c>
      <c r="B1279">
        <f>IF($B$4="life-table",(B1032+B1033)/2,IF($B$4="beginning",B1032,B1033))</f>
        <v/>
      </c>
      <c r="C1279">
        <f>IF($B$4="life-table",(C1032+C1033)/2,IF($B$4="beginning",C1032,C1033))</f>
        <v/>
      </c>
      <c r="D1279">
        <f>IF($B$4="life-table",(D1032+D1033)/2,IF($B$4="beginning",D1032,D1033))</f>
        <v/>
      </c>
      <c r="F1279">
        <f>((B1279*$B$68+C1279*$C$68+D1279*$D$68)+(B1279*$B$308+C1279*$C$308+D1279*$D$308)+(B1279*$B$548+C1279*$C$548+D1279*$D$548))/(1+$B$2)^(53)</f>
        <v/>
      </c>
      <c r="G1279">
        <f>((B1279*$B$788+C1279*$C$788+D1279*$D$788))/(1+$B$3)^(53)</f>
        <v/>
      </c>
    </row>
    <row r="1280">
      <c r="A1280" t="n">
        <v>55</v>
      </c>
      <c r="B1280">
        <f>IF($B$4="life-table",(B1033+B1034)/2,IF($B$4="beginning",B1033,B1034))</f>
        <v/>
      </c>
      <c r="C1280">
        <f>IF($B$4="life-table",(C1033+C1034)/2,IF($B$4="beginning",C1033,C1034))</f>
        <v/>
      </c>
      <c r="D1280">
        <f>IF($B$4="life-table",(D1033+D1034)/2,IF($B$4="beginning",D1033,D1034))</f>
        <v/>
      </c>
      <c r="F1280">
        <f>((B1280*$B$69+C1280*$C$69+D1280*$D$69)+(B1280*$B$309+C1280*$C$309+D1280*$D$309)+(B1280*$B$549+C1280*$C$549+D1280*$D$549))/(1+$B$2)^(54)</f>
        <v/>
      </c>
      <c r="G1280">
        <f>((B1280*$B$789+C1280*$C$789+D1280*$D$789))/(1+$B$3)^(54)</f>
        <v/>
      </c>
    </row>
    <row r="1281">
      <c r="A1281" t="n">
        <v>56</v>
      </c>
      <c r="B1281">
        <f>IF($B$4="life-table",(B1034+B1035)/2,IF($B$4="beginning",B1034,B1035))</f>
        <v/>
      </c>
      <c r="C1281">
        <f>IF($B$4="life-table",(C1034+C1035)/2,IF($B$4="beginning",C1034,C1035))</f>
        <v/>
      </c>
      <c r="D1281">
        <f>IF($B$4="life-table",(D1034+D1035)/2,IF($B$4="beginning",D1034,D1035))</f>
        <v/>
      </c>
      <c r="F1281">
        <f>((B1281*$B$70+C1281*$C$70+D1281*$D$70)+(B1281*$B$310+C1281*$C$310+D1281*$D$310)+(B1281*$B$550+C1281*$C$550+D1281*$D$550))/(1+$B$2)^(55)</f>
        <v/>
      </c>
      <c r="G1281">
        <f>((B1281*$B$790+C1281*$C$790+D1281*$D$790))/(1+$B$3)^(55)</f>
        <v/>
      </c>
    </row>
    <row r="1282">
      <c r="A1282" t="n">
        <v>57</v>
      </c>
      <c r="B1282">
        <f>IF($B$4="life-table",(B1035+B1036)/2,IF($B$4="beginning",B1035,B1036))</f>
        <v/>
      </c>
      <c r="C1282">
        <f>IF($B$4="life-table",(C1035+C1036)/2,IF($B$4="beginning",C1035,C1036))</f>
        <v/>
      </c>
      <c r="D1282">
        <f>IF($B$4="life-table",(D1035+D1036)/2,IF($B$4="beginning",D1035,D1036))</f>
        <v/>
      </c>
      <c r="F1282">
        <f>((B1282*$B$71+C1282*$C$71+D1282*$D$71)+(B1282*$B$311+C1282*$C$311+D1282*$D$311)+(B1282*$B$551+C1282*$C$551+D1282*$D$551))/(1+$B$2)^(56)</f>
        <v/>
      </c>
      <c r="G1282">
        <f>((B1282*$B$791+C1282*$C$791+D1282*$D$791))/(1+$B$3)^(56)</f>
        <v/>
      </c>
    </row>
    <row r="1283">
      <c r="A1283" t="n">
        <v>58</v>
      </c>
      <c r="B1283">
        <f>IF($B$4="life-table",(B1036+B1037)/2,IF($B$4="beginning",B1036,B1037))</f>
        <v/>
      </c>
      <c r="C1283">
        <f>IF($B$4="life-table",(C1036+C1037)/2,IF($B$4="beginning",C1036,C1037))</f>
        <v/>
      </c>
      <c r="D1283">
        <f>IF($B$4="life-table",(D1036+D1037)/2,IF($B$4="beginning",D1036,D1037))</f>
        <v/>
      </c>
      <c r="F1283">
        <f>((B1283*$B$72+C1283*$C$72+D1283*$D$72)+(B1283*$B$312+C1283*$C$312+D1283*$D$312)+(B1283*$B$552+C1283*$C$552+D1283*$D$552))/(1+$B$2)^(57)</f>
        <v/>
      </c>
      <c r="G1283">
        <f>((B1283*$B$792+C1283*$C$792+D1283*$D$792))/(1+$B$3)^(57)</f>
        <v/>
      </c>
    </row>
    <row r="1284">
      <c r="A1284" t="n">
        <v>59</v>
      </c>
      <c r="B1284">
        <f>IF($B$4="life-table",(B1037+B1038)/2,IF($B$4="beginning",B1037,B1038))</f>
        <v/>
      </c>
      <c r="C1284">
        <f>IF($B$4="life-table",(C1037+C1038)/2,IF($B$4="beginning",C1037,C1038))</f>
        <v/>
      </c>
      <c r="D1284">
        <f>IF($B$4="life-table",(D1037+D1038)/2,IF($B$4="beginning",D1037,D1038))</f>
        <v/>
      </c>
      <c r="F1284">
        <f>((B1284*$B$73+C1284*$C$73+D1284*$D$73)+(B1284*$B$313+C1284*$C$313+D1284*$D$313)+(B1284*$B$553+C1284*$C$553+D1284*$D$553))/(1+$B$2)^(58)</f>
        <v/>
      </c>
      <c r="G1284">
        <f>((B1284*$B$793+C1284*$C$793+D1284*$D$793))/(1+$B$3)^(58)</f>
        <v/>
      </c>
    </row>
    <row r="1285">
      <c r="A1285" t="n">
        <v>60</v>
      </c>
      <c r="B1285">
        <f>IF($B$4="life-table",(B1038+B1039)/2,IF($B$4="beginning",B1038,B1039))</f>
        <v/>
      </c>
      <c r="C1285">
        <f>IF($B$4="life-table",(C1038+C1039)/2,IF($B$4="beginning",C1038,C1039))</f>
        <v/>
      </c>
      <c r="D1285">
        <f>IF($B$4="life-table",(D1038+D1039)/2,IF($B$4="beginning",D1038,D1039))</f>
        <v/>
      </c>
      <c r="F1285">
        <f>((B1285*$B$74+C1285*$C$74+D1285*$D$74)+(B1285*$B$314+C1285*$C$314+D1285*$D$314)+(B1285*$B$554+C1285*$C$554+D1285*$D$554))/(1+$B$2)^(59)</f>
        <v/>
      </c>
      <c r="G1285">
        <f>((B1285*$B$794+C1285*$C$794+D1285*$D$794))/(1+$B$3)^(59)</f>
        <v/>
      </c>
    </row>
    <row r="1286">
      <c r="A1286" t="n">
        <v>61</v>
      </c>
      <c r="B1286">
        <f>IF($B$4="life-table",(B1039+B1040)/2,IF($B$4="beginning",B1039,B1040))</f>
        <v/>
      </c>
      <c r="C1286">
        <f>IF($B$4="life-table",(C1039+C1040)/2,IF($B$4="beginning",C1039,C1040))</f>
        <v/>
      </c>
      <c r="D1286">
        <f>IF($B$4="life-table",(D1039+D1040)/2,IF($B$4="beginning",D1039,D1040))</f>
        <v/>
      </c>
      <c r="F1286">
        <f>((B1286*$B$75+C1286*$C$75+D1286*$D$75)+(B1286*$B$315+C1286*$C$315+D1286*$D$315)+(B1286*$B$555+C1286*$C$555+D1286*$D$555))/(1+$B$2)^(60)</f>
        <v/>
      </c>
      <c r="G1286">
        <f>((B1286*$B$795+C1286*$C$795+D1286*$D$795))/(1+$B$3)^(60)</f>
        <v/>
      </c>
    </row>
    <row r="1287">
      <c r="A1287" t="n">
        <v>62</v>
      </c>
      <c r="B1287">
        <f>IF($B$4="life-table",(B1040+B1041)/2,IF($B$4="beginning",B1040,B1041))</f>
        <v/>
      </c>
      <c r="C1287">
        <f>IF($B$4="life-table",(C1040+C1041)/2,IF($B$4="beginning",C1040,C1041))</f>
        <v/>
      </c>
      <c r="D1287">
        <f>IF($B$4="life-table",(D1040+D1041)/2,IF($B$4="beginning",D1040,D1041))</f>
        <v/>
      </c>
      <c r="F1287">
        <f>((B1287*$B$76+C1287*$C$76+D1287*$D$76)+(B1287*$B$316+C1287*$C$316+D1287*$D$316)+(B1287*$B$556+C1287*$C$556+D1287*$D$556))/(1+$B$2)^(61)</f>
        <v/>
      </c>
      <c r="G1287">
        <f>((B1287*$B$796+C1287*$C$796+D1287*$D$796))/(1+$B$3)^(61)</f>
        <v/>
      </c>
    </row>
    <row r="1288">
      <c r="A1288" t="n">
        <v>63</v>
      </c>
      <c r="B1288">
        <f>IF($B$4="life-table",(B1041+B1042)/2,IF($B$4="beginning",B1041,B1042))</f>
        <v/>
      </c>
      <c r="C1288">
        <f>IF($B$4="life-table",(C1041+C1042)/2,IF($B$4="beginning",C1041,C1042))</f>
        <v/>
      </c>
      <c r="D1288">
        <f>IF($B$4="life-table",(D1041+D1042)/2,IF($B$4="beginning",D1041,D1042))</f>
        <v/>
      </c>
      <c r="F1288">
        <f>((B1288*$B$77+C1288*$C$77+D1288*$D$77)+(B1288*$B$317+C1288*$C$317+D1288*$D$317)+(B1288*$B$557+C1288*$C$557+D1288*$D$557))/(1+$B$2)^(62)</f>
        <v/>
      </c>
      <c r="G1288">
        <f>((B1288*$B$797+C1288*$C$797+D1288*$D$797))/(1+$B$3)^(62)</f>
        <v/>
      </c>
    </row>
    <row r="1289">
      <c r="A1289" t="n">
        <v>64</v>
      </c>
      <c r="B1289">
        <f>IF($B$4="life-table",(B1042+B1043)/2,IF($B$4="beginning",B1042,B1043))</f>
        <v/>
      </c>
      <c r="C1289">
        <f>IF($B$4="life-table",(C1042+C1043)/2,IF($B$4="beginning",C1042,C1043))</f>
        <v/>
      </c>
      <c r="D1289">
        <f>IF($B$4="life-table",(D1042+D1043)/2,IF($B$4="beginning",D1042,D1043))</f>
        <v/>
      </c>
      <c r="F1289">
        <f>((B1289*$B$78+C1289*$C$78+D1289*$D$78)+(B1289*$B$318+C1289*$C$318+D1289*$D$318)+(B1289*$B$558+C1289*$C$558+D1289*$D$558))/(1+$B$2)^(63)</f>
        <v/>
      </c>
      <c r="G1289">
        <f>((B1289*$B$798+C1289*$C$798+D1289*$D$798))/(1+$B$3)^(63)</f>
        <v/>
      </c>
    </row>
    <row r="1290">
      <c r="A1290" t="n">
        <v>65</v>
      </c>
      <c r="B1290">
        <f>IF($B$4="life-table",(B1043+B1044)/2,IF($B$4="beginning",B1043,B1044))</f>
        <v/>
      </c>
      <c r="C1290">
        <f>IF($B$4="life-table",(C1043+C1044)/2,IF($B$4="beginning",C1043,C1044))</f>
        <v/>
      </c>
      <c r="D1290">
        <f>IF($B$4="life-table",(D1043+D1044)/2,IF($B$4="beginning",D1043,D1044))</f>
        <v/>
      </c>
      <c r="F1290">
        <f>((B1290*$B$79+C1290*$C$79+D1290*$D$79)+(B1290*$B$319+C1290*$C$319+D1290*$D$319)+(B1290*$B$559+C1290*$C$559+D1290*$D$559))/(1+$B$2)^(64)</f>
        <v/>
      </c>
      <c r="G1290">
        <f>((B1290*$B$799+C1290*$C$799+D1290*$D$799))/(1+$B$3)^(64)</f>
        <v/>
      </c>
    </row>
    <row r="1291">
      <c r="A1291" t="n">
        <v>66</v>
      </c>
      <c r="B1291">
        <f>IF($B$4="life-table",(B1044+B1045)/2,IF($B$4="beginning",B1044,B1045))</f>
        <v/>
      </c>
      <c r="C1291">
        <f>IF($B$4="life-table",(C1044+C1045)/2,IF($B$4="beginning",C1044,C1045))</f>
        <v/>
      </c>
      <c r="D1291">
        <f>IF($B$4="life-table",(D1044+D1045)/2,IF($B$4="beginning",D1044,D1045))</f>
        <v/>
      </c>
      <c r="F1291">
        <f>((B1291*$B$80+C1291*$C$80+D1291*$D$80)+(B1291*$B$320+C1291*$C$320+D1291*$D$320)+(B1291*$B$560+C1291*$C$560+D1291*$D$560))/(1+$B$2)^(65)</f>
        <v/>
      </c>
      <c r="G1291">
        <f>((B1291*$B$800+C1291*$C$800+D1291*$D$800))/(1+$B$3)^(65)</f>
        <v/>
      </c>
    </row>
    <row r="1292">
      <c r="A1292" t="n">
        <v>67</v>
      </c>
      <c r="B1292">
        <f>IF($B$4="life-table",(B1045+B1046)/2,IF($B$4="beginning",B1045,B1046))</f>
        <v/>
      </c>
      <c r="C1292">
        <f>IF($B$4="life-table",(C1045+C1046)/2,IF($B$4="beginning",C1045,C1046))</f>
        <v/>
      </c>
      <c r="D1292">
        <f>IF($B$4="life-table",(D1045+D1046)/2,IF($B$4="beginning",D1045,D1046))</f>
        <v/>
      </c>
      <c r="F1292">
        <f>((B1292*$B$81+C1292*$C$81+D1292*$D$81)+(B1292*$B$321+C1292*$C$321+D1292*$D$321)+(B1292*$B$561+C1292*$C$561+D1292*$D$561))/(1+$B$2)^(66)</f>
        <v/>
      </c>
      <c r="G1292">
        <f>((B1292*$B$801+C1292*$C$801+D1292*$D$801))/(1+$B$3)^(66)</f>
        <v/>
      </c>
    </row>
    <row r="1293">
      <c r="A1293" t="n">
        <v>68</v>
      </c>
      <c r="B1293">
        <f>IF($B$4="life-table",(B1046+B1047)/2,IF($B$4="beginning",B1046,B1047))</f>
        <v/>
      </c>
      <c r="C1293">
        <f>IF($B$4="life-table",(C1046+C1047)/2,IF($B$4="beginning",C1046,C1047))</f>
        <v/>
      </c>
      <c r="D1293">
        <f>IF($B$4="life-table",(D1046+D1047)/2,IF($B$4="beginning",D1046,D1047))</f>
        <v/>
      </c>
      <c r="F1293">
        <f>((B1293*$B$82+C1293*$C$82+D1293*$D$82)+(B1293*$B$322+C1293*$C$322+D1293*$D$322)+(B1293*$B$562+C1293*$C$562+D1293*$D$562))/(1+$B$2)^(67)</f>
        <v/>
      </c>
      <c r="G1293">
        <f>((B1293*$B$802+C1293*$C$802+D1293*$D$802))/(1+$B$3)^(67)</f>
        <v/>
      </c>
    </row>
    <row r="1294">
      <c r="A1294" t="n">
        <v>69</v>
      </c>
      <c r="B1294">
        <f>IF($B$4="life-table",(B1047+B1048)/2,IF($B$4="beginning",B1047,B1048))</f>
        <v/>
      </c>
      <c r="C1294">
        <f>IF($B$4="life-table",(C1047+C1048)/2,IF($B$4="beginning",C1047,C1048))</f>
        <v/>
      </c>
      <c r="D1294">
        <f>IF($B$4="life-table",(D1047+D1048)/2,IF($B$4="beginning",D1047,D1048))</f>
        <v/>
      </c>
      <c r="F1294">
        <f>((B1294*$B$83+C1294*$C$83+D1294*$D$83)+(B1294*$B$323+C1294*$C$323+D1294*$D$323)+(B1294*$B$563+C1294*$C$563+D1294*$D$563))/(1+$B$2)^(68)</f>
        <v/>
      </c>
      <c r="G1294">
        <f>((B1294*$B$803+C1294*$C$803+D1294*$D$803))/(1+$B$3)^(68)</f>
        <v/>
      </c>
    </row>
    <row r="1295">
      <c r="A1295" t="n">
        <v>70</v>
      </c>
      <c r="B1295">
        <f>IF($B$4="life-table",(B1048+B1049)/2,IF($B$4="beginning",B1048,B1049))</f>
        <v/>
      </c>
      <c r="C1295">
        <f>IF($B$4="life-table",(C1048+C1049)/2,IF($B$4="beginning",C1048,C1049))</f>
        <v/>
      </c>
      <c r="D1295">
        <f>IF($B$4="life-table",(D1048+D1049)/2,IF($B$4="beginning",D1048,D1049))</f>
        <v/>
      </c>
      <c r="F1295">
        <f>((B1295*$B$84+C1295*$C$84+D1295*$D$84)+(B1295*$B$324+C1295*$C$324+D1295*$D$324)+(B1295*$B$564+C1295*$C$564+D1295*$D$564))/(1+$B$2)^(69)</f>
        <v/>
      </c>
      <c r="G1295">
        <f>((B1295*$B$804+C1295*$C$804+D1295*$D$804))/(1+$B$3)^(69)</f>
        <v/>
      </c>
    </row>
    <row r="1296">
      <c r="A1296" t="n">
        <v>71</v>
      </c>
      <c r="B1296">
        <f>IF($B$4="life-table",(B1049+B1050)/2,IF($B$4="beginning",B1049,B1050))</f>
        <v/>
      </c>
      <c r="C1296">
        <f>IF($B$4="life-table",(C1049+C1050)/2,IF($B$4="beginning",C1049,C1050))</f>
        <v/>
      </c>
      <c r="D1296">
        <f>IF($B$4="life-table",(D1049+D1050)/2,IF($B$4="beginning",D1049,D1050))</f>
        <v/>
      </c>
      <c r="F1296">
        <f>((B1296*$B$85+C1296*$C$85+D1296*$D$85)+(B1296*$B$325+C1296*$C$325+D1296*$D$325)+(B1296*$B$565+C1296*$C$565+D1296*$D$565))/(1+$B$2)^(70)</f>
        <v/>
      </c>
      <c r="G1296">
        <f>((B1296*$B$805+C1296*$C$805+D1296*$D$805))/(1+$B$3)^(70)</f>
        <v/>
      </c>
    </row>
    <row r="1297">
      <c r="A1297" t="n">
        <v>72</v>
      </c>
      <c r="B1297">
        <f>IF($B$4="life-table",(B1050+B1051)/2,IF($B$4="beginning",B1050,B1051))</f>
        <v/>
      </c>
      <c r="C1297">
        <f>IF($B$4="life-table",(C1050+C1051)/2,IF($B$4="beginning",C1050,C1051))</f>
        <v/>
      </c>
      <c r="D1297">
        <f>IF($B$4="life-table",(D1050+D1051)/2,IF($B$4="beginning",D1050,D1051))</f>
        <v/>
      </c>
      <c r="F1297">
        <f>((B1297*$B$86+C1297*$C$86+D1297*$D$86)+(B1297*$B$326+C1297*$C$326+D1297*$D$326)+(B1297*$B$566+C1297*$C$566+D1297*$D$566))/(1+$B$2)^(71)</f>
        <v/>
      </c>
      <c r="G1297">
        <f>((B1297*$B$806+C1297*$C$806+D1297*$D$806))/(1+$B$3)^(71)</f>
        <v/>
      </c>
    </row>
    <row r="1298">
      <c r="A1298" t="n">
        <v>73</v>
      </c>
      <c r="B1298">
        <f>IF($B$4="life-table",(B1051+B1052)/2,IF($B$4="beginning",B1051,B1052))</f>
        <v/>
      </c>
      <c r="C1298">
        <f>IF($B$4="life-table",(C1051+C1052)/2,IF($B$4="beginning",C1051,C1052))</f>
        <v/>
      </c>
      <c r="D1298">
        <f>IF($B$4="life-table",(D1051+D1052)/2,IF($B$4="beginning",D1051,D1052))</f>
        <v/>
      </c>
      <c r="F1298">
        <f>((B1298*$B$87+C1298*$C$87+D1298*$D$87)+(B1298*$B$327+C1298*$C$327+D1298*$D$327)+(B1298*$B$567+C1298*$C$567+D1298*$D$567))/(1+$B$2)^(72)</f>
        <v/>
      </c>
      <c r="G1298">
        <f>((B1298*$B$807+C1298*$C$807+D1298*$D$807))/(1+$B$3)^(72)</f>
        <v/>
      </c>
    </row>
    <row r="1299">
      <c r="A1299" t="n">
        <v>74</v>
      </c>
      <c r="B1299">
        <f>IF($B$4="life-table",(B1052+B1053)/2,IF($B$4="beginning",B1052,B1053))</f>
        <v/>
      </c>
      <c r="C1299">
        <f>IF($B$4="life-table",(C1052+C1053)/2,IF($B$4="beginning",C1052,C1053))</f>
        <v/>
      </c>
      <c r="D1299">
        <f>IF($B$4="life-table",(D1052+D1053)/2,IF($B$4="beginning",D1052,D1053))</f>
        <v/>
      </c>
      <c r="F1299">
        <f>((B1299*$B$88+C1299*$C$88+D1299*$D$88)+(B1299*$B$328+C1299*$C$328+D1299*$D$328)+(B1299*$B$568+C1299*$C$568+D1299*$D$568))/(1+$B$2)^(73)</f>
        <v/>
      </c>
      <c r="G1299">
        <f>((B1299*$B$808+C1299*$C$808+D1299*$D$808))/(1+$B$3)^(73)</f>
        <v/>
      </c>
    </row>
    <row r="1300">
      <c r="A1300" t="n">
        <v>75</v>
      </c>
      <c r="B1300">
        <f>IF($B$4="life-table",(B1053+B1054)/2,IF($B$4="beginning",B1053,B1054))</f>
        <v/>
      </c>
      <c r="C1300">
        <f>IF($B$4="life-table",(C1053+C1054)/2,IF($B$4="beginning",C1053,C1054))</f>
        <v/>
      </c>
      <c r="D1300">
        <f>IF($B$4="life-table",(D1053+D1054)/2,IF($B$4="beginning",D1053,D1054))</f>
        <v/>
      </c>
      <c r="F1300">
        <f>((B1300*$B$89+C1300*$C$89+D1300*$D$89)+(B1300*$B$329+C1300*$C$329+D1300*$D$329)+(B1300*$B$569+C1300*$C$569+D1300*$D$569))/(1+$B$2)^(74)</f>
        <v/>
      </c>
      <c r="G1300">
        <f>((B1300*$B$809+C1300*$C$809+D1300*$D$809))/(1+$B$3)^(74)</f>
        <v/>
      </c>
    </row>
    <row r="1301">
      <c r="A1301" t="n">
        <v>76</v>
      </c>
      <c r="B1301">
        <f>IF($B$4="life-table",(B1054+B1055)/2,IF($B$4="beginning",B1054,B1055))</f>
        <v/>
      </c>
      <c r="C1301">
        <f>IF($B$4="life-table",(C1054+C1055)/2,IF($B$4="beginning",C1054,C1055))</f>
        <v/>
      </c>
      <c r="D1301">
        <f>IF($B$4="life-table",(D1054+D1055)/2,IF($B$4="beginning",D1054,D1055))</f>
        <v/>
      </c>
      <c r="F1301">
        <f>((B1301*$B$90+C1301*$C$90+D1301*$D$90)+(B1301*$B$330+C1301*$C$330+D1301*$D$330)+(B1301*$B$570+C1301*$C$570+D1301*$D$570))/(1+$B$2)^(75)</f>
        <v/>
      </c>
      <c r="G1301">
        <f>((B1301*$B$810+C1301*$C$810+D1301*$D$810))/(1+$B$3)^(75)</f>
        <v/>
      </c>
    </row>
    <row r="1302">
      <c r="A1302" t="n">
        <v>77</v>
      </c>
      <c r="B1302">
        <f>IF($B$4="life-table",(B1055+B1056)/2,IF($B$4="beginning",B1055,B1056))</f>
        <v/>
      </c>
      <c r="C1302">
        <f>IF($B$4="life-table",(C1055+C1056)/2,IF($B$4="beginning",C1055,C1056))</f>
        <v/>
      </c>
      <c r="D1302">
        <f>IF($B$4="life-table",(D1055+D1056)/2,IF($B$4="beginning",D1055,D1056))</f>
        <v/>
      </c>
      <c r="F1302">
        <f>((B1302*$B$91+C1302*$C$91+D1302*$D$91)+(B1302*$B$331+C1302*$C$331+D1302*$D$331)+(B1302*$B$571+C1302*$C$571+D1302*$D$571))/(1+$B$2)^(76)</f>
        <v/>
      </c>
      <c r="G1302">
        <f>((B1302*$B$811+C1302*$C$811+D1302*$D$811))/(1+$B$3)^(76)</f>
        <v/>
      </c>
    </row>
    <row r="1303">
      <c r="A1303" t="n">
        <v>78</v>
      </c>
      <c r="B1303">
        <f>IF($B$4="life-table",(B1056+B1057)/2,IF($B$4="beginning",B1056,B1057))</f>
        <v/>
      </c>
      <c r="C1303">
        <f>IF($B$4="life-table",(C1056+C1057)/2,IF($B$4="beginning",C1056,C1057))</f>
        <v/>
      </c>
      <c r="D1303">
        <f>IF($B$4="life-table",(D1056+D1057)/2,IF($B$4="beginning",D1056,D1057))</f>
        <v/>
      </c>
      <c r="F1303">
        <f>((B1303*$B$92+C1303*$C$92+D1303*$D$92)+(B1303*$B$332+C1303*$C$332+D1303*$D$332)+(B1303*$B$572+C1303*$C$572+D1303*$D$572))/(1+$B$2)^(77)</f>
        <v/>
      </c>
      <c r="G1303">
        <f>((B1303*$B$812+C1303*$C$812+D1303*$D$812))/(1+$B$3)^(77)</f>
        <v/>
      </c>
    </row>
    <row r="1304">
      <c r="A1304" t="n">
        <v>79</v>
      </c>
      <c r="B1304">
        <f>IF($B$4="life-table",(B1057+B1058)/2,IF($B$4="beginning",B1057,B1058))</f>
        <v/>
      </c>
      <c r="C1304">
        <f>IF($B$4="life-table",(C1057+C1058)/2,IF($B$4="beginning",C1057,C1058))</f>
        <v/>
      </c>
      <c r="D1304">
        <f>IF($B$4="life-table",(D1057+D1058)/2,IF($B$4="beginning",D1057,D1058))</f>
        <v/>
      </c>
      <c r="F1304">
        <f>((B1304*$B$93+C1304*$C$93+D1304*$D$93)+(B1304*$B$333+C1304*$C$333+D1304*$D$333)+(B1304*$B$573+C1304*$C$573+D1304*$D$573))/(1+$B$2)^(78)</f>
        <v/>
      </c>
      <c r="G1304">
        <f>((B1304*$B$813+C1304*$C$813+D1304*$D$813))/(1+$B$3)^(78)</f>
        <v/>
      </c>
    </row>
    <row r="1305">
      <c r="A1305" t="n">
        <v>80</v>
      </c>
      <c r="B1305">
        <f>IF($B$4="life-table",(B1058+B1059)/2,IF($B$4="beginning",B1058,B1059))</f>
        <v/>
      </c>
      <c r="C1305">
        <f>IF($B$4="life-table",(C1058+C1059)/2,IF($B$4="beginning",C1058,C1059))</f>
        <v/>
      </c>
      <c r="D1305">
        <f>IF($B$4="life-table",(D1058+D1059)/2,IF($B$4="beginning",D1058,D1059))</f>
        <v/>
      </c>
      <c r="F1305">
        <f>((B1305*$B$94+C1305*$C$94+D1305*$D$94)+(B1305*$B$334+C1305*$C$334+D1305*$D$334)+(B1305*$B$574+C1305*$C$574+D1305*$D$574))/(1+$B$2)^(79)</f>
        <v/>
      </c>
      <c r="G1305">
        <f>((B1305*$B$814+C1305*$C$814+D1305*$D$814))/(1+$B$3)^(79)</f>
        <v/>
      </c>
    </row>
    <row r="1306">
      <c r="A1306" t="n">
        <v>81</v>
      </c>
      <c r="B1306">
        <f>IF($B$4="life-table",(B1059+B1060)/2,IF($B$4="beginning",B1059,B1060))</f>
        <v/>
      </c>
      <c r="C1306">
        <f>IF($B$4="life-table",(C1059+C1060)/2,IF($B$4="beginning",C1059,C1060))</f>
        <v/>
      </c>
      <c r="D1306">
        <f>IF($B$4="life-table",(D1059+D1060)/2,IF($B$4="beginning",D1059,D1060))</f>
        <v/>
      </c>
      <c r="F1306">
        <f>((B1306*$B$95+C1306*$C$95+D1306*$D$95)+(B1306*$B$335+C1306*$C$335+D1306*$D$335)+(B1306*$B$575+C1306*$C$575+D1306*$D$575))/(1+$B$2)^(80)</f>
        <v/>
      </c>
      <c r="G1306">
        <f>((B1306*$B$815+C1306*$C$815+D1306*$D$815))/(1+$B$3)^(80)</f>
        <v/>
      </c>
    </row>
    <row r="1307">
      <c r="A1307" t="n">
        <v>82</v>
      </c>
      <c r="B1307">
        <f>IF($B$4="life-table",(B1060+B1061)/2,IF($B$4="beginning",B1060,B1061))</f>
        <v/>
      </c>
      <c r="C1307">
        <f>IF($B$4="life-table",(C1060+C1061)/2,IF($B$4="beginning",C1060,C1061))</f>
        <v/>
      </c>
      <c r="D1307">
        <f>IF($B$4="life-table",(D1060+D1061)/2,IF($B$4="beginning",D1060,D1061))</f>
        <v/>
      </c>
      <c r="F1307">
        <f>((B1307*$B$96+C1307*$C$96+D1307*$D$96)+(B1307*$B$336+C1307*$C$336+D1307*$D$336)+(B1307*$B$576+C1307*$C$576+D1307*$D$576))/(1+$B$2)^(81)</f>
        <v/>
      </c>
      <c r="G1307">
        <f>((B1307*$B$816+C1307*$C$816+D1307*$D$816))/(1+$B$3)^(81)</f>
        <v/>
      </c>
    </row>
    <row r="1308">
      <c r="A1308" t="n">
        <v>83</v>
      </c>
      <c r="B1308">
        <f>IF($B$4="life-table",(B1061+B1062)/2,IF($B$4="beginning",B1061,B1062))</f>
        <v/>
      </c>
      <c r="C1308">
        <f>IF($B$4="life-table",(C1061+C1062)/2,IF($B$4="beginning",C1061,C1062))</f>
        <v/>
      </c>
      <c r="D1308">
        <f>IF($B$4="life-table",(D1061+D1062)/2,IF($B$4="beginning",D1061,D1062))</f>
        <v/>
      </c>
      <c r="F1308">
        <f>((B1308*$B$97+C1308*$C$97+D1308*$D$97)+(B1308*$B$337+C1308*$C$337+D1308*$D$337)+(B1308*$B$577+C1308*$C$577+D1308*$D$577))/(1+$B$2)^(82)</f>
        <v/>
      </c>
      <c r="G1308">
        <f>((B1308*$B$817+C1308*$C$817+D1308*$D$817))/(1+$B$3)^(82)</f>
        <v/>
      </c>
    </row>
    <row r="1309">
      <c r="A1309" t="n">
        <v>84</v>
      </c>
      <c r="B1309">
        <f>IF($B$4="life-table",(B1062+B1063)/2,IF($B$4="beginning",B1062,B1063))</f>
        <v/>
      </c>
      <c r="C1309">
        <f>IF($B$4="life-table",(C1062+C1063)/2,IF($B$4="beginning",C1062,C1063))</f>
        <v/>
      </c>
      <c r="D1309">
        <f>IF($B$4="life-table",(D1062+D1063)/2,IF($B$4="beginning",D1062,D1063))</f>
        <v/>
      </c>
      <c r="F1309">
        <f>((B1309*$B$98+C1309*$C$98+D1309*$D$98)+(B1309*$B$338+C1309*$C$338+D1309*$D$338)+(B1309*$B$578+C1309*$C$578+D1309*$D$578))/(1+$B$2)^(83)</f>
        <v/>
      </c>
      <c r="G1309">
        <f>((B1309*$B$818+C1309*$C$818+D1309*$D$818))/(1+$B$3)^(83)</f>
        <v/>
      </c>
    </row>
    <row r="1310">
      <c r="A1310" t="n">
        <v>85</v>
      </c>
      <c r="B1310">
        <f>IF($B$4="life-table",(B1063+B1064)/2,IF($B$4="beginning",B1063,B1064))</f>
        <v/>
      </c>
      <c r="C1310">
        <f>IF($B$4="life-table",(C1063+C1064)/2,IF($B$4="beginning",C1063,C1064))</f>
        <v/>
      </c>
      <c r="D1310">
        <f>IF($B$4="life-table",(D1063+D1064)/2,IF($B$4="beginning",D1063,D1064))</f>
        <v/>
      </c>
      <c r="F1310">
        <f>((B1310*$B$99+C1310*$C$99+D1310*$D$99)+(B1310*$B$339+C1310*$C$339+D1310*$D$339)+(B1310*$B$579+C1310*$C$579+D1310*$D$579))/(1+$B$2)^(84)</f>
        <v/>
      </c>
      <c r="G1310">
        <f>((B1310*$B$819+C1310*$C$819+D1310*$D$819))/(1+$B$3)^(84)</f>
        <v/>
      </c>
    </row>
    <row r="1311">
      <c r="A1311" t="n">
        <v>86</v>
      </c>
      <c r="B1311">
        <f>IF($B$4="life-table",(B1064+B1065)/2,IF($B$4="beginning",B1064,B1065))</f>
        <v/>
      </c>
      <c r="C1311">
        <f>IF($B$4="life-table",(C1064+C1065)/2,IF($B$4="beginning",C1064,C1065))</f>
        <v/>
      </c>
      <c r="D1311">
        <f>IF($B$4="life-table",(D1064+D1065)/2,IF($B$4="beginning",D1064,D1065))</f>
        <v/>
      </c>
      <c r="F1311">
        <f>((B1311*$B$100+C1311*$C$100+D1311*$D$100)+(B1311*$B$340+C1311*$C$340+D1311*$D$340)+(B1311*$B$580+C1311*$C$580+D1311*$D$580))/(1+$B$2)^(85)</f>
        <v/>
      </c>
      <c r="G1311">
        <f>((B1311*$B$820+C1311*$C$820+D1311*$D$820))/(1+$B$3)^(85)</f>
        <v/>
      </c>
    </row>
    <row r="1312">
      <c r="A1312" t="n">
        <v>87</v>
      </c>
      <c r="B1312">
        <f>IF($B$4="life-table",(B1065+B1066)/2,IF($B$4="beginning",B1065,B1066))</f>
        <v/>
      </c>
      <c r="C1312">
        <f>IF($B$4="life-table",(C1065+C1066)/2,IF($B$4="beginning",C1065,C1066))</f>
        <v/>
      </c>
      <c r="D1312">
        <f>IF($B$4="life-table",(D1065+D1066)/2,IF($B$4="beginning",D1065,D1066))</f>
        <v/>
      </c>
      <c r="F1312">
        <f>((B1312*$B$101+C1312*$C$101+D1312*$D$101)+(B1312*$B$341+C1312*$C$341+D1312*$D$341)+(B1312*$B$581+C1312*$C$581+D1312*$D$581))/(1+$B$2)^(86)</f>
        <v/>
      </c>
      <c r="G1312">
        <f>((B1312*$B$821+C1312*$C$821+D1312*$D$821))/(1+$B$3)^(86)</f>
        <v/>
      </c>
    </row>
    <row r="1313">
      <c r="A1313" t="n">
        <v>88</v>
      </c>
      <c r="B1313">
        <f>IF($B$4="life-table",(B1066+B1067)/2,IF($B$4="beginning",B1066,B1067))</f>
        <v/>
      </c>
      <c r="C1313">
        <f>IF($B$4="life-table",(C1066+C1067)/2,IF($B$4="beginning",C1066,C1067))</f>
        <v/>
      </c>
      <c r="D1313">
        <f>IF($B$4="life-table",(D1066+D1067)/2,IF($B$4="beginning",D1066,D1067))</f>
        <v/>
      </c>
      <c r="F1313">
        <f>((B1313*$B$102+C1313*$C$102+D1313*$D$102)+(B1313*$B$342+C1313*$C$342+D1313*$D$342)+(B1313*$B$582+C1313*$C$582+D1313*$D$582))/(1+$B$2)^(87)</f>
        <v/>
      </c>
      <c r="G1313">
        <f>((B1313*$B$822+C1313*$C$822+D1313*$D$822))/(1+$B$3)^(87)</f>
        <v/>
      </c>
    </row>
    <row r="1314">
      <c r="A1314" t="n">
        <v>89</v>
      </c>
      <c r="B1314">
        <f>IF($B$4="life-table",(B1067+B1068)/2,IF($B$4="beginning",B1067,B1068))</f>
        <v/>
      </c>
      <c r="C1314">
        <f>IF($B$4="life-table",(C1067+C1068)/2,IF($B$4="beginning",C1067,C1068))</f>
        <v/>
      </c>
      <c r="D1314">
        <f>IF($B$4="life-table",(D1067+D1068)/2,IF($B$4="beginning",D1067,D1068))</f>
        <v/>
      </c>
      <c r="F1314">
        <f>((B1314*$B$103+C1314*$C$103+D1314*$D$103)+(B1314*$B$343+C1314*$C$343+D1314*$D$343)+(B1314*$B$583+C1314*$C$583+D1314*$D$583))/(1+$B$2)^(88)</f>
        <v/>
      </c>
      <c r="G1314">
        <f>((B1314*$B$823+C1314*$C$823+D1314*$D$823))/(1+$B$3)^(88)</f>
        <v/>
      </c>
    </row>
    <row r="1315">
      <c r="A1315" t="n">
        <v>90</v>
      </c>
      <c r="B1315">
        <f>IF($B$4="life-table",(B1068+B1069)/2,IF($B$4="beginning",B1068,B1069))</f>
        <v/>
      </c>
      <c r="C1315">
        <f>IF($B$4="life-table",(C1068+C1069)/2,IF($B$4="beginning",C1068,C1069))</f>
        <v/>
      </c>
      <c r="D1315">
        <f>IF($B$4="life-table",(D1068+D1069)/2,IF($B$4="beginning",D1068,D1069))</f>
        <v/>
      </c>
      <c r="F1315">
        <f>((B1315*$B$104+C1315*$C$104+D1315*$D$104)+(B1315*$B$344+C1315*$C$344+D1315*$D$344)+(B1315*$B$584+C1315*$C$584+D1315*$D$584))/(1+$B$2)^(89)</f>
        <v/>
      </c>
      <c r="G1315">
        <f>((B1315*$B$824+C1315*$C$824+D1315*$D$824))/(1+$B$3)^(89)</f>
        <v/>
      </c>
    </row>
    <row r="1316">
      <c r="A1316" t="n">
        <v>91</v>
      </c>
      <c r="B1316">
        <f>IF($B$4="life-table",(B1069+B1070)/2,IF($B$4="beginning",B1069,B1070))</f>
        <v/>
      </c>
      <c r="C1316">
        <f>IF($B$4="life-table",(C1069+C1070)/2,IF($B$4="beginning",C1069,C1070))</f>
        <v/>
      </c>
      <c r="D1316">
        <f>IF($B$4="life-table",(D1069+D1070)/2,IF($B$4="beginning",D1069,D1070))</f>
        <v/>
      </c>
      <c r="F1316">
        <f>((B1316*$B$105+C1316*$C$105+D1316*$D$105)+(B1316*$B$345+C1316*$C$345+D1316*$D$345)+(B1316*$B$585+C1316*$C$585+D1316*$D$585))/(1+$B$2)^(90)</f>
        <v/>
      </c>
      <c r="G1316">
        <f>((B1316*$B$825+C1316*$C$825+D1316*$D$825))/(1+$B$3)^(90)</f>
        <v/>
      </c>
    </row>
    <row r="1317">
      <c r="A1317" t="n">
        <v>92</v>
      </c>
      <c r="B1317">
        <f>IF($B$4="life-table",(B1070+B1071)/2,IF($B$4="beginning",B1070,B1071))</f>
        <v/>
      </c>
      <c r="C1317">
        <f>IF($B$4="life-table",(C1070+C1071)/2,IF($B$4="beginning",C1070,C1071))</f>
        <v/>
      </c>
      <c r="D1317">
        <f>IF($B$4="life-table",(D1070+D1071)/2,IF($B$4="beginning",D1070,D1071))</f>
        <v/>
      </c>
      <c r="F1317">
        <f>((B1317*$B$106+C1317*$C$106+D1317*$D$106)+(B1317*$B$346+C1317*$C$346+D1317*$D$346)+(B1317*$B$586+C1317*$C$586+D1317*$D$586))/(1+$B$2)^(91)</f>
        <v/>
      </c>
      <c r="G1317">
        <f>((B1317*$B$826+C1317*$C$826+D1317*$D$826))/(1+$B$3)^(91)</f>
        <v/>
      </c>
    </row>
    <row r="1318">
      <c r="A1318" t="n">
        <v>93</v>
      </c>
      <c r="B1318">
        <f>IF($B$4="life-table",(B1071+B1072)/2,IF($B$4="beginning",B1071,B1072))</f>
        <v/>
      </c>
      <c r="C1318">
        <f>IF($B$4="life-table",(C1071+C1072)/2,IF($B$4="beginning",C1071,C1072))</f>
        <v/>
      </c>
      <c r="D1318">
        <f>IF($B$4="life-table",(D1071+D1072)/2,IF($B$4="beginning",D1071,D1072))</f>
        <v/>
      </c>
      <c r="F1318">
        <f>((B1318*$B$107+C1318*$C$107+D1318*$D$107)+(B1318*$B$347+C1318*$C$347+D1318*$D$347)+(B1318*$B$587+C1318*$C$587+D1318*$D$587))/(1+$B$2)^(92)</f>
        <v/>
      </c>
      <c r="G1318">
        <f>((B1318*$B$827+C1318*$C$827+D1318*$D$827))/(1+$B$3)^(92)</f>
        <v/>
      </c>
    </row>
    <row r="1319">
      <c r="A1319" t="n">
        <v>94</v>
      </c>
      <c r="B1319">
        <f>IF($B$4="life-table",(B1072+B1073)/2,IF($B$4="beginning",B1072,B1073))</f>
        <v/>
      </c>
      <c r="C1319">
        <f>IF($B$4="life-table",(C1072+C1073)/2,IF($B$4="beginning",C1072,C1073))</f>
        <v/>
      </c>
      <c r="D1319">
        <f>IF($B$4="life-table",(D1072+D1073)/2,IF($B$4="beginning",D1072,D1073))</f>
        <v/>
      </c>
      <c r="F1319">
        <f>((B1319*$B$108+C1319*$C$108+D1319*$D$108)+(B1319*$B$348+C1319*$C$348+D1319*$D$348)+(B1319*$B$588+C1319*$C$588+D1319*$D$588))/(1+$B$2)^(93)</f>
        <v/>
      </c>
      <c r="G1319">
        <f>((B1319*$B$828+C1319*$C$828+D1319*$D$828))/(1+$B$3)^(93)</f>
        <v/>
      </c>
    </row>
    <row r="1320">
      <c r="A1320" t="n">
        <v>95</v>
      </c>
      <c r="B1320">
        <f>IF($B$4="life-table",(B1073+B1074)/2,IF($B$4="beginning",B1073,B1074))</f>
        <v/>
      </c>
      <c r="C1320">
        <f>IF($B$4="life-table",(C1073+C1074)/2,IF($B$4="beginning",C1073,C1074))</f>
        <v/>
      </c>
      <c r="D1320">
        <f>IF($B$4="life-table",(D1073+D1074)/2,IF($B$4="beginning",D1073,D1074))</f>
        <v/>
      </c>
      <c r="F1320">
        <f>((B1320*$B$109+C1320*$C$109+D1320*$D$109)+(B1320*$B$349+C1320*$C$349+D1320*$D$349)+(B1320*$B$589+C1320*$C$589+D1320*$D$589))/(1+$B$2)^(94)</f>
        <v/>
      </c>
      <c r="G1320">
        <f>((B1320*$B$829+C1320*$C$829+D1320*$D$829))/(1+$B$3)^(94)</f>
        <v/>
      </c>
    </row>
    <row r="1321">
      <c r="A1321" t="n">
        <v>96</v>
      </c>
      <c r="B1321">
        <f>IF($B$4="life-table",(B1074+B1075)/2,IF($B$4="beginning",B1074,B1075))</f>
        <v/>
      </c>
      <c r="C1321">
        <f>IF($B$4="life-table",(C1074+C1075)/2,IF($B$4="beginning",C1074,C1075))</f>
        <v/>
      </c>
      <c r="D1321">
        <f>IF($B$4="life-table",(D1074+D1075)/2,IF($B$4="beginning",D1074,D1075))</f>
        <v/>
      </c>
      <c r="F1321">
        <f>((B1321*$B$110+C1321*$C$110+D1321*$D$110)+(B1321*$B$350+C1321*$C$350+D1321*$D$350)+(B1321*$B$590+C1321*$C$590+D1321*$D$590))/(1+$B$2)^(95)</f>
        <v/>
      </c>
      <c r="G1321">
        <f>((B1321*$B$830+C1321*$C$830+D1321*$D$830))/(1+$B$3)^(95)</f>
        <v/>
      </c>
    </row>
    <row r="1322">
      <c r="A1322" t="n">
        <v>97</v>
      </c>
      <c r="B1322">
        <f>IF($B$4="life-table",(B1075+B1076)/2,IF($B$4="beginning",B1075,B1076))</f>
        <v/>
      </c>
      <c r="C1322">
        <f>IF($B$4="life-table",(C1075+C1076)/2,IF($B$4="beginning",C1075,C1076))</f>
        <v/>
      </c>
      <c r="D1322">
        <f>IF($B$4="life-table",(D1075+D1076)/2,IF($B$4="beginning",D1075,D1076))</f>
        <v/>
      </c>
      <c r="F1322">
        <f>((B1322*$B$111+C1322*$C$111+D1322*$D$111)+(B1322*$B$351+C1322*$C$351+D1322*$D$351)+(B1322*$B$591+C1322*$C$591+D1322*$D$591))/(1+$B$2)^(96)</f>
        <v/>
      </c>
      <c r="G1322">
        <f>((B1322*$B$831+C1322*$C$831+D1322*$D$831))/(1+$B$3)^(96)</f>
        <v/>
      </c>
    </row>
    <row r="1323">
      <c r="A1323" t="n">
        <v>98</v>
      </c>
      <c r="B1323">
        <f>IF($B$4="life-table",(B1076+B1077)/2,IF($B$4="beginning",B1076,B1077))</f>
        <v/>
      </c>
      <c r="C1323">
        <f>IF($B$4="life-table",(C1076+C1077)/2,IF($B$4="beginning",C1076,C1077))</f>
        <v/>
      </c>
      <c r="D1323">
        <f>IF($B$4="life-table",(D1076+D1077)/2,IF($B$4="beginning",D1076,D1077))</f>
        <v/>
      </c>
      <c r="F1323">
        <f>((B1323*$B$112+C1323*$C$112+D1323*$D$112)+(B1323*$B$352+C1323*$C$352+D1323*$D$352)+(B1323*$B$592+C1323*$C$592+D1323*$D$592))/(1+$B$2)^(97)</f>
        <v/>
      </c>
      <c r="G1323">
        <f>((B1323*$B$832+C1323*$C$832+D1323*$D$832))/(1+$B$3)^(97)</f>
        <v/>
      </c>
    </row>
    <row r="1324">
      <c r="A1324" t="n">
        <v>99</v>
      </c>
      <c r="B1324">
        <f>IF($B$4="life-table",(B1077+B1078)/2,IF($B$4="beginning",B1077,B1078))</f>
        <v/>
      </c>
      <c r="C1324">
        <f>IF($B$4="life-table",(C1077+C1078)/2,IF($B$4="beginning",C1077,C1078))</f>
        <v/>
      </c>
      <c r="D1324">
        <f>IF($B$4="life-table",(D1077+D1078)/2,IF($B$4="beginning",D1077,D1078))</f>
        <v/>
      </c>
      <c r="F1324">
        <f>((B1324*$B$113+C1324*$C$113+D1324*$D$113)+(B1324*$B$353+C1324*$C$353+D1324*$D$353)+(B1324*$B$593+C1324*$C$593+D1324*$D$593))/(1+$B$2)^(98)</f>
        <v/>
      </c>
      <c r="G1324">
        <f>((B1324*$B$833+C1324*$C$833+D1324*$D$833))/(1+$B$3)^(98)</f>
        <v/>
      </c>
    </row>
    <row r="1325">
      <c r="A1325" t="n">
        <v>100</v>
      </c>
      <c r="B1325">
        <f>IF($B$4="life-table",(B1078+B1079)/2,IF($B$4="beginning",B1078,B1079))</f>
        <v/>
      </c>
      <c r="C1325">
        <f>IF($B$4="life-table",(C1078+C1079)/2,IF($B$4="beginning",C1078,C1079))</f>
        <v/>
      </c>
      <c r="D1325">
        <f>IF($B$4="life-table",(D1078+D1079)/2,IF($B$4="beginning",D1078,D1079))</f>
        <v/>
      </c>
      <c r="F1325">
        <f>((B1325*$B$114+C1325*$C$114+D1325*$D$114)+(B1325*$B$354+C1325*$C$354+D1325*$D$354)+(B1325*$B$594+C1325*$C$594+D1325*$D$594))/(1+$B$2)^(99)</f>
        <v/>
      </c>
      <c r="G1325">
        <f>((B1325*$B$834+C1325*$C$834+D1325*$D$834))/(1+$B$3)^(99)</f>
        <v/>
      </c>
    </row>
    <row r="1326">
      <c r="A1326" t="n">
        <v>101</v>
      </c>
      <c r="B1326">
        <f>IF($B$4="life-table",(B1079+B1080)/2,IF($B$4="beginning",B1079,B1080))</f>
        <v/>
      </c>
      <c r="C1326">
        <f>IF($B$4="life-table",(C1079+C1080)/2,IF($B$4="beginning",C1079,C1080))</f>
        <v/>
      </c>
      <c r="D1326">
        <f>IF($B$4="life-table",(D1079+D1080)/2,IF($B$4="beginning",D1079,D1080))</f>
        <v/>
      </c>
      <c r="F1326">
        <f>((B1326*$B$115+C1326*$C$115+D1326*$D$115)+(B1326*$B$355+C1326*$C$355+D1326*$D$355)+(B1326*$B$595+C1326*$C$595+D1326*$D$595))/(1+$B$2)^(100)</f>
        <v/>
      </c>
      <c r="G1326">
        <f>((B1326*$B$835+C1326*$C$835+D1326*$D$835))/(1+$B$3)^(100)</f>
        <v/>
      </c>
    </row>
    <row r="1327">
      <c r="A1327" t="n">
        <v>102</v>
      </c>
      <c r="B1327">
        <f>IF($B$4="life-table",(B1080+B1081)/2,IF($B$4="beginning",B1080,B1081))</f>
        <v/>
      </c>
      <c r="C1327">
        <f>IF($B$4="life-table",(C1080+C1081)/2,IF($B$4="beginning",C1080,C1081))</f>
        <v/>
      </c>
      <c r="D1327">
        <f>IF($B$4="life-table",(D1080+D1081)/2,IF($B$4="beginning",D1080,D1081))</f>
        <v/>
      </c>
      <c r="F1327">
        <f>((B1327*$B$116+C1327*$C$116+D1327*$D$116)+(B1327*$B$356+C1327*$C$356+D1327*$D$356)+(B1327*$B$596+C1327*$C$596+D1327*$D$596))/(1+$B$2)^(101)</f>
        <v/>
      </c>
      <c r="G1327">
        <f>((B1327*$B$836+C1327*$C$836+D1327*$D$836))/(1+$B$3)^(101)</f>
        <v/>
      </c>
    </row>
    <row r="1328">
      <c r="A1328" t="n">
        <v>103</v>
      </c>
      <c r="B1328">
        <f>IF($B$4="life-table",(B1081+B1082)/2,IF($B$4="beginning",B1081,B1082))</f>
        <v/>
      </c>
      <c r="C1328">
        <f>IF($B$4="life-table",(C1081+C1082)/2,IF($B$4="beginning",C1081,C1082))</f>
        <v/>
      </c>
      <c r="D1328">
        <f>IF($B$4="life-table",(D1081+D1082)/2,IF($B$4="beginning",D1081,D1082))</f>
        <v/>
      </c>
      <c r="F1328">
        <f>((B1328*$B$117+C1328*$C$117+D1328*$D$117)+(B1328*$B$357+C1328*$C$357+D1328*$D$357)+(B1328*$B$597+C1328*$C$597+D1328*$D$597))/(1+$B$2)^(102)</f>
        <v/>
      </c>
      <c r="G1328">
        <f>((B1328*$B$837+C1328*$C$837+D1328*$D$837))/(1+$B$3)^(102)</f>
        <v/>
      </c>
    </row>
    <row r="1329">
      <c r="A1329" t="n">
        <v>104</v>
      </c>
      <c r="B1329">
        <f>IF($B$4="life-table",(B1082+B1083)/2,IF($B$4="beginning",B1082,B1083))</f>
        <v/>
      </c>
      <c r="C1329">
        <f>IF($B$4="life-table",(C1082+C1083)/2,IF($B$4="beginning",C1082,C1083))</f>
        <v/>
      </c>
      <c r="D1329">
        <f>IF($B$4="life-table",(D1082+D1083)/2,IF($B$4="beginning",D1082,D1083))</f>
        <v/>
      </c>
      <c r="F1329">
        <f>((B1329*$B$118+C1329*$C$118+D1329*$D$118)+(B1329*$B$358+C1329*$C$358+D1329*$D$358)+(B1329*$B$598+C1329*$C$598+D1329*$D$598))/(1+$B$2)^(103)</f>
        <v/>
      </c>
      <c r="G1329">
        <f>((B1329*$B$838+C1329*$C$838+D1329*$D$838))/(1+$B$3)^(103)</f>
        <v/>
      </c>
    </row>
    <row r="1330">
      <c r="A1330" t="n">
        <v>105</v>
      </c>
      <c r="B1330">
        <f>IF($B$4="life-table",(B1083+B1084)/2,IF($B$4="beginning",B1083,B1084))</f>
        <v/>
      </c>
      <c r="C1330">
        <f>IF($B$4="life-table",(C1083+C1084)/2,IF($B$4="beginning",C1083,C1084))</f>
        <v/>
      </c>
      <c r="D1330">
        <f>IF($B$4="life-table",(D1083+D1084)/2,IF($B$4="beginning",D1083,D1084))</f>
        <v/>
      </c>
      <c r="F1330">
        <f>((B1330*$B$119+C1330*$C$119+D1330*$D$119)+(B1330*$B$359+C1330*$C$359+D1330*$D$359)+(B1330*$B$599+C1330*$C$599+D1330*$D$599))/(1+$B$2)^(104)</f>
        <v/>
      </c>
      <c r="G1330">
        <f>((B1330*$B$839+C1330*$C$839+D1330*$D$839))/(1+$B$3)^(104)</f>
        <v/>
      </c>
    </row>
    <row r="1331">
      <c r="A1331" t="n">
        <v>106</v>
      </c>
      <c r="B1331">
        <f>IF($B$4="life-table",(B1084+B1085)/2,IF($B$4="beginning",B1084,B1085))</f>
        <v/>
      </c>
      <c r="C1331">
        <f>IF($B$4="life-table",(C1084+C1085)/2,IF($B$4="beginning",C1084,C1085))</f>
        <v/>
      </c>
      <c r="D1331">
        <f>IF($B$4="life-table",(D1084+D1085)/2,IF($B$4="beginning",D1084,D1085))</f>
        <v/>
      </c>
      <c r="F1331">
        <f>((B1331*$B$120+C1331*$C$120+D1331*$D$120)+(B1331*$B$360+C1331*$C$360+D1331*$D$360)+(B1331*$B$600+C1331*$C$600+D1331*$D$600))/(1+$B$2)^(105)</f>
        <v/>
      </c>
      <c r="G1331">
        <f>((B1331*$B$840+C1331*$C$840+D1331*$D$840))/(1+$B$3)^(105)</f>
        <v/>
      </c>
    </row>
    <row r="1332">
      <c r="A1332" t="n">
        <v>107</v>
      </c>
      <c r="B1332">
        <f>IF($B$4="life-table",(B1085+B1086)/2,IF($B$4="beginning",B1085,B1086))</f>
        <v/>
      </c>
      <c r="C1332">
        <f>IF($B$4="life-table",(C1085+C1086)/2,IF($B$4="beginning",C1085,C1086))</f>
        <v/>
      </c>
      <c r="D1332">
        <f>IF($B$4="life-table",(D1085+D1086)/2,IF($B$4="beginning",D1085,D1086))</f>
        <v/>
      </c>
      <c r="F1332">
        <f>((B1332*$B$121+C1332*$C$121+D1332*$D$121)+(B1332*$B$361+C1332*$C$361+D1332*$D$361)+(B1332*$B$601+C1332*$C$601+D1332*$D$601))/(1+$B$2)^(106)</f>
        <v/>
      </c>
      <c r="G1332">
        <f>((B1332*$B$841+C1332*$C$841+D1332*$D$841))/(1+$B$3)^(106)</f>
        <v/>
      </c>
    </row>
    <row r="1333">
      <c r="A1333" t="n">
        <v>108</v>
      </c>
      <c r="B1333">
        <f>IF($B$4="life-table",(B1086+B1087)/2,IF($B$4="beginning",B1086,B1087))</f>
        <v/>
      </c>
      <c r="C1333">
        <f>IF($B$4="life-table",(C1086+C1087)/2,IF($B$4="beginning",C1086,C1087))</f>
        <v/>
      </c>
      <c r="D1333">
        <f>IF($B$4="life-table",(D1086+D1087)/2,IF($B$4="beginning",D1086,D1087))</f>
        <v/>
      </c>
      <c r="F1333">
        <f>((B1333*$B$122+C1333*$C$122+D1333*$D$122)+(B1333*$B$362+C1333*$C$362+D1333*$D$362)+(B1333*$B$602+C1333*$C$602+D1333*$D$602))/(1+$B$2)^(107)</f>
        <v/>
      </c>
      <c r="G1333">
        <f>((B1333*$B$842+C1333*$C$842+D1333*$D$842))/(1+$B$3)^(107)</f>
        <v/>
      </c>
    </row>
    <row r="1334">
      <c r="A1334" t="n">
        <v>109</v>
      </c>
      <c r="B1334">
        <f>IF($B$4="life-table",(B1087+B1088)/2,IF($B$4="beginning",B1087,B1088))</f>
        <v/>
      </c>
      <c r="C1334">
        <f>IF($B$4="life-table",(C1087+C1088)/2,IF($B$4="beginning",C1087,C1088))</f>
        <v/>
      </c>
      <c r="D1334">
        <f>IF($B$4="life-table",(D1087+D1088)/2,IF($B$4="beginning",D1087,D1088))</f>
        <v/>
      </c>
      <c r="F1334">
        <f>((B1334*$B$123+C1334*$C$123+D1334*$D$123)+(B1334*$B$363+C1334*$C$363+D1334*$D$363)+(B1334*$B$603+C1334*$C$603+D1334*$D$603))/(1+$B$2)^(108)</f>
        <v/>
      </c>
      <c r="G1334">
        <f>((B1334*$B$843+C1334*$C$843+D1334*$D$843))/(1+$B$3)^(108)</f>
        <v/>
      </c>
    </row>
    <row r="1335">
      <c r="A1335" t="n">
        <v>110</v>
      </c>
      <c r="B1335">
        <f>IF($B$4="life-table",(B1088+B1089)/2,IF($B$4="beginning",B1088,B1089))</f>
        <v/>
      </c>
      <c r="C1335">
        <f>IF($B$4="life-table",(C1088+C1089)/2,IF($B$4="beginning",C1088,C1089))</f>
        <v/>
      </c>
      <c r="D1335">
        <f>IF($B$4="life-table",(D1088+D1089)/2,IF($B$4="beginning",D1088,D1089))</f>
        <v/>
      </c>
      <c r="F1335">
        <f>((B1335*$B$124+C1335*$C$124+D1335*$D$124)+(B1335*$B$364+C1335*$C$364+D1335*$D$364)+(B1335*$B$604+C1335*$C$604+D1335*$D$604))/(1+$B$2)^(109)</f>
        <v/>
      </c>
      <c r="G1335">
        <f>((B1335*$B$844+C1335*$C$844+D1335*$D$844))/(1+$B$3)^(109)</f>
        <v/>
      </c>
    </row>
    <row r="1336">
      <c r="A1336" t="n">
        <v>111</v>
      </c>
      <c r="B1336">
        <f>IF($B$4="life-table",(B1089+B1090)/2,IF($B$4="beginning",B1089,B1090))</f>
        <v/>
      </c>
      <c r="C1336">
        <f>IF($B$4="life-table",(C1089+C1090)/2,IF($B$4="beginning",C1089,C1090))</f>
        <v/>
      </c>
      <c r="D1336">
        <f>IF($B$4="life-table",(D1089+D1090)/2,IF($B$4="beginning",D1089,D1090))</f>
        <v/>
      </c>
      <c r="F1336">
        <f>((B1336*$B$125+C1336*$C$125+D1336*$D$125)+(B1336*$B$365+C1336*$C$365+D1336*$D$365)+(B1336*$B$605+C1336*$C$605+D1336*$D$605))/(1+$B$2)^(110)</f>
        <v/>
      </c>
      <c r="G1336">
        <f>((B1336*$B$845+C1336*$C$845+D1336*$D$845))/(1+$B$3)^(110)</f>
        <v/>
      </c>
    </row>
    <row r="1337">
      <c r="A1337" t="n">
        <v>112</v>
      </c>
      <c r="B1337">
        <f>IF($B$4="life-table",(B1090+B1091)/2,IF($B$4="beginning",B1090,B1091))</f>
        <v/>
      </c>
      <c r="C1337">
        <f>IF($B$4="life-table",(C1090+C1091)/2,IF($B$4="beginning",C1090,C1091))</f>
        <v/>
      </c>
      <c r="D1337">
        <f>IF($B$4="life-table",(D1090+D1091)/2,IF($B$4="beginning",D1090,D1091))</f>
        <v/>
      </c>
      <c r="F1337">
        <f>((B1337*$B$126+C1337*$C$126+D1337*$D$126)+(B1337*$B$366+C1337*$C$366+D1337*$D$366)+(B1337*$B$606+C1337*$C$606+D1337*$D$606))/(1+$B$2)^(111)</f>
        <v/>
      </c>
      <c r="G1337">
        <f>((B1337*$B$846+C1337*$C$846+D1337*$D$846))/(1+$B$3)^(111)</f>
        <v/>
      </c>
    </row>
    <row r="1338">
      <c r="A1338" t="n">
        <v>113</v>
      </c>
      <c r="B1338">
        <f>IF($B$4="life-table",(B1091+B1092)/2,IF($B$4="beginning",B1091,B1092))</f>
        <v/>
      </c>
      <c r="C1338">
        <f>IF($B$4="life-table",(C1091+C1092)/2,IF($B$4="beginning",C1091,C1092))</f>
        <v/>
      </c>
      <c r="D1338">
        <f>IF($B$4="life-table",(D1091+D1092)/2,IF($B$4="beginning",D1091,D1092))</f>
        <v/>
      </c>
      <c r="F1338">
        <f>((B1338*$B$127+C1338*$C$127+D1338*$D$127)+(B1338*$B$367+C1338*$C$367+D1338*$D$367)+(B1338*$B$607+C1338*$C$607+D1338*$D$607))/(1+$B$2)^(112)</f>
        <v/>
      </c>
      <c r="G1338">
        <f>((B1338*$B$847+C1338*$C$847+D1338*$D$847))/(1+$B$3)^(112)</f>
        <v/>
      </c>
    </row>
    <row r="1339">
      <c r="A1339" t="n">
        <v>114</v>
      </c>
      <c r="B1339">
        <f>IF($B$4="life-table",(B1092+B1093)/2,IF($B$4="beginning",B1092,B1093))</f>
        <v/>
      </c>
      <c r="C1339">
        <f>IF($B$4="life-table",(C1092+C1093)/2,IF($B$4="beginning",C1092,C1093))</f>
        <v/>
      </c>
      <c r="D1339">
        <f>IF($B$4="life-table",(D1092+D1093)/2,IF($B$4="beginning",D1092,D1093))</f>
        <v/>
      </c>
      <c r="F1339">
        <f>((B1339*$B$128+C1339*$C$128+D1339*$D$128)+(B1339*$B$368+C1339*$C$368+D1339*$D$368)+(B1339*$B$608+C1339*$C$608+D1339*$D$608))/(1+$B$2)^(113)</f>
        <v/>
      </c>
      <c r="G1339">
        <f>((B1339*$B$848+C1339*$C$848+D1339*$D$848))/(1+$B$3)^(113)</f>
        <v/>
      </c>
    </row>
    <row r="1340">
      <c r="A1340" t="n">
        <v>115</v>
      </c>
      <c r="B1340">
        <f>IF($B$4="life-table",(B1093+B1094)/2,IF($B$4="beginning",B1093,B1094))</f>
        <v/>
      </c>
      <c r="C1340">
        <f>IF($B$4="life-table",(C1093+C1094)/2,IF($B$4="beginning",C1093,C1094))</f>
        <v/>
      </c>
      <c r="D1340">
        <f>IF($B$4="life-table",(D1093+D1094)/2,IF($B$4="beginning",D1093,D1094))</f>
        <v/>
      </c>
      <c r="F1340">
        <f>((B1340*$B$129+C1340*$C$129+D1340*$D$129)+(B1340*$B$369+C1340*$C$369+D1340*$D$369)+(B1340*$B$609+C1340*$C$609+D1340*$D$609))/(1+$B$2)^(114)</f>
        <v/>
      </c>
      <c r="G1340">
        <f>((B1340*$B$849+C1340*$C$849+D1340*$D$849))/(1+$B$3)^(114)</f>
        <v/>
      </c>
    </row>
    <row r="1341">
      <c r="A1341" t="n">
        <v>116</v>
      </c>
      <c r="B1341">
        <f>IF($B$4="life-table",(B1094+B1095)/2,IF($B$4="beginning",B1094,B1095))</f>
        <v/>
      </c>
      <c r="C1341">
        <f>IF($B$4="life-table",(C1094+C1095)/2,IF($B$4="beginning",C1094,C1095))</f>
        <v/>
      </c>
      <c r="D1341">
        <f>IF($B$4="life-table",(D1094+D1095)/2,IF($B$4="beginning",D1094,D1095))</f>
        <v/>
      </c>
      <c r="F1341">
        <f>((B1341*$B$130+C1341*$C$130+D1341*$D$130)+(B1341*$B$370+C1341*$C$370+D1341*$D$370)+(B1341*$B$610+C1341*$C$610+D1341*$D$610))/(1+$B$2)^(115)</f>
        <v/>
      </c>
      <c r="G1341">
        <f>((B1341*$B$850+C1341*$C$850+D1341*$D$850))/(1+$B$3)^(115)</f>
        <v/>
      </c>
    </row>
    <row r="1342">
      <c r="A1342" t="n">
        <v>117</v>
      </c>
      <c r="B1342">
        <f>IF($B$4="life-table",(B1095+B1096)/2,IF($B$4="beginning",B1095,B1096))</f>
        <v/>
      </c>
      <c r="C1342">
        <f>IF($B$4="life-table",(C1095+C1096)/2,IF($B$4="beginning",C1095,C1096))</f>
        <v/>
      </c>
      <c r="D1342">
        <f>IF($B$4="life-table",(D1095+D1096)/2,IF($B$4="beginning",D1095,D1096))</f>
        <v/>
      </c>
      <c r="F1342">
        <f>((B1342*$B$131+C1342*$C$131+D1342*$D$131)+(B1342*$B$371+C1342*$C$371+D1342*$D$371)+(B1342*$B$611+C1342*$C$611+D1342*$D$611))/(1+$B$2)^(116)</f>
        <v/>
      </c>
      <c r="G1342">
        <f>((B1342*$B$851+C1342*$C$851+D1342*$D$851))/(1+$B$3)^(116)</f>
        <v/>
      </c>
    </row>
    <row r="1343">
      <c r="A1343" t="n">
        <v>118</v>
      </c>
      <c r="B1343">
        <f>IF($B$4="life-table",(B1096+B1097)/2,IF($B$4="beginning",B1096,B1097))</f>
        <v/>
      </c>
      <c r="C1343">
        <f>IF($B$4="life-table",(C1096+C1097)/2,IF($B$4="beginning",C1096,C1097))</f>
        <v/>
      </c>
      <c r="D1343">
        <f>IF($B$4="life-table",(D1096+D1097)/2,IF($B$4="beginning",D1096,D1097))</f>
        <v/>
      </c>
      <c r="F1343">
        <f>((B1343*$B$132+C1343*$C$132+D1343*$D$132)+(B1343*$B$372+C1343*$C$372+D1343*$D$372)+(B1343*$B$612+C1343*$C$612+D1343*$D$612))/(1+$B$2)^(117)</f>
        <v/>
      </c>
      <c r="G1343">
        <f>((B1343*$B$852+C1343*$C$852+D1343*$D$852))/(1+$B$3)^(117)</f>
        <v/>
      </c>
    </row>
    <row r="1344">
      <c r="A1344" t="n">
        <v>119</v>
      </c>
      <c r="B1344">
        <f>IF($B$4="life-table",(B1097+B1098)/2,IF($B$4="beginning",B1097,B1098))</f>
        <v/>
      </c>
      <c r="C1344">
        <f>IF($B$4="life-table",(C1097+C1098)/2,IF($B$4="beginning",C1097,C1098))</f>
        <v/>
      </c>
      <c r="D1344">
        <f>IF($B$4="life-table",(D1097+D1098)/2,IF($B$4="beginning",D1097,D1098))</f>
        <v/>
      </c>
      <c r="F1344">
        <f>((B1344*$B$133+C1344*$C$133+D1344*$D$133)+(B1344*$B$373+C1344*$C$373+D1344*$D$373)+(B1344*$B$613+C1344*$C$613+D1344*$D$613))/(1+$B$2)^(118)</f>
        <v/>
      </c>
      <c r="G1344">
        <f>((B1344*$B$853+C1344*$C$853+D1344*$D$853))/(1+$B$3)^(118)</f>
        <v/>
      </c>
    </row>
    <row r="1345">
      <c r="A1345" t="n">
        <v>120</v>
      </c>
      <c r="B1345">
        <f>IF($B$4="life-table",(B1098+B1099)/2,IF($B$4="beginning",B1098,B1099))</f>
        <v/>
      </c>
      <c r="C1345">
        <f>IF($B$4="life-table",(C1098+C1099)/2,IF($B$4="beginning",C1098,C1099))</f>
        <v/>
      </c>
      <c r="D1345">
        <f>IF($B$4="life-table",(D1098+D1099)/2,IF($B$4="beginning",D1098,D1099))</f>
        <v/>
      </c>
      <c r="F1345">
        <f>((B1345*$B$134+C1345*$C$134+D1345*$D$134)+(B1345*$B$374+C1345*$C$374+D1345*$D$374)+(B1345*$B$614+C1345*$C$614+D1345*$D$614))/(1+$B$2)^(119)</f>
        <v/>
      </c>
      <c r="G1345">
        <f>((B1345*$B$854+C1345*$C$854+D1345*$D$854))/(1+$B$3)^(119)</f>
        <v/>
      </c>
    </row>
    <row r="1346">
      <c r="A1346" t="n">
        <v>121</v>
      </c>
      <c r="B1346">
        <f>IF($B$4="life-table",(B1099+B1100)/2,IF($B$4="beginning",B1099,B1100))</f>
        <v/>
      </c>
      <c r="C1346">
        <f>IF($B$4="life-table",(C1099+C1100)/2,IF($B$4="beginning",C1099,C1100))</f>
        <v/>
      </c>
      <c r="D1346">
        <f>IF($B$4="life-table",(D1099+D1100)/2,IF($B$4="beginning",D1099,D1100))</f>
        <v/>
      </c>
      <c r="F1346">
        <f>((B1346*$B$135+C1346*$C$135+D1346*$D$135)+(B1346*$B$375+C1346*$C$375+D1346*$D$375)+(B1346*$B$615+C1346*$C$615+D1346*$D$615))/(1+$B$2)^(120)</f>
        <v/>
      </c>
      <c r="G1346">
        <f>((B1346*$B$855+C1346*$C$855+D1346*$D$855))/(1+$B$3)^(120)</f>
        <v/>
      </c>
    </row>
    <row r="1347">
      <c r="A1347" t="n">
        <v>122</v>
      </c>
      <c r="B1347">
        <f>IF($B$4="life-table",(B1100+B1101)/2,IF($B$4="beginning",B1100,B1101))</f>
        <v/>
      </c>
      <c r="C1347">
        <f>IF($B$4="life-table",(C1100+C1101)/2,IF($B$4="beginning",C1100,C1101))</f>
        <v/>
      </c>
      <c r="D1347">
        <f>IF($B$4="life-table",(D1100+D1101)/2,IF($B$4="beginning",D1100,D1101))</f>
        <v/>
      </c>
      <c r="F1347">
        <f>((B1347*$B$136+C1347*$C$136+D1347*$D$136)+(B1347*$B$376+C1347*$C$376+D1347*$D$376)+(B1347*$B$616+C1347*$C$616+D1347*$D$616))/(1+$B$2)^(121)</f>
        <v/>
      </c>
      <c r="G1347">
        <f>((B1347*$B$856+C1347*$C$856+D1347*$D$856))/(1+$B$3)^(121)</f>
        <v/>
      </c>
    </row>
    <row r="1348">
      <c r="A1348" t="n">
        <v>123</v>
      </c>
      <c r="B1348">
        <f>IF($B$4="life-table",(B1101+B1102)/2,IF($B$4="beginning",B1101,B1102))</f>
        <v/>
      </c>
      <c r="C1348">
        <f>IF($B$4="life-table",(C1101+C1102)/2,IF($B$4="beginning",C1101,C1102))</f>
        <v/>
      </c>
      <c r="D1348">
        <f>IF($B$4="life-table",(D1101+D1102)/2,IF($B$4="beginning",D1101,D1102))</f>
        <v/>
      </c>
      <c r="F1348">
        <f>((B1348*$B$137+C1348*$C$137+D1348*$D$137)+(B1348*$B$377+C1348*$C$377+D1348*$D$377)+(B1348*$B$617+C1348*$C$617+D1348*$D$617))/(1+$B$2)^(122)</f>
        <v/>
      </c>
      <c r="G1348">
        <f>((B1348*$B$857+C1348*$C$857+D1348*$D$857))/(1+$B$3)^(122)</f>
        <v/>
      </c>
    </row>
    <row r="1349">
      <c r="A1349" t="n">
        <v>124</v>
      </c>
      <c r="B1349">
        <f>IF($B$4="life-table",(B1102+B1103)/2,IF($B$4="beginning",B1102,B1103))</f>
        <v/>
      </c>
      <c r="C1349">
        <f>IF($B$4="life-table",(C1102+C1103)/2,IF($B$4="beginning",C1102,C1103))</f>
        <v/>
      </c>
      <c r="D1349">
        <f>IF($B$4="life-table",(D1102+D1103)/2,IF($B$4="beginning",D1102,D1103))</f>
        <v/>
      </c>
      <c r="F1349">
        <f>((B1349*$B$138+C1349*$C$138+D1349*$D$138)+(B1349*$B$378+C1349*$C$378+D1349*$D$378)+(B1349*$B$618+C1349*$C$618+D1349*$D$618))/(1+$B$2)^(123)</f>
        <v/>
      </c>
      <c r="G1349">
        <f>((B1349*$B$858+C1349*$C$858+D1349*$D$858))/(1+$B$3)^(123)</f>
        <v/>
      </c>
    </row>
    <row r="1350">
      <c r="A1350" t="n">
        <v>125</v>
      </c>
      <c r="B1350">
        <f>IF($B$4="life-table",(B1103+B1104)/2,IF($B$4="beginning",B1103,B1104))</f>
        <v/>
      </c>
      <c r="C1350">
        <f>IF($B$4="life-table",(C1103+C1104)/2,IF($B$4="beginning",C1103,C1104))</f>
        <v/>
      </c>
      <c r="D1350">
        <f>IF($B$4="life-table",(D1103+D1104)/2,IF($B$4="beginning",D1103,D1104))</f>
        <v/>
      </c>
      <c r="F1350">
        <f>((B1350*$B$139+C1350*$C$139+D1350*$D$139)+(B1350*$B$379+C1350*$C$379+D1350*$D$379)+(B1350*$B$619+C1350*$C$619+D1350*$D$619))/(1+$B$2)^(124)</f>
        <v/>
      </c>
      <c r="G1350">
        <f>((B1350*$B$859+C1350*$C$859+D1350*$D$859))/(1+$B$3)^(124)</f>
        <v/>
      </c>
    </row>
    <row r="1351">
      <c r="A1351" t="n">
        <v>126</v>
      </c>
      <c r="B1351">
        <f>IF($B$4="life-table",(B1104+B1105)/2,IF($B$4="beginning",B1104,B1105))</f>
        <v/>
      </c>
      <c r="C1351">
        <f>IF($B$4="life-table",(C1104+C1105)/2,IF($B$4="beginning",C1104,C1105))</f>
        <v/>
      </c>
      <c r="D1351">
        <f>IF($B$4="life-table",(D1104+D1105)/2,IF($B$4="beginning",D1104,D1105))</f>
        <v/>
      </c>
      <c r="F1351">
        <f>((B1351*$B$140+C1351*$C$140+D1351*$D$140)+(B1351*$B$380+C1351*$C$380+D1351*$D$380)+(B1351*$B$620+C1351*$C$620+D1351*$D$620))/(1+$B$2)^(125)</f>
        <v/>
      </c>
      <c r="G1351">
        <f>((B1351*$B$860+C1351*$C$860+D1351*$D$860))/(1+$B$3)^(125)</f>
        <v/>
      </c>
    </row>
    <row r="1352">
      <c r="A1352" t="n">
        <v>127</v>
      </c>
      <c r="B1352">
        <f>IF($B$4="life-table",(B1105+B1106)/2,IF($B$4="beginning",B1105,B1106))</f>
        <v/>
      </c>
      <c r="C1352">
        <f>IF($B$4="life-table",(C1105+C1106)/2,IF($B$4="beginning",C1105,C1106))</f>
        <v/>
      </c>
      <c r="D1352">
        <f>IF($B$4="life-table",(D1105+D1106)/2,IF($B$4="beginning",D1105,D1106))</f>
        <v/>
      </c>
      <c r="F1352">
        <f>((B1352*$B$141+C1352*$C$141+D1352*$D$141)+(B1352*$B$381+C1352*$C$381+D1352*$D$381)+(B1352*$B$621+C1352*$C$621+D1352*$D$621))/(1+$B$2)^(126)</f>
        <v/>
      </c>
      <c r="G1352">
        <f>((B1352*$B$861+C1352*$C$861+D1352*$D$861))/(1+$B$3)^(126)</f>
        <v/>
      </c>
    </row>
    <row r="1353">
      <c r="A1353" t="n">
        <v>128</v>
      </c>
      <c r="B1353">
        <f>IF($B$4="life-table",(B1106+B1107)/2,IF($B$4="beginning",B1106,B1107))</f>
        <v/>
      </c>
      <c r="C1353">
        <f>IF($B$4="life-table",(C1106+C1107)/2,IF($B$4="beginning",C1106,C1107))</f>
        <v/>
      </c>
      <c r="D1353">
        <f>IF($B$4="life-table",(D1106+D1107)/2,IF($B$4="beginning",D1106,D1107))</f>
        <v/>
      </c>
      <c r="F1353">
        <f>((B1353*$B$142+C1353*$C$142+D1353*$D$142)+(B1353*$B$382+C1353*$C$382+D1353*$D$382)+(B1353*$B$622+C1353*$C$622+D1353*$D$622))/(1+$B$2)^(127)</f>
        <v/>
      </c>
      <c r="G1353">
        <f>((B1353*$B$862+C1353*$C$862+D1353*$D$862))/(1+$B$3)^(127)</f>
        <v/>
      </c>
    </row>
    <row r="1354">
      <c r="A1354" t="n">
        <v>129</v>
      </c>
      <c r="B1354">
        <f>IF($B$4="life-table",(B1107+B1108)/2,IF($B$4="beginning",B1107,B1108))</f>
        <v/>
      </c>
      <c r="C1354">
        <f>IF($B$4="life-table",(C1107+C1108)/2,IF($B$4="beginning",C1107,C1108))</f>
        <v/>
      </c>
      <c r="D1354">
        <f>IF($B$4="life-table",(D1107+D1108)/2,IF($B$4="beginning",D1107,D1108))</f>
        <v/>
      </c>
      <c r="F1354">
        <f>((B1354*$B$143+C1354*$C$143+D1354*$D$143)+(B1354*$B$383+C1354*$C$383+D1354*$D$383)+(B1354*$B$623+C1354*$C$623+D1354*$D$623))/(1+$B$2)^(128)</f>
        <v/>
      </c>
      <c r="G1354">
        <f>((B1354*$B$863+C1354*$C$863+D1354*$D$863))/(1+$B$3)^(128)</f>
        <v/>
      </c>
    </row>
    <row r="1355">
      <c r="A1355" t="n">
        <v>130</v>
      </c>
      <c r="B1355">
        <f>IF($B$4="life-table",(B1108+B1109)/2,IF($B$4="beginning",B1108,B1109))</f>
        <v/>
      </c>
      <c r="C1355">
        <f>IF($B$4="life-table",(C1108+C1109)/2,IF($B$4="beginning",C1108,C1109))</f>
        <v/>
      </c>
      <c r="D1355">
        <f>IF($B$4="life-table",(D1108+D1109)/2,IF($B$4="beginning",D1108,D1109))</f>
        <v/>
      </c>
      <c r="F1355">
        <f>((B1355*$B$144+C1355*$C$144+D1355*$D$144)+(B1355*$B$384+C1355*$C$384+D1355*$D$384)+(B1355*$B$624+C1355*$C$624+D1355*$D$624))/(1+$B$2)^(129)</f>
        <v/>
      </c>
      <c r="G1355">
        <f>((B1355*$B$864+C1355*$C$864+D1355*$D$864))/(1+$B$3)^(129)</f>
        <v/>
      </c>
    </row>
    <row r="1356">
      <c r="A1356" t="n">
        <v>131</v>
      </c>
      <c r="B1356">
        <f>IF($B$4="life-table",(B1109+B1110)/2,IF($B$4="beginning",B1109,B1110))</f>
        <v/>
      </c>
      <c r="C1356">
        <f>IF($B$4="life-table",(C1109+C1110)/2,IF($B$4="beginning",C1109,C1110))</f>
        <v/>
      </c>
      <c r="D1356">
        <f>IF($B$4="life-table",(D1109+D1110)/2,IF($B$4="beginning",D1109,D1110))</f>
        <v/>
      </c>
      <c r="F1356">
        <f>((B1356*$B$145+C1356*$C$145+D1356*$D$145)+(B1356*$B$385+C1356*$C$385+D1356*$D$385)+(B1356*$B$625+C1356*$C$625+D1356*$D$625))/(1+$B$2)^(130)</f>
        <v/>
      </c>
      <c r="G1356">
        <f>((B1356*$B$865+C1356*$C$865+D1356*$D$865))/(1+$B$3)^(130)</f>
        <v/>
      </c>
    </row>
    <row r="1357">
      <c r="A1357" t="n">
        <v>132</v>
      </c>
      <c r="B1357">
        <f>IF($B$4="life-table",(B1110+B1111)/2,IF($B$4="beginning",B1110,B1111))</f>
        <v/>
      </c>
      <c r="C1357">
        <f>IF($B$4="life-table",(C1110+C1111)/2,IF($B$4="beginning",C1110,C1111))</f>
        <v/>
      </c>
      <c r="D1357">
        <f>IF($B$4="life-table",(D1110+D1111)/2,IF($B$4="beginning",D1110,D1111))</f>
        <v/>
      </c>
      <c r="F1357">
        <f>((B1357*$B$146+C1357*$C$146+D1357*$D$146)+(B1357*$B$386+C1357*$C$386+D1357*$D$386)+(B1357*$B$626+C1357*$C$626+D1357*$D$626))/(1+$B$2)^(131)</f>
        <v/>
      </c>
      <c r="G1357">
        <f>((B1357*$B$866+C1357*$C$866+D1357*$D$866))/(1+$B$3)^(131)</f>
        <v/>
      </c>
    </row>
    <row r="1358">
      <c r="A1358" t="n">
        <v>133</v>
      </c>
      <c r="B1358">
        <f>IF($B$4="life-table",(B1111+B1112)/2,IF($B$4="beginning",B1111,B1112))</f>
        <v/>
      </c>
      <c r="C1358">
        <f>IF($B$4="life-table",(C1111+C1112)/2,IF($B$4="beginning",C1111,C1112))</f>
        <v/>
      </c>
      <c r="D1358">
        <f>IF($B$4="life-table",(D1111+D1112)/2,IF($B$4="beginning",D1111,D1112))</f>
        <v/>
      </c>
      <c r="F1358">
        <f>((B1358*$B$147+C1358*$C$147+D1358*$D$147)+(B1358*$B$387+C1358*$C$387+D1358*$D$387)+(B1358*$B$627+C1358*$C$627+D1358*$D$627))/(1+$B$2)^(132)</f>
        <v/>
      </c>
      <c r="G1358">
        <f>((B1358*$B$867+C1358*$C$867+D1358*$D$867))/(1+$B$3)^(132)</f>
        <v/>
      </c>
    </row>
    <row r="1359">
      <c r="A1359" t="n">
        <v>134</v>
      </c>
      <c r="B1359">
        <f>IF($B$4="life-table",(B1112+B1113)/2,IF($B$4="beginning",B1112,B1113))</f>
        <v/>
      </c>
      <c r="C1359">
        <f>IF($B$4="life-table",(C1112+C1113)/2,IF($B$4="beginning",C1112,C1113))</f>
        <v/>
      </c>
      <c r="D1359">
        <f>IF($B$4="life-table",(D1112+D1113)/2,IF($B$4="beginning",D1112,D1113))</f>
        <v/>
      </c>
      <c r="F1359">
        <f>((B1359*$B$148+C1359*$C$148+D1359*$D$148)+(B1359*$B$388+C1359*$C$388+D1359*$D$388)+(B1359*$B$628+C1359*$C$628+D1359*$D$628))/(1+$B$2)^(133)</f>
        <v/>
      </c>
      <c r="G1359">
        <f>((B1359*$B$868+C1359*$C$868+D1359*$D$868))/(1+$B$3)^(133)</f>
        <v/>
      </c>
    </row>
    <row r="1360">
      <c r="A1360" t="n">
        <v>135</v>
      </c>
      <c r="B1360">
        <f>IF($B$4="life-table",(B1113+B1114)/2,IF($B$4="beginning",B1113,B1114))</f>
        <v/>
      </c>
      <c r="C1360">
        <f>IF($B$4="life-table",(C1113+C1114)/2,IF($B$4="beginning",C1113,C1114))</f>
        <v/>
      </c>
      <c r="D1360">
        <f>IF($B$4="life-table",(D1113+D1114)/2,IF($B$4="beginning",D1113,D1114))</f>
        <v/>
      </c>
      <c r="F1360">
        <f>((B1360*$B$149+C1360*$C$149+D1360*$D$149)+(B1360*$B$389+C1360*$C$389+D1360*$D$389)+(B1360*$B$629+C1360*$C$629+D1360*$D$629))/(1+$B$2)^(134)</f>
        <v/>
      </c>
      <c r="G1360">
        <f>((B1360*$B$869+C1360*$C$869+D1360*$D$869))/(1+$B$3)^(134)</f>
        <v/>
      </c>
    </row>
    <row r="1361">
      <c r="A1361" t="n">
        <v>136</v>
      </c>
      <c r="B1361">
        <f>IF($B$4="life-table",(B1114+B1115)/2,IF($B$4="beginning",B1114,B1115))</f>
        <v/>
      </c>
      <c r="C1361">
        <f>IF($B$4="life-table",(C1114+C1115)/2,IF($B$4="beginning",C1114,C1115))</f>
        <v/>
      </c>
      <c r="D1361">
        <f>IF($B$4="life-table",(D1114+D1115)/2,IF($B$4="beginning",D1114,D1115))</f>
        <v/>
      </c>
      <c r="F1361">
        <f>((B1361*$B$150+C1361*$C$150+D1361*$D$150)+(B1361*$B$390+C1361*$C$390+D1361*$D$390)+(B1361*$B$630+C1361*$C$630+D1361*$D$630))/(1+$B$2)^(135)</f>
        <v/>
      </c>
      <c r="G1361">
        <f>((B1361*$B$870+C1361*$C$870+D1361*$D$870))/(1+$B$3)^(135)</f>
        <v/>
      </c>
    </row>
    <row r="1362">
      <c r="A1362" t="n">
        <v>137</v>
      </c>
      <c r="B1362">
        <f>IF($B$4="life-table",(B1115+B1116)/2,IF($B$4="beginning",B1115,B1116))</f>
        <v/>
      </c>
      <c r="C1362">
        <f>IF($B$4="life-table",(C1115+C1116)/2,IF($B$4="beginning",C1115,C1116))</f>
        <v/>
      </c>
      <c r="D1362">
        <f>IF($B$4="life-table",(D1115+D1116)/2,IF($B$4="beginning",D1115,D1116))</f>
        <v/>
      </c>
      <c r="F1362">
        <f>((B1362*$B$151+C1362*$C$151+D1362*$D$151)+(B1362*$B$391+C1362*$C$391+D1362*$D$391)+(B1362*$B$631+C1362*$C$631+D1362*$D$631))/(1+$B$2)^(136)</f>
        <v/>
      </c>
      <c r="G1362">
        <f>((B1362*$B$871+C1362*$C$871+D1362*$D$871))/(1+$B$3)^(136)</f>
        <v/>
      </c>
    </row>
    <row r="1363">
      <c r="A1363" t="n">
        <v>138</v>
      </c>
      <c r="B1363">
        <f>IF($B$4="life-table",(B1116+B1117)/2,IF($B$4="beginning",B1116,B1117))</f>
        <v/>
      </c>
      <c r="C1363">
        <f>IF($B$4="life-table",(C1116+C1117)/2,IF($B$4="beginning",C1116,C1117))</f>
        <v/>
      </c>
      <c r="D1363">
        <f>IF($B$4="life-table",(D1116+D1117)/2,IF($B$4="beginning",D1116,D1117))</f>
        <v/>
      </c>
      <c r="F1363">
        <f>((B1363*$B$152+C1363*$C$152+D1363*$D$152)+(B1363*$B$392+C1363*$C$392+D1363*$D$392)+(B1363*$B$632+C1363*$C$632+D1363*$D$632))/(1+$B$2)^(137)</f>
        <v/>
      </c>
      <c r="G1363">
        <f>((B1363*$B$872+C1363*$C$872+D1363*$D$872))/(1+$B$3)^(137)</f>
        <v/>
      </c>
    </row>
    <row r="1364">
      <c r="A1364" t="n">
        <v>139</v>
      </c>
      <c r="B1364">
        <f>IF($B$4="life-table",(B1117+B1118)/2,IF($B$4="beginning",B1117,B1118))</f>
        <v/>
      </c>
      <c r="C1364">
        <f>IF($B$4="life-table",(C1117+C1118)/2,IF($B$4="beginning",C1117,C1118))</f>
        <v/>
      </c>
      <c r="D1364">
        <f>IF($B$4="life-table",(D1117+D1118)/2,IF($B$4="beginning",D1117,D1118))</f>
        <v/>
      </c>
      <c r="F1364">
        <f>((B1364*$B$153+C1364*$C$153+D1364*$D$153)+(B1364*$B$393+C1364*$C$393+D1364*$D$393)+(B1364*$B$633+C1364*$C$633+D1364*$D$633))/(1+$B$2)^(138)</f>
        <v/>
      </c>
      <c r="G1364">
        <f>((B1364*$B$873+C1364*$C$873+D1364*$D$873))/(1+$B$3)^(138)</f>
        <v/>
      </c>
    </row>
    <row r="1365">
      <c r="A1365" t="n">
        <v>140</v>
      </c>
      <c r="B1365">
        <f>IF($B$4="life-table",(B1118+B1119)/2,IF($B$4="beginning",B1118,B1119))</f>
        <v/>
      </c>
      <c r="C1365">
        <f>IF($B$4="life-table",(C1118+C1119)/2,IF($B$4="beginning",C1118,C1119))</f>
        <v/>
      </c>
      <c r="D1365">
        <f>IF($B$4="life-table",(D1118+D1119)/2,IF($B$4="beginning",D1118,D1119))</f>
        <v/>
      </c>
      <c r="F1365">
        <f>((B1365*$B$154+C1365*$C$154+D1365*$D$154)+(B1365*$B$394+C1365*$C$394+D1365*$D$394)+(B1365*$B$634+C1365*$C$634+D1365*$D$634))/(1+$B$2)^(139)</f>
        <v/>
      </c>
      <c r="G1365">
        <f>((B1365*$B$874+C1365*$C$874+D1365*$D$874))/(1+$B$3)^(139)</f>
        <v/>
      </c>
    </row>
    <row r="1366">
      <c r="A1366" t="n">
        <v>141</v>
      </c>
      <c r="B1366">
        <f>IF($B$4="life-table",(B1119+B1120)/2,IF($B$4="beginning",B1119,B1120))</f>
        <v/>
      </c>
      <c r="C1366">
        <f>IF($B$4="life-table",(C1119+C1120)/2,IF($B$4="beginning",C1119,C1120))</f>
        <v/>
      </c>
      <c r="D1366">
        <f>IF($B$4="life-table",(D1119+D1120)/2,IF($B$4="beginning",D1119,D1120))</f>
        <v/>
      </c>
      <c r="F1366">
        <f>((B1366*$B$155+C1366*$C$155+D1366*$D$155)+(B1366*$B$395+C1366*$C$395+D1366*$D$395)+(B1366*$B$635+C1366*$C$635+D1366*$D$635))/(1+$B$2)^(140)</f>
        <v/>
      </c>
      <c r="G1366">
        <f>((B1366*$B$875+C1366*$C$875+D1366*$D$875))/(1+$B$3)^(140)</f>
        <v/>
      </c>
    </row>
    <row r="1367">
      <c r="A1367" t="n">
        <v>142</v>
      </c>
      <c r="B1367">
        <f>IF($B$4="life-table",(B1120+B1121)/2,IF($B$4="beginning",B1120,B1121))</f>
        <v/>
      </c>
      <c r="C1367">
        <f>IF($B$4="life-table",(C1120+C1121)/2,IF($B$4="beginning",C1120,C1121))</f>
        <v/>
      </c>
      <c r="D1367">
        <f>IF($B$4="life-table",(D1120+D1121)/2,IF($B$4="beginning",D1120,D1121))</f>
        <v/>
      </c>
      <c r="F1367">
        <f>((B1367*$B$156+C1367*$C$156+D1367*$D$156)+(B1367*$B$396+C1367*$C$396+D1367*$D$396)+(B1367*$B$636+C1367*$C$636+D1367*$D$636))/(1+$B$2)^(141)</f>
        <v/>
      </c>
      <c r="G1367">
        <f>((B1367*$B$876+C1367*$C$876+D1367*$D$876))/(1+$B$3)^(141)</f>
        <v/>
      </c>
    </row>
    <row r="1368">
      <c r="A1368" t="n">
        <v>143</v>
      </c>
      <c r="B1368">
        <f>IF($B$4="life-table",(B1121+B1122)/2,IF($B$4="beginning",B1121,B1122))</f>
        <v/>
      </c>
      <c r="C1368">
        <f>IF($B$4="life-table",(C1121+C1122)/2,IF($B$4="beginning",C1121,C1122))</f>
        <v/>
      </c>
      <c r="D1368">
        <f>IF($B$4="life-table",(D1121+D1122)/2,IF($B$4="beginning",D1121,D1122))</f>
        <v/>
      </c>
      <c r="F1368">
        <f>((B1368*$B$157+C1368*$C$157+D1368*$D$157)+(B1368*$B$397+C1368*$C$397+D1368*$D$397)+(B1368*$B$637+C1368*$C$637+D1368*$D$637))/(1+$B$2)^(142)</f>
        <v/>
      </c>
      <c r="G1368">
        <f>((B1368*$B$877+C1368*$C$877+D1368*$D$877))/(1+$B$3)^(142)</f>
        <v/>
      </c>
    </row>
    <row r="1369">
      <c r="A1369" t="n">
        <v>144</v>
      </c>
      <c r="B1369">
        <f>IF($B$4="life-table",(B1122+B1123)/2,IF($B$4="beginning",B1122,B1123))</f>
        <v/>
      </c>
      <c r="C1369">
        <f>IF($B$4="life-table",(C1122+C1123)/2,IF($B$4="beginning",C1122,C1123))</f>
        <v/>
      </c>
      <c r="D1369">
        <f>IF($B$4="life-table",(D1122+D1123)/2,IF($B$4="beginning",D1122,D1123))</f>
        <v/>
      </c>
      <c r="F1369">
        <f>((B1369*$B$158+C1369*$C$158+D1369*$D$158)+(B1369*$B$398+C1369*$C$398+D1369*$D$398)+(B1369*$B$638+C1369*$C$638+D1369*$D$638))/(1+$B$2)^(143)</f>
        <v/>
      </c>
      <c r="G1369">
        <f>((B1369*$B$878+C1369*$C$878+D1369*$D$878))/(1+$B$3)^(143)</f>
        <v/>
      </c>
    </row>
    <row r="1370">
      <c r="A1370" t="n">
        <v>145</v>
      </c>
      <c r="B1370">
        <f>IF($B$4="life-table",(B1123+B1124)/2,IF($B$4="beginning",B1123,B1124))</f>
        <v/>
      </c>
      <c r="C1370">
        <f>IF($B$4="life-table",(C1123+C1124)/2,IF($B$4="beginning",C1123,C1124))</f>
        <v/>
      </c>
      <c r="D1370">
        <f>IF($B$4="life-table",(D1123+D1124)/2,IF($B$4="beginning",D1123,D1124))</f>
        <v/>
      </c>
      <c r="F1370">
        <f>((B1370*$B$159+C1370*$C$159+D1370*$D$159)+(B1370*$B$399+C1370*$C$399+D1370*$D$399)+(B1370*$B$639+C1370*$C$639+D1370*$D$639))/(1+$B$2)^(144)</f>
        <v/>
      </c>
      <c r="G1370">
        <f>((B1370*$B$879+C1370*$C$879+D1370*$D$879))/(1+$B$3)^(144)</f>
        <v/>
      </c>
    </row>
    <row r="1371">
      <c r="A1371" t="n">
        <v>146</v>
      </c>
      <c r="B1371">
        <f>IF($B$4="life-table",(B1124+B1125)/2,IF($B$4="beginning",B1124,B1125))</f>
        <v/>
      </c>
      <c r="C1371">
        <f>IF($B$4="life-table",(C1124+C1125)/2,IF($B$4="beginning",C1124,C1125))</f>
        <v/>
      </c>
      <c r="D1371">
        <f>IF($B$4="life-table",(D1124+D1125)/2,IF($B$4="beginning",D1124,D1125))</f>
        <v/>
      </c>
      <c r="F1371">
        <f>((B1371*$B$160+C1371*$C$160+D1371*$D$160)+(B1371*$B$400+C1371*$C$400+D1371*$D$400)+(B1371*$B$640+C1371*$C$640+D1371*$D$640))/(1+$B$2)^(145)</f>
        <v/>
      </c>
      <c r="G1371">
        <f>((B1371*$B$880+C1371*$C$880+D1371*$D$880))/(1+$B$3)^(145)</f>
        <v/>
      </c>
    </row>
    <row r="1372">
      <c r="A1372" t="n">
        <v>147</v>
      </c>
      <c r="B1372">
        <f>IF($B$4="life-table",(B1125+B1126)/2,IF($B$4="beginning",B1125,B1126))</f>
        <v/>
      </c>
      <c r="C1372">
        <f>IF($B$4="life-table",(C1125+C1126)/2,IF($B$4="beginning",C1125,C1126))</f>
        <v/>
      </c>
      <c r="D1372">
        <f>IF($B$4="life-table",(D1125+D1126)/2,IF($B$4="beginning",D1125,D1126))</f>
        <v/>
      </c>
      <c r="F1372">
        <f>((B1372*$B$161+C1372*$C$161+D1372*$D$161)+(B1372*$B$401+C1372*$C$401+D1372*$D$401)+(B1372*$B$641+C1372*$C$641+D1372*$D$641))/(1+$B$2)^(146)</f>
        <v/>
      </c>
      <c r="G1372">
        <f>((B1372*$B$881+C1372*$C$881+D1372*$D$881))/(1+$B$3)^(146)</f>
        <v/>
      </c>
    </row>
    <row r="1373">
      <c r="A1373" t="n">
        <v>148</v>
      </c>
      <c r="B1373">
        <f>IF($B$4="life-table",(B1126+B1127)/2,IF($B$4="beginning",B1126,B1127))</f>
        <v/>
      </c>
      <c r="C1373">
        <f>IF($B$4="life-table",(C1126+C1127)/2,IF($B$4="beginning",C1126,C1127))</f>
        <v/>
      </c>
      <c r="D1373">
        <f>IF($B$4="life-table",(D1126+D1127)/2,IF($B$4="beginning",D1126,D1127))</f>
        <v/>
      </c>
      <c r="F1373">
        <f>((B1373*$B$162+C1373*$C$162+D1373*$D$162)+(B1373*$B$402+C1373*$C$402+D1373*$D$402)+(B1373*$B$642+C1373*$C$642+D1373*$D$642))/(1+$B$2)^(147)</f>
        <v/>
      </c>
      <c r="G1373">
        <f>((B1373*$B$882+C1373*$C$882+D1373*$D$882))/(1+$B$3)^(147)</f>
        <v/>
      </c>
    </row>
    <row r="1374">
      <c r="A1374" t="n">
        <v>149</v>
      </c>
      <c r="B1374">
        <f>IF($B$4="life-table",(B1127+B1128)/2,IF($B$4="beginning",B1127,B1128))</f>
        <v/>
      </c>
      <c r="C1374">
        <f>IF($B$4="life-table",(C1127+C1128)/2,IF($B$4="beginning",C1127,C1128))</f>
        <v/>
      </c>
      <c r="D1374">
        <f>IF($B$4="life-table",(D1127+D1128)/2,IF($B$4="beginning",D1127,D1128))</f>
        <v/>
      </c>
      <c r="F1374">
        <f>((B1374*$B$163+C1374*$C$163+D1374*$D$163)+(B1374*$B$403+C1374*$C$403+D1374*$D$403)+(B1374*$B$643+C1374*$C$643+D1374*$D$643))/(1+$B$2)^(148)</f>
        <v/>
      </c>
      <c r="G1374">
        <f>((B1374*$B$883+C1374*$C$883+D1374*$D$883))/(1+$B$3)^(148)</f>
        <v/>
      </c>
    </row>
    <row r="1375">
      <c r="A1375" t="n">
        <v>150</v>
      </c>
      <c r="B1375">
        <f>IF($B$4="life-table",(B1128+B1129)/2,IF($B$4="beginning",B1128,B1129))</f>
        <v/>
      </c>
      <c r="C1375">
        <f>IF($B$4="life-table",(C1128+C1129)/2,IF($B$4="beginning",C1128,C1129))</f>
        <v/>
      </c>
      <c r="D1375">
        <f>IF($B$4="life-table",(D1128+D1129)/2,IF($B$4="beginning",D1128,D1129))</f>
        <v/>
      </c>
      <c r="F1375">
        <f>((B1375*$B$164+C1375*$C$164+D1375*$D$164)+(B1375*$B$404+C1375*$C$404+D1375*$D$404)+(B1375*$B$644+C1375*$C$644+D1375*$D$644))/(1+$B$2)^(149)</f>
        <v/>
      </c>
      <c r="G1375">
        <f>((B1375*$B$884+C1375*$C$884+D1375*$D$884))/(1+$B$3)^(149)</f>
        <v/>
      </c>
    </row>
    <row r="1376">
      <c r="A1376" t="n">
        <v>151</v>
      </c>
      <c r="B1376">
        <f>IF($B$4="life-table",(B1129+B1130)/2,IF($B$4="beginning",B1129,B1130))</f>
        <v/>
      </c>
      <c r="C1376">
        <f>IF($B$4="life-table",(C1129+C1130)/2,IF($B$4="beginning",C1129,C1130))</f>
        <v/>
      </c>
      <c r="D1376">
        <f>IF($B$4="life-table",(D1129+D1130)/2,IF($B$4="beginning",D1129,D1130))</f>
        <v/>
      </c>
      <c r="F1376">
        <f>((B1376*$B$165+C1376*$C$165+D1376*$D$165)+(B1376*$B$405+C1376*$C$405+D1376*$D$405)+(B1376*$B$645+C1376*$C$645+D1376*$D$645))/(1+$B$2)^(150)</f>
        <v/>
      </c>
      <c r="G1376">
        <f>((B1376*$B$885+C1376*$C$885+D1376*$D$885))/(1+$B$3)^(150)</f>
        <v/>
      </c>
    </row>
    <row r="1377">
      <c r="A1377" t="n">
        <v>152</v>
      </c>
      <c r="B1377">
        <f>IF($B$4="life-table",(B1130+B1131)/2,IF($B$4="beginning",B1130,B1131))</f>
        <v/>
      </c>
      <c r="C1377">
        <f>IF($B$4="life-table",(C1130+C1131)/2,IF($B$4="beginning",C1130,C1131))</f>
        <v/>
      </c>
      <c r="D1377">
        <f>IF($B$4="life-table",(D1130+D1131)/2,IF($B$4="beginning",D1130,D1131))</f>
        <v/>
      </c>
      <c r="F1377">
        <f>((B1377*$B$166+C1377*$C$166+D1377*$D$166)+(B1377*$B$406+C1377*$C$406+D1377*$D$406)+(B1377*$B$646+C1377*$C$646+D1377*$D$646))/(1+$B$2)^(151)</f>
        <v/>
      </c>
      <c r="G1377">
        <f>((B1377*$B$886+C1377*$C$886+D1377*$D$886))/(1+$B$3)^(151)</f>
        <v/>
      </c>
    </row>
    <row r="1378">
      <c r="A1378" t="n">
        <v>153</v>
      </c>
      <c r="B1378">
        <f>IF($B$4="life-table",(B1131+B1132)/2,IF($B$4="beginning",B1131,B1132))</f>
        <v/>
      </c>
      <c r="C1378">
        <f>IF($B$4="life-table",(C1131+C1132)/2,IF($B$4="beginning",C1131,C1132))</f>
        <v/>
      </c>
      <c r="D1378">
        <f>IF($B$4="life-table",(D1131+D1132)/2,IF($B$4="beginning",D1131,D1132))</f>
        <v/>
      </c>
      <c r="F1378">
        <f>((B1378*$B$167+C1378*$C$167+D1378*$D$167)+(B1378*$B$407+C1378*$C$407+D1378*$D$407)+(B1378*$B$647+C1378*$C$647+D1378*$D$647))/(1+$B$2)^(152)</f>
        <v/>
      </c>
      <c r="G1378">
        <f>((B1378*$B$887+C1378*$C$887+D1378*$D$887))/(1+$B$3)^(152)</f>
        <v/>
      </c>
    </row>
    <row r="1379">
      <c r="A1379" t="n">
        <v>154</v>
      </c>
      <c r="B1379">
        <f>IF($B$4="life-table",(B1132+B1133)/2,IF($B$4="beginning",B1132,B1133))</f>
        <v/>
      </c>
      <c r="C1379">
        <f>IF($B$4="life-table",(C1132+C1133)/2,IF($B$4="beginning",C1132,C1133))</f>
        <v/>
      </c>
      <c r="D1379">
        <f>IF($B$4="life-table",(D1132+D1133)/2,IF($B$4="beginning",D1132,D1133))</f>
        <v/>
      </c>
      <c r="F1379">
        <f>((B1379*$B$168+C1379*$C$168+D1379*$D$168)+(B1379*$B$408+C1379*$C$408+D1379*$D$408)+(B1379*$B$648+C1379*$C$648+D1379*$D$648))/(1+$B$2)^(153)</f>
        <v/>
      </c>
      <c r="G1379">
        <f>((B1379*$B$888+C1379*$C$888+D1379*$D$888))/(1+$B$3)^(153)</f>
        <v/>
      </c>
    </row>
    <row r="1380">
      <c r="A1380" t="n">
        <v>155</v>
      </c>
      <c r="B1380">
        <f>IF($B$4="life-table",(B1133+B1134)/2,IF($B$4="beginning",B1133,B1134))</f>
        <v/>
      </c>
      <c r="C1380">
        <f>IF($B$4="life-table",(C1133+C1134)/2,IF($B$4="beginning",C1133,C1134))</f>
        <v/>
      </c>
      <c r="D1380">
        <f>IF($B$4="life-table",(D1133+D1134)/2,IF($B$4="beginning",D1133,D1134))</f>
        <v/>
      </c>
      <c r="F1380">
        <f>((B1380*$B$169+C1380*$C$169+D1380*$D$169)+(B1380*$B$409+C1380*$C$409+D1380*$D$409)+(B1380*$B$649+C1380*$C$649+D1380*$D$649))/(1+$B$2)^(154)</f>
        <v/>
      </c>
      <c r="G1380">
        <f>((B1380*$B$889+C1380*$C$889+D1380*$D$889))/(1+$B$3)^(154)</f>
        <v/>
      </c>
    </row>
    <row r="1381">
      <c r="A1381" t="n">
        <v>156</v>
      </c>
      <c r="B1381">
        <f>IF($B$4="life-table",(B1134+B1135)/2,IF($B$4="beginning",B1134,B1135))</f>
        <v/>
      </c>
      <c r="C1381">
        <f>IF($B$4="life-table",(C1134+C1135)/2,IF($B$4="beginning",C1134,C1135))</f>
        <v/>
      </c>
      <c r="D1381">
        <f>IF($B$4="life-table",(D1134+D1135)/2,IF($B$4="beginning",D1134,D1135))</f>
        <v/>
      </c>
      <c r="F1381">
        <f>((B1381*$B$170+C1381*$C$170+D1381*$D$170)+(B1381*$B$410+C1381*$C$410+D1381*$D$410)+(B1381*$B$650+C1381*$C$650+D1381*$D$650))/(1+$B$2)^(155)</f>
        <v/>
      </c>
      <c r="G1381">
        <f>((B1381*$B$890+C1381*$C$890+D1381*$D$890))/(1+$B$3)^(155)</f>
        <v/>
      </c>
    </row>
    <row r="1382">
      <c r="A1382" t="n">
        <v>157</v>
      </c>
      <c r="B1382">
        <f>IF($B$4="life-table",(B1135+B1136)/2,IF($B$4="beginning",B1135,B1136))</f>
        <v/>
      </c>
      <c r="C1382">
        <f>IF($B$4="life-table",(C1135+C1136)/2,IF($B$4="beginning",C1135,C1136))</f>
        <v/>
      </c>
      <c r="D1382">
        <f>IF($B$4="life-table",(D1135+D1136)/2,IF($B$4="beginning",D1135,D1136))</f>
        <v/>
      </c>
      <c r="F1382">
        <f>((B1382*$B$171+C1382*$C$171+D1382*$D$171)+(B1382*$B$411+C1382*$C$411+D1382*$D$411)+(B1382*$B$651+C1382*$C$651+D1382*$D$651))/(1+$B$2)^(156)</f>
        <v/>
      </c>
      <c r="G1382">
        <f>((B1382*$B$891+C1382*$C$891+D1382*$D$891))/(1+$B$3)^(156)</f>
        <v/>
      </c>
    </row>
    <row r="1383">
      <c r="A1383" t="n">
        <v>158</v>
      </c>
      <c r="B1383">
        <f>IF($B$4="life-table",(B1136+B1137)/2,IF($B$4="beginning",B1136,B1137))</f>
        <v/>
      </c>
      <c r="C1383">
        <f>IF($B$4="life-table",(C1136+C1137)/2,IF($B$4="beginning",C1136,C1137))</f>
        <v/>
      </c>
      <c r="D1383">
        <f>IF($B$4="life-table",(D1136+D1137)/2,IF($B$4="beginning",D1136,D1137))</f>
        <v/>
      </c>
      <c r="F1383">
        <f>((B1383*$B$172+C1383*$C$172+D1383*$D$172)+(B1383*$B$412+C1383*$C$412+D1383*$D$412)+(B1383*$B$652+C1383*$C$652+D1383*$D$652))/(1+$B$2)^(157)</f>
        <v/>
      </c>
      <c r="G1383">
        <f>((B1383*$B$892+C1383*$C$892+D1383*$D$892))/(1+$B$3)^(157)</f>
        <v/>
      </c>
    </row>
    <row r="1384">
      <c r="A1384" t="n">
        <v>159</v>
      </c>
      <c r="B1384">
        <f>IF($B$4="life-table",(B1137+B1138)/2,IF($B$4="beginning",B1137,B1138))</f>
        <v/>
      </c>
      <c r="C1384">
        <f>IF($B$4="life-table",(C1137+C1138)/2,IF($B$4="beginning",C1137,C1138))</f>
        <v/>
      </c>
      <c r="D1384">
        <f>IF($B$4="life-table",(D1137+D1138)/2,IF($B$4="beginning",D1137,D1138))</f>
        <v/>
      </c>
      <c r="F1384">
        <f>((B1384*$B$173+C1384*$C$173+D1384*$D$173)+(B1384*$B$413+C1384*$C$413+D1384*$D$413)+(B1384*$B$653+C1384*$C$653+D1384*$D$653))/(1+$B$2)^(158)</f>
        <v/>
      </c>
      <c r="G1384">
        <f>((B1384*$B$893+C1384*$C$893+D1384*$D$893))/(1+$B$3)^(158)</f>
        <v/>
      </c>
    </row>
    <row r="1385">
      <c r="A1385" t="n">
        <v>160</v>
      </c>
      <c r="B1385">
        <f>IF($B$4="life-table",(B1138+B1139)/2,IF($B$4="beginning",B1138,B1139))</f>
        <v/>
      </c>
      <c r="C1385">
        <f>IF($B$4="life-table",(C1138+C1139)/2,IF($B$4="beginning",C1138,C1139))</f>
        <v/>
      </c>
      <c r="D1385">
        <f>IF($B$4="life-table",(D1138+D1139)/2,IF($B$4="beginning",D1138,D1139))</f>
        <v/>
      </c>
      <c r="F1385">
        <f>((B1385*$B$174+C1385*$C$174+D1385*$D$174)+(B1385*$B$414+C1385*$C$414+D1385*$D$414)+(B1385*$B$654+C1385*$C$654+D1385*$D$654))/(1+$B$2)^(159)</f>
        <v/>
      </c>
      <c r="G1385">
        <f>((B1385*$B$894+C1385*$C$894+D1385*$D$894))/(1+$B$3)^(159)</f>
        <v/>
      </c>
    </row>
    <row r="1386">
      <c r="A1386" t="n">
        <v>161</v>
      </c>
      <c r="B1386">
        <f>IF($B$4="life-table",(B1139+B1140)/2,IF($B$4="beginning",B1139,B1140))</f>
        <v/>
      </c>
      <c r="C1386">
        <f>IF($B$4="life-table",(C1139+C1140)/2,IF($B$4="beginning",C1139,C1140))</f>
        <v/>
      </c>
      <c r="D1386">
        <f>IF($B$4="life-table",(D1139+D1140)/2,IF($B$4="beginning",D1139,D1140))</f>
        <v/>
      </c>
      <c r="F1386">
        <f>((B1386*$B$175+C1386*$C$175+D1386*$D$175)+(B1386*$B$415+C1386*$C$415+D1386*$D$415)+(B1386*$B$655+C1386*$C$655+D1386*$D$655))/(1+$B$2)^(160)</f>
        <v/>
      </c>
      <c r="G1386">
        <f>((B1386*$B$895+C1386*$C$895+D1386*$D$895))/(1+$B$3)^(160)</f>
        <v/>
      </c>
    </row>
    <row r="1387">
      <c r="A1387" t="n">
        <v>162</v>
      </c>
      <c r="B1387">
        <f>IF($B$4="life-table",(B1140+B1141)/2,IF($B$4="beginning",B1140,B1141))</f>
        <v/>
      </c>
      <c r="C1387">
        <f>IF($B$4="life-table",(C1140+C1141)/2,IF($B$4="beginning",C1140,C1141))</f>
        <v/>
      </c>
      <c r="D1387">
        <f>IF($B$4="life-table",(D1140+D1141)/2,IF($B$4="beginning",D1140,D1141))</f>
        <v/>
      </c>
      <c r="F1387">
        <f>((B1387*$B$176+C1387*$C$176+D1387*$D$176)+(B1387*$B$416+C1387*$C$416+D1387*$D$416)+(B1387*$B$656+C1387*$C$656+D1387*$D$656))/(1+$B$2)^(161)</f>
        <v/>
      </c>
      <c r="G1387">
        <f>((B1387*$B$896+C1387*$C$896+D1387*$D$896))/(1+$B$3)^(161)</f>
        <v/>
      </c>
    </row>
    <row r="1388">
      <c r="A1388" t="n">
        <v>163</v>
      </c>
      <c r="B1388">
        <f>IF($B$4="life-table",(B1141+B1142)/2,IF($B$4="beginning",B1141,B1142))</f>
        <v/>
      </c>
      <c r="C1388">
        <f>IF($B$4="life-table",(C1141+C1142)/2,IF($B$4="beginning",C1141,C1142))</f>
        <v/>
      </c>
      <c r="D1388">
        <f>IF($B$4="life-table",(D1141+D1142)/2,IF($B$4="beginning",D1141,D1142))</f>
        <v/>
      </c>
      <c r="F1388">
        <f>((B1388*$B$177+C1388*$C$177+D1388*$D$177)+(B1388*$B$417+C1388*$C$417+D1388*$D$417)+(B1388*$B$657+C1388*$C$657+D1388*$D$657))/(1+$B$2)^(162)</f>
        <v/>
      </c>
      <c r="G1388">
        <f>((B1388*$B$897+C1388*$C$897+D1388*$D$897))/(1+$B$3)^(162)</f>
        <v/>
      </c>
    </row>
    <row r="1389">
      <c r="A1389" t="n">
        <v>164</v>
      </c>
      <c r="B1389">
        <f>IF($B$4="life-table",(B1142+B1143)/2,IF($B$4="beginning",B1142,B1143))</f>
        <v/>
      </c>
      <c r="C1389">
        <f>IF($B$4="life-table",(C1142+C1143)/2,IF($B$4="beginning",C1142,C1143))</f>
        <v/>
      </c>
      <c r="D1389">
        <f>IF($B$4="life-table",(D1142+D1143)/2,IF($B$4="beginning",D1142,D1143))</f>
        <v/>
      </c>
      <c r="F1389">
        <f>((B1389*$B$178+C1389*$C$178+D1389*$D$178)+(B1389*$B$418+C1389*$C$418+D1389*$D$418)+(B1389*$B$658+C1389*$C$658+D1389*$D$658))/(1+$B$2)^(163)</f>
        <v/>
      </c>
      <c r="G1389">
        <f>((B1389*$B$898+C1389*$C$898+D1389*$D$898))/(1+$B$3)^(163)</f>
        <v/>
      </c>
    </row>
    <row r="1390">
      <c r="A1390" t="n">
        <v>165</v>
      </c>
      <c r="B1390">
        <f>IF($B$4="life-table",(B1143+B1144)/2,IF($B$4="beginning",B1143,B1144))</f>
        <v/>
      </c>
      <c r="C1390">
        <f>IF($B$4="life-table",(C1143+C1144)/2,IF($B$4="beginning",C1143,C1144))</f>
        <v/>
      </c>
      <c r="D1390">
        <f>IF($B$4="life-table",(D1143+D1144)/2,IF($B$4="beginning",D1143,D1144))</f>
        <v/>
      </c>
      <c r="F1390">
        <f>((B1390*$B$179+C1390*$C$179+D1390*$D$179)+(B1390*$B$419+C1390*$C$419+D1390*$D$419)+(B1390*$B$659+C1390*$C$659+D1390*$D$659))/(1+$B$2)^(164)</f>
        <v/>
      </c>
      <c r="G1390">
        <f>((B1390*$B$899+C1390*$C$899+D1390*$D$899))/(1+$B$3)^(164)</f>
        <v/>
      </c>
    </row>
    <row r="1391">
      <c r="A1391" t="n">
        <v>166</v>
      </c>
      <c r="B1391">
        <f>IF($B$4="life-table",(B1144+B1145)/2,IF($B$4="beginning",B1144,B1145))</f>
        <v/>
      </c>
      <c r="C1391">
        <f>IF($B$4="life-table",(C1144+C1145)/2,IF($B$4="beginning",C1144,C1145))</f>
        <v/>
      </c>
      <c r="D1391">
        <f>IF($B$4="life-table",(D1144+D1145)/2,IF($B$4="beginning",D1144,D1145))</f>
        <v/>
      </c>
      <c r="F1391">
        <f>((B1391*$B$180+C1391*$C$180+D1391*$D$180)+(B1391*$B$420+C1391*$C$420+D1391*$D$420)+(B1391*$B$660+C1391*$C$660+D1391*$D$660))/(1+$B$2)^(165)</f>
        <v/>
      </c>
      <c r="G1391">
        <f>((B1391*$B$900+C1391*$C$900+D1391*$D$900))/(1+$B$3)^(165)</f>
        <v/>
      </c>
    </row>
    <row r="1392">
      <c r="A1392" t="n">
        <v>167</v>
      </c>
      <c r="B1392">
        <f>IF($B$4="life-table",(B1145+B1146)/2,IF($B$4="beginning",B1145,B1146))</f>
        <v/>
      </c>
      <c r="C1392">
        <f>IF($B$4="life-table",(C1145+C1146)/2,IF($B$4="beginning",C1145,C1146))</f>
        <v/>
      </c>
      <c r="D1392">
        <f>IF($B$4="life-table",(D1145+D1146)/2,IF($B$4="beginning",D1145,D1146))</f>
        <v/>
      </c>
      <c r="F1392">
        <f>((B1392*$B$181+C1392*$C$181+D1392*$D$181)+(B1392*$B$421+C1392*$C$421+D1392*$D$421)+(B1392*$B$661+C1392*$C$661+D1392*$D$661))/(1+$B$2)^(166)</f>
        <v/>
      </c>
      <c r="G1392">
        <f>((B1392*$B$901+C1392*$C$901+D1392*$D$901))/(1+$B$3)^(166)</f>
        <v/>
      </c>
    </row>
    <row r="1393">
      <c r="A1393" t="n">
        <v>168</v>
      </c>
      <c r="B1393">
        <f>IF($B$4="life-table",(B1146+B1147)/2,IF($B$4="beginning",B1146,B1147))</f>
        <v/>
      </c>
      <c r="C1393">
        <f>IF($B$4="life-table",(C1146+C1147)/2,IF($B$4="beginning",C1146,C1147))</f>
        <v/>
      </c>
      <c r="D1393">
        <f>IF($B$4="life-table",(D1146+D1147)/2,IF($B$4="beginning",D1146,D1147))</f>
        <v/>
      </c>
      <c r="F1393">
        <f>((B1393*$B$182+C1393*$C$182+D1393*$D$182)+(B1393*$B$422+C1393*$C$422+D1393*$D$422)+(B1393*$B$662+C1393*$C$662+D1393*$D$662))/(1+$B$2)^(167)</f>
        <v/>
      </c>
      <c r="G1393">
        <f>((B1393*$B$902+C1393*$C$902+D1393*$D$902))/(1+$B$3)^(167)</f>
        <v/>
      </c>
    </row>
    <row r="1394">
      <c r="A1394" t="n">
        <v>169</v>
      </c>
      <c r="B1394">
        <f>IF($B$4="life-table",(B1147+B1148)/2,IF($B$4="beginning",B1147,B1148))</f>
        <v/>
      </c>
      <c r="C1394">
        <f>IF($B$4="life-table",(C1147+C1148)/2,IF($B$4="beginning",C1147,C1148))</f>
        <v/>
      </c>
      <c r="D1394">
        <f>IF($B$4="life-table",(D1147+D1148)/2,IF($B$4="beginning",D1147,D1148))</f>
        <v/>
      </c>
      <c r="F1394">
        <f>((B1394*$B$183+C1394*$C$183+D1394*$D$183)+(B1394*$B$423+C1394*$C$423+D1394*$D$423)+(B1394*$B$663+C1394*$C$663+D1394*$D$663))/(1+$B$2)^(168)</f>
        <v/>
      </c>
      <c r="G1394">
        <f>((B1394*$B$903+C1394*$C$903+D1394*$D$903))/(1+$B$3)^(168)</f>
        <v/>
      </c>
    </row>
    <row r="1395">
      <c r="A1395" t="n">
        <v>170</v>
      </c>
      <c r="B1395">
        <f>IF($B$4="life-table",(B1148+B1149)/2,IF($B$4="beginning",B1148,B1149))</f>
        <v/>
      </c>
      <c r="C1395">
        <f>IF($B$4="life-table",(C1148+C1149)/2,IF($B$4="beginning",C1148,C1149))</f>
        <v/>
      </c>
      <c r="D1395">
        <f>IF($B$4="life-table",(D1148+D1149)/2,IF($B$4="beginning",D1148,D1149))</f>
        <v/>
      </c>
      <c r="F1395">
        <f>((B1395*$B$184+C1395*$C$184+D1395*$D$184)+(B1395*$B$424+C1395*$C$424+D1395*$D$424)+(B1395*$B$664+C1395*$C$664+D1395*$D$664))/(1+$B$2)^(169)</f>
        <v/>
      </c>
      <c r="G1395">
        <f>((B1395*$B$904+C1395*$C$904+D1395*$D$904))/(1+$B$3)^(169)</f>
        <v/>
      </c>
    </row>
    <row r="1396">
      <c r="A1396" t="n">
        <v>171</v>
      </c>
      <c r="B1396">
        <f>IF($B$4="life-table",(B1149+B1150)/2,IF($B$4="beginning",B1149,B1150))</f>
        <v/>
      </c>
      <c r="C1396">
        <f>IF($B$4="life-table",(C1149+C1150)/2,IF($B$4="beginning",C1149,C1150))</f>
        <v/>
      </c>
      <c r="D1396">
        <f>IF($B$4="life-table",(D1149+D1150)/2,IF($B$4="beginning",D1149,D1150))</f>
        <v/>
      </c>
      <c r="F1396">
        <f>((B1396*$B$185+C1396*$C$185+D1396*$D$185)+(B1396*$B$425+C1396*$C$425+D1396*$D$425)+(B1396*$B$665+C1396*$C$665+D1396*$D$665))/(1+$B$2)^(170)</f>
        <v/>
      </c>
      <c r="G1396">
        <f>((B1396*$B$905+C1396*$C$905+D1396*$D$905))/(1+$B$3)^(170)</f>
        <v/>
      </c>
    </row>
    <row r="1397">
      <c r="A1397" t="n">
        <v>172</v>
      </c>
      <c r="B1397">
        <f>IF($B$4="life-table",(B1150+B1151)/2,IF($B$4="beginning",B1150,B1151))</f>
        <v/>
      </c>
      <c r="C1397">
        <f>IF($B$4="life-table",(C1150+C1151)/2,IF($B$4="beginning",C1150,C1151))</f>
        <v/>
      </c>
      <c r="D1397">
        <f>IF($B$4="life-table",(D1150+D1151)/2,IF($B$4="beginning",D1150,D1151))</f>
        <v/>
      </c>
      <c r="F1397">
        <f>((B1397*$B$186+C1397*$C$186+D1397*$D$186)+(B1397*$B$426+C1397*$C$426+D1397*$D$426)+(B1397*$B$666+C1397*$C$666+D1397*$D$666))/(1+$B$2)^(171)</f>
        <v/>
      </c>
      <c r="G1397">
        <f>((B1397*$B$906+C1397*$C$906+D1397*$D$906))/(1+$B$3)^(171)</f>
        <v/>
      </c>
    </row>
    <row r="1398">
      <c r="A1398" t="n">
        <v>173</v>
      </c>
      <c r="B1398">
        <f>IF($B$4="life-table",(B1151+B1152)/2,IF($B$4="beginning",B1151,B1152))</f>
        <v/>
      </c>
      <c r="C1398">
        <f>IF($B$4="life-table",(C1151+C1152)/2,IF($B$4="beginning",C1151,C1152))</f>
        <v/>
      </c>
      <c r="D1398">
        <f>IF($B$4="life-table",(D1151+D1152)/2,IF($B$4="beginning",D1151,D1152))</f>
        <v/>
      </c>
      <c r="F1398">
        <f>((B1398*$B$187+C1398*$C$187+D1398*$D$187)+(B1398*$B$427+C1398*$C$427+D1398*$D$427)+(B1398*$B$667+C1398*$C$667+D1398*$D$667))/(1+$B$2)^(172)</f>
        <v/>
      </c>
      <c r="G1398">
        <f>((B1398*$B$907+C1398*$C$907+D1398*$D$907))/(1+$B$3)^(172)</f>
        <v/>
      </c>
    </row>
    <row r="1399">
      <c r="A1399" t="n">
        <v>174</v>
      </c>
      <c r="B1399">
        <f>IF($B$4="life-table",(B1152+B1153)/2,IF($B$4="beginning",B1152,B1153))</f>
        <v/>
      </c>
      <c r="C1399">
        <f>IF($B$4="life-table",(C1152+C1153)/2,IF($B$4="beginning",C1152,C1153))</f>
        <v/>
      </c>
      <c r="D1399">
        <f>IF($B$4="life-table",(D1152+D1153)/2,IF($B$4="beginning",D1152,D1153))</f>
        <v/>
      </c>
      <c r="F1399">
        <f>((B1399*$B$188+C1399*$C$188+D1399*$D$188)+(B1399*$B$428+C1399*$C$428+D1399*$D$428)+(B1399*$B$668+C1399*$C$668+D1399*$D$668))/(1+$B$2)^(173)</f>
        <v/>
      </c>
      <c r="G1399">
        <f>((B1399*$B$908+C1399*$C$908+D1399*$D$908))/(1+$B$3)^(173)</f>
        <v/>
      </c>
    </row>
    <row r="1400">
      <c r="A1400" t="n">
        <v>175</v>
      </c>
      <c r="B1400">
        <f>IF($B$4="life-table",(B1153+B1154)/2,IF($B$4="beginning",B1153,B1154))</f>
        <v/>
      </c>
      <c r="C1400">
        <f>IF($B$4="life-table",(C1153+C1154)/2,IF($B$4="beginning",C1153,C1154))</f>
        <v/>
      </c>
      <c r="D1400">
        <f>IF($B$4="life-table",(D1153+D1154)/2,IF($B$4="beginning",D1153,D1154))</f>
        <v/>
      </c>
      <c r="F1400">
        <f>((B1400*$B$189+C1400*$C$189+D1400*$D$189)+(B1400*$B$429+C1400*$C$429+D1400*$D$429)+(B1400*$B$669+C1400*$C$669+D1400*$D$669))/(1+$B$2)^(174)</f>
        <v/>
      </c>
      <c r="G1400">
        <f>((B1400*$B$909+C1400*$C$909+D1400*$D$909))/(1+$B$3)^(174)</f>
        <v/>
      </c>
    </row>
    <row r="1401">
      <c r="A1401" t="n">
        <v>176</v>
      </c>
      <c r="B1401">
        <f>IF($B$4="life-table",(B1154+B1155)/2,IF($B$4="beginning",B1154,B1155))</f>
        <v/>
      </c>
      <c r="C1401">
        <f>IF($B$4="life-table",(C1154+C1155)/2,IF($B$4="beginning",C1154,C1155))</f>
        <v/>
      </c>
      <c r="D1401">
        <f>IF($B$4="life-table",(D1154+D1155)/2,IF($B$4="beginning",D1154,D1155))</f>
        <v/>
      </c>
      <c r="F1401">
        <f>((B1401*$B$190+C1401*$C$190+D1401*$D$190)+(B1401*$B$430+C1401*$C$430+D1401*$D$430)+(B1401*$B$670+C1401*$C$670+D1401*$D$670))/(1+$B$2)^(175)</f>
        <v/>
      </c>
      <c r="G1401">
        <f>((B1401*$B$910+C1401*$C$910+D1401*$D$910))/(1+$B$3)^(175)</f>
        <v/>
      </c>
    </row>
    <row r="1402">
      <c r="A1402" t="n">
        <v>177</v>
      </c>
      <c r="B1402">
        <f>IF($B$4="life-table",(B1155+B1156)/2,IF($B$4="beginning",B1155,B1156))</f>
        <v/>
      </c>
      <c r="C1402">
        <f>IF($B$4="life-table",(C1155+C1156)/2,IF($B$4="beginning",C1155,C1156))</f>
        <v/>
      </c>
      <c r="D1402">
        <f>IF($B$4="life-table",(D1155+D1156)/2,IF($B$4="beginning",D1155,D1156))</f>
        <v/>
      </c>
      <c r="F1402">
        <f>((B1402*$B$191+C1402*$C$191+D1402*$D$191)+(B1402*$B$431+C1402*$C$431+D1402*$D$431)+(B1402*$B$671+C1402*$C$671+D1402*$D$671))/(1+$B$2)^(176)</f>
        <v/>
      </c>
      <c r="G1402">
        <f>((B1402*$B$911+C1402*$C$911+D1402*$D$911))/(1+$B$3)^(176)</f>
        <v/>
      </c>
    </row>
    <row r="1403">
      <c r="A1403" t="n">
        <v>178</v>
      </c>
      <c r="B1403">
        <f>IF($B$4="life-table",(B1156+B1157)/2,IF($B$4="beginning",B1156,B1157))</f>
        <v/>
      </c>
      <c r="C1403">
        <f>IF($B$4="life-table",(C1156+C1157)/2,IF($B$4="beginning",C1156,C1157))</f>
        <v/>
      </c>
      <c r="D1403">
        <f>IF($B$4="life-table",(D1156+D1157)/2,IF($B$4="beginning",D1156,D1157))</f>
        <v/>
      </c>
      <c r="F1403">
        <f>((B1403*$B$192+C1403*$C$192+D1403*$D$192)+(B1403*$B$432+C1403*$C$432+D1403*$D$432)+(B1403*$B$672+C1403*$C$672+D1403*$D$672))/(1+$B$2)^(177)</f>
        <v/>
      </c>
      <c r="G1403">
        <f>((B1403*$B$912+C1403*$C$912+D1403*$D$912))/(1+$B$3)^(177)</f>
        <v/>
      </c>
    </row>
    <row r="1404">
      <c r="A1404" t="n">
        <v>179</v>
      </c>
      <c r="B1404">
        <f>IF($B$4="life-table",(B1157+B1158)/2,IF($B$4="beginning",B1157,B1158))</f>
        <v/>
      </c>
      <c r="C1404">
        <f>IF($B$4="life-table",(C1157+C1158)/2,IF($B$4="beginning",C1157,C1158))</f>
        <v/>
      </c>
      <c r="D1404">
        <f>IF($B$4="life-table",(D1157+D1158)/2,IF($B$4="beginning",D1157,D1158))</f>
        <v/>
      </c>
      <c r="F1404">
        <f>((B1404*$B$193+C1404*$C$193+D1404*$D$193)+(B1404*$B$433+C1404*$C$433+D1404*$D$433)+(B1404*$B$673+C1404*$C$673+D1404*$D$673))/(1+$B$2)^(178)</f>
        <v/>
      </c>
      <c r="G1404">
        <f>((B1404*$B$913+C1404*$C$913+D1404*$D$913))/(1+$B$3)^(178)</f>
        <v/>
      </c>
    </row>
    <row r="1405">
      <c r="A1405" t="n">
        <v>180</v>
      </c>
      <c r="B1405">
        <f>IF($B$4="life-table",(B1158+B1159)/2,IF($B$4="beginning",B1158,B1159))</f>
        <v/>
      </c>
      <c r="C1405">
        <f>IF($B$4="life-table",(C1158+C1159)/2,IF($B$4="beginning",C1158,C1159))</f>
        <v/>
      </c>
      <c r="D1405">
        <f>IF($B$4="life-table",(D1158+D1159)/2,IF($B$4="beginning",D1158,D1159))</f>
        <v/>
      </c>
      <c r="F1405">
        <f>((B1405*$B$194+C1405*$C$194+D1405*$D$194)+(B1405*$B$434+C1405*$C$434+D1405*$D$434)+(B1405*$B$674+C1405*$C$674+D1405*$D$674))/(1+$B$2)^(179)</f>
        <v/>
      </c>
      <c r="G1405">
        <f>((B1405*$B$914+C1405*$C$914+D1405*$D$914))/(1+$B$3)^(179)</f>
        <v/>
      </c>
    </row>
    <row r="1406">
      <c r="A1406" t="n">
        <v>181</v>
      </c>
      <c r="B1406">
        <f>IF($B$4="life-table",(B1159+B1160)/2,IF($B$4="beginning",B1159,B1160))</f>
        <v/>
      </c>
      <c r="C1406">
        <f>IF($B$4="life-table",(C1159+C1160)/2,IF($B$4="beginning",C1159,C1160))</f>
        <v/>
      </c>
      <c r="D1406">
        <f>IF($B$4="life-table",(D1159+D1160)/2,IF($B$4="beginning",D1159,D1160))</f>
        <v/>
      </c>
      <c r="F1406">
        <f>((B1406*$B$195+C1406*$C$195+D1406*$D$195)+(B1406*$B$435+C1406*$C$435+D1406*$D$435)+(B1406*$B$675+C1406*$C$675+D1406*$D$675))/(1+$B$2)^(180)</f>
        <v/>
      </c>
      <c r="G1406">
        <f>((B1406*$B$915+C1406*$C$915+D1406*$D$915))/(1+$B$3)^(180)</f>
        <v/>
      </c>
    </row>
    <row r="1407">
      <c r="A1407" t="n">
        <v>182</v>
      </c>
      <c r="B1407">
        <f>IF($B$4="life-table",(B1160+B1161)/2,IF($B$4="beginning",B1160,B1161))</f>
        <v/>
      </c>
      <c r="C1407">
        <f>IF($B$4="life-table",(C1160+C1161)/2,IF($B$4="beginning",C1160,C1161))</f>
        <v/>
      </c>
      <c r="D1407">
        <f>IF($B$4="life-table",(D1160+D1161)/2,IF($B$4="beginning",D1160,D1161))</f>
        <v/>
      </c>
      <c r="F1407">
        <f>((B1407*$B$196+C1407*$C$196+D1407*$D$196)+(B1407*$B$436+C1407*$C$436+D1407*$D$436)+(B1407*$B$676+C1407*$C$676+D1407*$D$676))/(1+$B$2)^(181)</f>
        <v/>
      </c>
      <c r="G1407">
        <f>((B1407*$B$916+C1407*$C$916+D1407*$D$916))/(1+$B$3)^(181)</f>
        <v/>
      </c>
    </row>
    <row r="1408">
      <c r="A1408" t="n">
        <v>183</v>
      </c>
      <c r="B1408">
        <f>IF($B$4="life-table",(B1161+B1162)/2,IF($B$4="beginning",B1161,B1162))</f>
        <v/>
      </c>
      <c r="C1408">
        <f>IF($B$4="life-table",(C1161+C1162)/2,IF($B$4="beginning",C1161,C1162))</f>
        <v/>
      </c>
      <c r="D1408">
        <f>IF($B$4="life-table",(D1161+D1162)/2,IF($B$4="beginning",D1161,D1162))</f>
        <v/>
      </c>
      <c r="F1408">
        <f>((B1408*$B$197+C1408*$C$197+D1408*$D$197)+(B1408*$B$437+C1408*$C$437+D1408*$D$437)+(B1408*$B$677+C1408*$C$677+D1408*$D$677))/(1+$B$2)^(182)</f>
        <v/>
      </c>
      <c r="G1408">
        <f>((B1408*$B$917+C1408*$C$917+D1408*$D$917))/(1+$B$3)^(182)</f>
        <v/>
      </c>
    </row>
    <row r="1409">
      <c r="A1409" t="n">
        <v>184</v>
      </c>
      <c r="B1409">
        <f>IF($B$4="life-table",(B1162+B1163)/2,IF($B$4="beginning",B1162,B1163))</f>
        <v/>
      </c>
      <c r="C1409">
        <f>IF($B$4="life-table",(C1162+C1163)/2,IF($B$4="beginning",C1162,C1163))</f>
        <v/>
      </c>
      <c r="D1409">
        <f>IF($B$4="life-table",(D1162+D1163)/2,IF($B$4="beginning",D1162,D1163))</f>
        <v/>
      </c>
      <c r="F1409">
        <f>((B1409*$B$198+C1409*$C$198+D1409*$D$198)+(B1409*$B$438+C1409*$C$438+D1409*$D$438)+(B1409*$B$678+C1409*$C$678+D1409*$D$678))/(1+$B$2)^(183)</f>
        <v/>
      </c>
      <c r="G1409">
        <f>((B1409*$B$918+C1409*$C$918+D1409*$D$918))/(1+$B$3)^(183)</f>
        <v/>
      </c>
    </row>
    <row r="1410">
      <c r="A1410" t="n">
        <v>185</v>
      </c>
      <c r="B1410">
        <f>IF($B$4="life-table",(B1163+B1164)/2,IF($B$4="beginning",B1163,B1164))</f>
        <v/>
      </c>
      <c r="C1410">
        <f>IF($B$4="life-table",(C1163+C1164)/2,IF($B$4="beginning",C1163,C1164))</f>
        <v/>
      </c>
      <c r="D1410">
        <f>IF($B$4="life-table",(D1163+D1164)/2,IF($B$4="beginning",D1163,D1164))</f>
        <v/>
      </c>
      <c r="F1410">
        <f>((B1410*$B$199+C1410*$C$199+D1410*$D$199)+(B1410*$B$439+C1410*$C$439+D1410*$D$439)+(B1410*$B$679+C1410*$C$679+D1410*$D$679))/(1+$B$2)^(184)</f>
        <v/>
      </c>
      <c r="G1410">
        <f>((B1410*$B$919+C1410*$C$919+D1410*$D$919))/(1+$B$3)^(184)</f>
        <v/>
      </c>
    </row>
    <row r="1411">
      <c r="A1411" t="n">
        <v>186</v>
      </c>
      <c r="B1411">
        <f>IF($B$4="life-table",(B1164+B1165)/2,IF($B$4="beginning",B1164,B1165))</f>
        <v/>
      </c>
      <c r="C1411">
        <f>IF($B$4="life-table",(C1164+C1165)/2,IF($B$4="beginning",C1164,C1165))</f>
        <v/>
      </c>
      <c r="D1411">
        <f>IF($B$4="life-table",(D1164+D1165)/2,IF($B$4="beginning",D1164,D1165))</f>
        <v/>
      </c>
      <c r="F1411">
        <f>((B1411*$B$200+C1411*$C$200+D1411*$D$200)+(B1411*$B$440+C1411*$C$440+D1411*$D$440)+(B1411*$B$680+C1411*$C$680+D1411*$D$680))/(1+$B$2)^(185)</f>
        <v/>
      </c>
      <c r="G1411">
        <f>((B1411*$B$920+C1411*$C$920+D1411*$D$920))/(1+$B$3)^(185)</f>
        <v/>
      </c>
    </row>
    <row r="1412">
      <c r="A1412" t="n">
        <v>187</v>
      </c>
      <c r="B1412">
        <f>IF($B$4="life-table",(B1165+B1166)/2,IF($B$4="beginning",B1165,B1166))</f>
        <v/>
      </c>
      <c r="C1412">
        <f>IF($B$4="life-table",(C1165+C1166)/2,IF($B$4="beginning",C1165,C1166))</f>
        <v/>
      </c>
      <c r="D1412">
        <f>IF($B$4="life-table",(D1165+D1166)/2,IF($B$4="beginning",D1165,D1166))</f>
        <v/>
      </c>
      <c r="F1412">
        <f>((B1412*$B$201+C1412*$C$201+D1412*$D$201)+(B1412*$B$441+C1412*$C$441+D1412*$D$441)+(B1412*$B$681+C1412*$C$681+D1412*$D$681))/(1+$B$2)^(186)</f>
        <v/>
      </c>
      <c r="G1412">
        <f>((B1412*$B$921+C1412*$C$921+D1412*$D$921))/(1+$B$3)^(186)</f>
        <v/>
      </c>
    </row>
    <row r="1413">
      <c r="A1413" t="n">
        <v>188</v>
      </c>
      <c r="B1413">
        <f>IF($B$4="life-table",(B1166+B1167)/2,IF($B$4="beginning",B1166,B1167))</f>
        <v/>
      </c>
      <c r="C1413">
        <f>IF($B$4="life-table",(C1166+C1167)/2,IF($B$4="beginning",C1166,C1167))</f>
        <v/>
      </c>
      <c r="D1413">
        <f>IF($B$4="life-table",(D1166+D1167)/2,IF($B$4="beginning",D1166,D1167))</f>
        <v/>
      </c>
      <c r="F1413">
        <f>((B1413*$B$202+C1413*$C$202+D1413*$D$202)+(B1413*$B$442+C1413*$C$442+D1413*$D$442)+(B1413*$B$682+C1413*$C$682+D1413*$D$682))/(1+$B$2)^(187)</f>
        <v/>
      </c>
      <c r="G1413">
        <f>((B1413*$B$922+C1413*$C$922+D1413*$D$922))/(1+$B$3)^(187)</f>
        <v/>
      </c>
    </row>
    <row r="1414">
      <c r="A1414" t="n">
        <v>189</v>
      </c>
      <c r="B1414">
        <f>IF($B$4="life-table",(B1167+B1168)/2,IF($B$4="beginning",B1167,B1168))</f>
        <v/>
      </c>
      <c r="C1414">
        <f>IF($B$4="life-table",(C1167+C1168)/2,IF($B$4="beginning",C1167,C1168))</f>
        <v/>
      </c>
      <c r="D1414">
        <f>IF($B$4="life-table",(D1167+D1168)/2,IF($B$4="beginning",D1167,D1168))</f>
        <v/>
      </c>
      <c r="F1414">
        <f>((B1414*$B$203+C1414*$C$203+D1414*$D$203)+(B1414*$B$443+C1414*$C$443+D1414*$D$443)+(B1414*$B$683+C1414*$C$683+D1414*$D$683))/(1+$B$2)^(188)</f>
        <v/>
      </c>
      <c r="G1414">
        <f>((B1414*$B$923+C1414*$C$923+D1414*$D$923))/(1+$B$3)^(188)</f>
        <v/>
      </c>
    </row>
    <row r="1415">
      <c r="A1415" t="n">
        <v>190</v>
      </c>
      <c r="B1415">
        <f>IF($B$4="life-table",(B1168+B1169)/2,IF($B$4="beginning",B1168,B1169))</f>
        <v/>
      </c>
      <c r="C1415">
        <f>IF($B$4="life-table",(C1168+C1169)/2,IF($B$4="beginning",C1168,C1169))</f>
        <v/>
      </c>
      <c r="D1415">
        <f>IF($B$4="life-table",(D1168+D1169)/2,IF($B$4="beginning",D1168,D1169))</f>
        <v/>
      </c>
      <c r="F1415">
        <f>((B1415*$B$204+C1415*$C$204+D1415*$D$204)+(B1415*$B$444+C1415*$C$444+D1415*$D$444)+(B1415*$B$684+C1415*$C$684+D1415*$D$684))/(1+$B$2)^(189)</f>
        <v/>
      </c>
      <c r="G1415">
        <f>((B1415*$B$924+C1415*$C$924+D1415*$D$924))/(1+$B$3)^(189)</f>
        <v/>
      </c>
    </row>
    <row r="1416">
      <c r="A1416" t="n">
        <v>191</v>
      </c>
      <c r="B1416">
        <f>IF($B$4="life-table",(B1169+B1170)/2,IF($B$4="beginning",B1169,B1170))</f>
        <v/>
      </c>
      <c r="C1416">
        <f>IF($B$4="life-table",(C1169+C1170)/2,IF($B$4="beginning",C1169,C1170))</f>
        <v/>
      </c>
      <c r="D1416">
        <f>IF($B$4="life-table",(D1169+D1170)/2,IF($B$4="beginning",D1169,D1170))</f>
        <v/>
      </c>
      <c r="F1416">
        <f>((B1416*$B$205+C1416*$C$205+D1416*$D$205)+(B1416*$B$445+C1416*$C$445+D1416*$D$445)+(B1416*$B$685+C1416*$C$685+D1416*$D$685))/(1+$B$2)^(190)</f>
        <v/>
      </c>
      <c r="G1416">
        <f>((B1416*$B$925+C1416*$C$925+D1416*$D$925))/(1+$B$3)^(190)</f>
        <v/>
      </c>
    </row>
    <row r="1417">
      <c r="A1417" t="n">
        <v>192</v>
      </c>
      <c r="B1417">
        <f>IF($B$4="life-table",(B1170+B1171)/2,IF($B$4="beginning",B1170,B1171))</f>
        <v/>
      </c>
      <c r="C1417">
        <f>IF($B$4="life-table",(C1170+C1171)/2,IF($B$4="beginning",C1170,C1171))</f>
        <v/>
      </c>
      <c r="D1417">
        <f>IF($B$4="life-table",(D1170+D1171)/2,IF($B$4="beginning",D1170,D1171))</f>
        <v/>
      </c>
      <c r="F1417">
        <f>((B1417*$B$206+C1417*$C$206+D1417*$D$206)+(B1417*$B$446+C1417*$C$446+D1417*$D$446)+(B1417*$B$686+C1417*$C$686+D1417*$D$686))/(1+$B$2)^(191)</f>
        <v/>
      </c>
      <c r="G1417">
        <f>((B1417*$B$926+C1417*$C$926+D1417*$D$926))/(1+$B$3)^(191)</f>
        <v/>
      </c>
    </row>
    <row r="1418">
      <c r="A1418" t="n">
        <v>193</v>
      </c>
      <c r="B1418">
        <f>IF($B$4="life-table",(B1171+B1172)/2,IF($B$4="beginning",B1171,B1172))</f>
        <v/>
      </c>
      <c r="C1418">
        <f>IF($B$4="life-table",(C1171+C1172)/2,IF($B$4="beginning",C1171,C1172))</f>
        <v/>
      </c>
      <c r="D1418">
        <f>IF($B$4="life-table",(D1171+D1172)/2,IF($B$4="beginning",D1171,D1172))</f>
        <v/>
      </c>
      <c r="F1418">
        <f>((B1418*$B$207+C1418*$C$207+D1418*$D$207)+(B1418*$B$447+C1418*$C$447+D1418*$D$447)+(B1418*$B$687+C1418*$C$687+D1418*$D$687))/(1+$B$2)^(192)</f>
        <v/>
      </c>
      <c r="G1418">
        <f>((B1418*$B$927+C1418*$C$927+D1418*$D$927))/(1+$B$3)^(192)</f>
        <v/>
      </c>
    </row>
    <row r="1419">
      <c r="A1419" t="n">
        <v>194</v>
      </c>
      <c r="B1419">
        <f>IF($B$4="life-table",(B1172+B1173)/2,IF($B$4="beginning",B1172,B1173))</f>
        <v/>
      </c>
      <c r="C1419">
        <f>IF($B$4="life-table",(C1172+C1173)/2,IF($B$4="beginning",C1172,C1173))</f>
        <v/>
      </c>
      <c r="D1419">
        <f>IF($B$4="life-table",(D1172+D1173)/2,IF($B$4="beginning",D1172,D1173))</f>
        <v/>
      </c>
      <c r="F1419">
        <f>((B1419*$B$208+C1419*$C$208+D1419*$D$208)+(B1419*$B$448+C1419*$C$448+D1419*$D$448)+(B1419*$B$688+C1419*$C$688+D1419*$D$688))/(1+$B$2)^(193)</f>
        <v/>
      </c>
      <c r="G1419">
        <f>((B1419*$B$928+C1419*$C$928+D1419*$D$928))/(1+$B$3)^(193)</f>
        <v/>
      </c>
    </row>
    <row r="1420">
      <c r="A1420" t="n">
        <v>195</v>
      </c>
      <c r="B1420">
        <f>IF($B$4="life-table",(B1173+B1174)/2,IF($B$4="beginning",B1173,B1174))</f>
        <v/>
      </c>
      <c r="C1420">
        <f>IF($B$4="life-table",(C1173+C1174)/2,IF($B$4="beginning",C1173,C1174))</f>
        <v/>
      </c>
      <c r="D1420">
        <f>IF($B$4="life-table",(D1173+D1174)/2,IF($B$4="beginning",D1173,D1174))</f>
        <v/>
      </c>
      <c r="F1420">
        <f>((B1420*$B$209+C1420*$C$209+D1420*$D$209)+(B1420*$B$449+C1420*$C$449+D1420*$D$449)+(B1420*$B$689+C1420*$C$689+D1420*$D$689))/(1+$B$2)^(194)</f>
        <v/>
      </c>
      <c r="G1420">
        <f>((B1420*$B$929+C1420*$C$929+D1420*$D$929))/(1+$B$3)^(194)</f>
        <v/>
      </c>
    </row>
    <row r="1421">
      <c r="A1421" t="n">
        <v>196</v>
      </c>
      <c r="B1421">
        <f>IF($B$4="life-table",(B1174+B1175)/2,IF($B$4="beginning",B1174,B1175))</f>
        <v/>
      </c>
      <c r="C1421">
        <f>IF($B$4="life-table",(C1174+C1175)/2,IF($B$4="beginning",C1174,C1175))</f>
        <v/>
      </c>
      <c r="D1421">
        <f>IF($B$4="life-table",(D1174+D1175)/2,IF($B$4="beginning",D1174,D1175))</f>
        <v/>
      </c>
      <c r="F1421">
        <f>((B1421*$B$210+C1421*$C$210+D1421*$D$210)+(B1421*$B$450+C1421*$C$450+D1421*$D$450)+(B1421*$B$690+C1421*$C$690+D1421*$D$690))/(1+$B$2)^(195)</f>
        <v/>
      </c>
      <c r="G1421">
        <f>((B1421*$B$930+C1421*$C$930+D1421*$D$930))/(1+$B$3)^(195)</f>
        <v/>
      </c>
    </row>
    <row r="1422">
      <c r="A1422" t="n">
        <v>197</v>
      </c>
      <c r="B1422">
        <f>IF($B$4="life-table",(B1175+B1176)/2,IF($B$4="beginning",B1175,B1176))</f>
        <v/>
      </c>
      <c r="C1422">
        <f>IF($B$4="life-table",(C1175+C1176)/2,IF($B$4="beginning",C1175,C1176))</f>
        <v/>
      </c>
      <c r="D1422">
        <f>IF($B$4="life-table",(D1175+D1176)/2,IF($B$4="beginning",D1175,D1176))</f>
        <v/>
      </c>
      <c r="F1422">
        <f>((B1422*$B$211+C1422*$C$211+D1422*$D$211)+(B1422*$B$451+C1422*$C$451+D1422*$D$451)+(B1422*$B$691+C1422*$C$691+D1422*$D$691))/(1+$B$2)^(196)</f>
        <v/>
      </c>
      <c r="G1422">
        <f>((B1422*$B$931+C1422*$C$931+D1422*$D$931))/(1+$B$3)^(196)</f>
        <v/>
      </c>
    </row>
    <row r="1423">
      <c r="A1423" t="n">
        <v>198</v>
      </c>
      <c r="B1423">
        <f>IF($B$4="life-table",(B1176+B1177)/2,IF($B$4="beginning",B1176,B1177))</f>
        <v/>
      </c>
      <c r="C1423">
        <f>IF($B$4="life-table",(C1176+C1177)/2,IF($B$4="beginning",C1176,C1177))</f>
        <v/>
      </c>
      <c r="D1423">
        <f>IF($B$4="life-table",(D1176+D1177)/2,IF($B$4="beginning",D1176,D1177))</f>
        <v/>
      </c>
      <c r="F1423">
        <f>((B1423*$B$212+C1423*$C$212+D1423*$D$212)+(B1423*$B$452+C1423*$C$452+D1423*$D$452)+(B1423*$B$692+C1423*$C$692+D1423*$D$692))/(1+$B$2)^(197)</f>
        <v/>
      </c>
      <c r="G1423">
        <f>((B1423*$B$932+C1423*$C$932+D1423*$D$932))/(1+$B$3)^(197)</f>
        <v/>
      </c>
    </row>
    <row r="1424">
      <c r="A1424" t="n">
        <v>199</v>
      </c>
      <c r="B1424">
        <f>IF($B$4="life-table",(B1177+B1178)/2,IF($B$4="beginning",B1177,B1178))</f>
        <v/>
      </c>
      <c r="C1424">
        <f>IF($B$4="life-table",(C1177+C1178)/2,IF($B$4="beginning",C1177,C1178))</f>
        <v/>
      </c>
      <c r="D1424">
        <f>IF($B$4="life-table",(D1177+D1178)/2,IF($B$4="beginning",D1177,D1178))</f>
        <v/>
      </c>
      <c r="F1424">
        <f>((B1424*$B$213+C1424*$C$213+D1424*$D$213)+(B1424*$B$453+C1424*$C$453+D1424*$D$453)+(B1424*$B$693+C1424*$C$693+D1424*$D$693))/(1+$B$2)^(198)</f>
        <v/>
      </c>
      <c r="G1424">
        <f>((B1424*$B$933+C1424*$C$933+D1424*$D$933))/(1+$B$3)^(198)</f>
        <v/>
      </c>
    </row>
    <row r="1425">
      <c r="A1425" t="n">
        <v>200</v>
      </c>
      <c r="B1425">
        <f>IF($B$4="life-table",(B1178+B1179)/2,IF($B$4="beginning",B1178,B1179))</f>
        <v/>
      </c>
      <c r="C1425">
        <f>IF($B$4="life-table",(C1178+C1179)/2,IF($B$4="beginning",C1178,C1179))</f>
        <v/>
      </c>
      <c r="D1425">
        <f>IF($B$4="life-table",(D1178+D1179)/2,IF($B$4="beginning",D1178,D1179))</f>
        <v/>
      </c>
      <c r="F1425">
        <f>((B1425*$B$214+C1425*$C$214+D1425*$D$214)+(B1425*$B$454+C1425*$C$454+D1425*$D$454)+(B1425*$B$694+C1425*$C$694+D1425*$D$694))/(1+$B$2)^(199)</f>
        <v/>
      </c>
      <c r="G1425">
        <f>((B1425*$B$934+C1425*$C$934+D1425*$D$934))/(1+$B$3)^(199)</f>
        <v/>
      </c>
    </row>
    <row r="1426">
      <c r="A1426" t="n">
        <v>201</v>
      </c>
      <c r="B1426">
        <f>IF($B$4="life-table",(B1179+B1180)/2,IF($B$4="beginning",B1179,B1180))</f>
        <v/>
      </c>
      <c r="C1426">
        <f>IF($B$4="life-table",(C1179+C1180)/2,IF($B$4="beginning",C1179,C1180))</f>
        <v/>
      </c>
      <c r="D1426">
        <f>IF($B$4="life-table",(D1179+D1180)/2,IF($B$4="beginning",D1179,D1180))</f>
        <v/>
      </c>
      <c r="F1426">
        <f>((B1426*$B$215+C1426*$C$215+D1426*$D$215)+(B1426*$B$455+C1426*$C$455+D1426*$D$455)+(B1426*$B$695+C1426*$C$695+D1426*$D$695))/(1+$B$2)^(200)</f>
        <v/>
      </c>
      <c r="G1426">
        <f>((B1426*$B$935+C1426*$C$935+D1426*$D$935))/(1+$B$3)^(200)</f>
        <v/>
      </c>
    </row>
    <row r="1427">
      <c r="A1427" t="n">
        <v>202</v>
      </c>
      <c r="B1427">
        <f>IF($B$4="life-table",(B1180+B1181)/2,IF($B$4="beginning",B1180,B1181))</f>
        <v/>
      </c>
      <c r="C1427">
        <f>IF($B$4="life-table",(C1180+C1181)/2,IF($B$4="beginning",C1180,C1181))</f>
        <v/>
      </c>
      <c r="D1427">
        <f>IF($B$4="life-table",(D1180+D1181)/2,IF($B$4="beginning",D1180,D1181))</f>
        <v/>
      </c>
      <c r="F1427">
        <f>((B1427*$B$216+C1427*$C$216+D1427*$D$216)+(B1427*$B$456+C1427*$C$456+D1427*$D$456)+(B1427*$B$696+C1427*$C$696+D1427*$D$696))/(1+$B$2)^(201)</f>
        <v/>
      </c>
      <c r="G1427">
        <f>((B1427*$B$936+C1427*$C$936+D1427*$D$936))/(1+$B$3)^(201)</f>
        <v/>
      </c>
    </row>
    <row r="1428">
      <c r="A1428" t="n">
        <v>203</v>
      </c>
      <c r="B1428">
        <f>IF($B$4="life-table",(B1181+B1182)/2,IF($B$4="beginning",B1181,B1182))</f>
        <v/>
      </c>
      <c r="C1428">
        <f>IF($B$4="life-table",(C1181+C1182)/2,IF($B$4="beginning",C1181,C1182))</f>
        <v/>
      </c>
      <c r="D1428">
        <f>IF($B$4="life-table",(D1181+D1182)/2,IF($B$4="beginning",D1181,D1182))</f>
        <v/>
      </c>
      <c r="F1428">
        <f>((B1428*$B$217+C1428*$C$217+D1428*$D$217)+(B1428*$B$457+C1428*$C$457+D1428*$D$457)+(B1428*$B$697+C1428*$C$697+D1428*$D$697))/(1+$B$2)^(202)</f>
        <v/>
      </c>
      <c r="G1428">
        <f>((B1428*$B$937+C1428*$C$937+D1428*$D$937))/(1+$B$3)^(202)</f>
        <v/>
      </c>
    </row>
    <row r="1429">
      <c r="A1429" t="n">
        <v>204</v>
      </c>
      <c r="B1429">
        <f>IF($B$4="life-table",(B1182+B1183)/2,IF($B$4="beginning",B1182,B1183))</f>
        <v/>
      </c>
      <c r="C1429">
        <f>IF($B$4="life-table",(C1182+C1183)/2,IF($B$4="beginning",C1182,C1183))</f>
        <v/>
      </c>
      <c r="D1429">
        <f>IF($B$4="life-table",(D1182+D1183)/2,IF($B$4="beginning",D1182,D1183))</f>
        <v/>
      </c>
      <c r="F1429">
        <f>((B1429*$B$218+C1429*$C$218+D1429*$D$218)+(B1429*$B$458+C1429*$C$458+D1429*$D$458)+(B1429*$B$698+C1429*$C$698+D1429*$D$698))/(1+$B$2)^(203)</f>
        <v/>
      </c>
      <c r="G1429">
        <f>((B1429*$B$938+C1429*$C$938+D1429*$D$938))/(1+$B$3)^(203)</f>
        <v/>
      </c>
    </row>
    <row r="1430">
      <c r="A1430" t="n">
        <v>205</v>
      </c>
      <c r="B1430">
        <f>IF($B$4="life-table",(B1183+B1184)/2,IF($B$4="beginning",B1183,B1184))</f>
        <v/>
      </c>
      <c r="C1430">
        <f>IF($B$4="life-table",(C1183+C1184)/2,IF($B$4="beginning",C1183,C1184))</f>
        <v/>
      </c>
      <c r="D1430">
        <f>IF($B$4="life-table",(D1183+D1184)/2,IF($B$4="beginning",D1183,D1184))</f>
        <v/>
      </c>
      <c r="F1430">
        <f>((B1430*$B$219+C1430*$C$219+D1430*$D$219)+(B1430*$B$459+C1430*$C$459+D1430*$D$459)+(B1430*$B$699+C1430*$C$699+D1430*$D$699))/(1+$B$2)^(204)</f>
        <v/>
      </c>
      <c r="G1430">
        <f>((B1430*$B$939+C1430*$C$939+D1430*$D$939))/(1+$B$3)^(204)</f>
        <v/>
      </c>
    </row>
    <row r="1431">
      <c r="A1431" t="n">
        <v>206</v>
      </c>
      <c r="B1431">
        <f>IF($B$4="life-table",(B1184+B1185)/2,IF($B$4="beginning",B1184,B1185))</f>
        <v/>
      </c>
      <c r="C1431">
        <f>IF($B$4="life-table",(C1184+C1185)/2,IF($B$4="beginning",C1184,C1185))</f>
        <v/>
      </c>
      <c r="D1431">
        <f>IF($B$4="life-table",(D1184+D1185)/2,IF($B$4="beginning",D1184,D1185))</f>
        <v/>
      </c>
      <c r="F1431">
        <f>((B1431*$B$220+C1431*$C$220+D1431*$D$220)+(B1431*$B$460+C1431*$C$460+D1431*$D$460)+(B1431*$B$700+C1431*$C$700+D1431*$D$700))/(1+$B$2)^(205)</f>
        <v/>
      </c>
      <c r="G1431">
        <f>((B1431*$B$940+C1431*$C$940+D1431*$D$940))/(1+$B$3)^(205)</f>
        <v/>
      </c>
    </row>
    <row r="1432">
      <c r="A1432" t="n">
        <v>207</v>
      </c>
      <c r="B1432">
        <f>IF($B$4="life-table",(B1185+B1186)/2,IF($B$4="beginning",B1185,B1186))</f>
        <v/>
      </c>
      <c r="C1432">
        <f>IF($B$4="life-table",(C1185+C1186)/2,IF($B$4="beginning",C1185,C1186))</f>
        <v/>
      </c>
      <c r="D1432">
        <f>IF($B$4="life-table",(D1185+D1186)/2,IF($B$4="beginning",D1185,D1186))</f>
        <v/>
      </c>
      <c r="F1432">
        <f>((B1432*$B$221+C1432*$C$221+D1432*$D$221)+(B1432*$B$461+C1432*$C$461+D1432*$D$461)+(B1432*$B$701+C1432*$C$701+D1432*$D$701))/(1+$B$2)^(206)</f>
        <v/>
      </c>
      <c r="G1432">
        <f>((B1432*$B$941+C1432*$C$941+D1432*$D$941))/(1+$B$3)^(206)</f>
        <v/>
      </c>
    </row>
    <row r="1433">
      <c r="A1433" t="n">
        <v>208</v>
      </c>
      <c r="B1433">
        <f>IF($B$4="life-table",(B1186+B1187)/2,IF($B$4="beginning",B1186,B1187))</f>
        <v/>
      </c>
      <c r="C1433">
        <f>IF($B$4="life-table",(C1186+C1187)/2,IF($B$4="beginning",C1186,C1187))</f>
        <v/>
      </c>
      <c r="D1433">
        <f>IF($B$4="life-table",(D1186+D1187)/2,IF($B$4="beginning",D1186,D1187))</f>
        <v/>
      </c>
      <c r="F1433">
        <f>((B1433*$B$222+C1433*$C$222+D1433*$D$222)+(B1433*$B$462+C1433*$C$462+D1433*$D$462)+(B1433*$B$702+C1433*$C$702+D1433*$D$702))/(1+$B$2)^(207)</f>
        <v/>
      </c>
      <c r="G1433">
        <f>((B1433*$B$942+C1433*$C$942+D1433*$D$942))/(1+$B$3)^(207)</f>
        <v/>
      </c>
    </row>
    <row r="1434">
      <c r="A1434" t="n">
        <v>209</v>
      </c>
      <c r="B1434">
        <f>IF($B$4="life-table",(B1187+B1188)/2,IF($B$4="beginning",B1187,B1188))</f>
        <v/>
      </c>
      <c r="C1434">
        <f>IF($B$4="life-table",(C1187+C1188)/2,IF($B$4="beginning",C1187,C1188))</f>
        <v/>
      </c>
      <c r="D1434">
        <f>IF($B$4="life-table",(D1187+D1188)/2,IF($B$4="beginning",D1187,D1188))</f>
        <v/>
      </c>
      <c r="F1434">
        <f>((B1434*$B$223+C1434*$C$223+D1434*$D$223)+(B1434*$B$463+C1434*$C$463+D1434*$D$463)+(B1434*$B$703+C1434*$C$703+D1434*$D$703))/(1+$B$2)^(208)</f>
        <v/>
      </c>
      <c r="G1434">
        <f>((B1434*$B$943+C1434*$C$943+D1434*$D$943))/(1+$B$3)^(208)</f>
        <v/>
      </c>
    </row>
    <row r="1435">
      <c r="A1435" t="n">
        <v>210</v>
      </c>
      <c r="B1435">
        <f>IF($B$4="life-table",(B1188+B1189)/2,IF($B$4="beginning",B1188,B1189))</f>
        <v/>
      </c>
      <c r="C1435">
        <f>IF($B$4="life-table",(C1188+C1189)/2,IF($B$4="beginning",C1188,C1189))</f>
        <v/>
      </c>
      <c r="D1435">
        <f>IF($B$4="life-table",(D1188+D1189)/2,IF($B$4="beginning",D1188,D1189))</f>
        <v/>
      </c>
      <c r="F1435">
        <f>((B1435*$B$224+C1435*$C$224+D1435*$D$224)+(B1435*$B$464+C1435*$C$464+D1435*$D$464)+(B1435*$B$704+C1435*$C$704+D1435*$D$704))/(1+$B$2)^(209)</f>
        <v/>
      </c>
      <c r="G1435">
        <f>((B1435*$B$944+C1435*$C$944+D1435*$D$944))/(1+$B$3)^(209)</f>
        <v/>
      </c>
    </row>
    <row r="1436">
      <c r="A1436" t="n">
        <v>211</v>
      </c>
      <c r="B1436">
        <f>IF($B$4="life-table",(B1189+B1190)/2,IF($B$4="beginning",B1189,B1190))</f>
        <v/>
      </c>
      <c r="C1436">
        <f>IF($B$4="life-table",(C1189+C1190)/2,IF($B$4="beginning",C1189,C1190))</f>
        <v/>
      </c>
      <c r="D1436">
        <f>IF($B$4="life-table",(D1189+D1190)/2,IF($B$4="beginning",D1189,D1190))</f>
        <v/>
      </c>
      <c r="F1436">
        <f>((B1436*$B$225+C1436*$C$225+D1436*$D$225)+(B1436*$B$465+C1436*$C$465+D1436*$D$465)+(B1436*$B$705+C1436*$C$705+D1436*$D$705))/(1+$B$2)^(210)</f>
        <v/>
      </c>
      <c r="G1436">
        <f>((B1436*$B$945+C1436*$C$945+D1436*$D$945))/(1+$B$3)^(210)</f>
        <v/>
      </c>
    </row>
    <row r="1437">
      <c r="A1437" t="n">
        <v>212</v>
      </c>
      <c r="B1437">
        <f>IF($B$4="life-table",(B1190+B1191)/2,IF($B$4="beginning",B1190,B1191))</f>
        <v/>
      </c>
      <c r="C1437">
        <f>IF($B$4="life-table",(C1190+C1191)/2,IF($B$4="beginning",C1190,C1191))</f>
        <v/>
      </c>
      <c r="D1437">
        <f>IF($B$4="life-table",(D1190+D1191)/2,IF($B$4="beginning",D1190,D1191))</f>
        <v/>
      </c>
      <c r="F1437">
        <f>((B1437*$B$226+C1437*$C$226+D1437*$D$226)+(B1437*$B$466+C1437*$C$466+D1437*$D$466)+(B1437*$B$706+C1437*$C$706+D1437*$D$706))/(1+$B$2)^(211)</f>
        <v/>
      </c>
      <c r="G1437">
        <f>((B1437*$B$946+C1437*$C$946+D1437*$D$946))/(1+$B$3)^(211)</f>
        <v/>
      </c>
    </row>
    <row r="1438">
      <c r="A1438" t="n">
        <v>213</v>
      </c>
      <c r="B1438">
        <f>IF($B$4="life-table",(B1191+B1192)/2,IF($B$4="beginning",B1191,B1192))</f>
        <v/>
      </c>
      <c r="C1438">
        <f>IF($B$4="life-table",(C1191+C1192)/2,IF($B$4="beginning",C1191,C1192))</f>
        <v/>
      </c>
      <c r="D1438">
        <f>IF($B$4="life-table",(D1191+D1192)/2,IF($B$4="beginning",D1191,D1192))</f>
        <v/>
      </c>
      <c r="F1438">
        <f>((B1438*$B$227+C1438*$C$227+D1438*$D$227)+(B1438*$B$467+C1438*$C$467+D1438*$D$467)+(B1438*$B$707+C1438*$C$707+D1438*$D$707))/(1+$B$2)^(212)</f>
        <v/>
      </c>
      <c r="G1438">
        <f>((B1438*$B$947+C1438*$C$947+D1438*$D$947))/(1+$B$3)^(212)</f>
        <v/>
      </c>
    </row>
    <row r="1439">
      <c r="A1439" t="n">
        <v>214</v>
      </c>
      <c r="B1439">
        <f>IF($B$4="life-table",(B1192+B1193)/2,IF($B$4="beginning",B1192,B1193))</f>
        <v/>
      </c>
      <c r="C1439">
        <f>IF($B$4="life-table",(C1192+C1193)/2,IF($B$4="beginning",C1192,C1193))</f>
        <v/>
      </c>
      <c r="D1439">
        <f>IF($B$4="life-table",(D1192+D1193)/2,IF($B$4="beginning",D1192,D1193))</f>
        <v/>
      </c>
      <c r="F1439">
        <f>((B1439*$B$228+C1439*$C$228+D1439*$D$228)+(B1439*$B$468+C1439*$C$468+D1439*$D$468)+(B1439*$B$708+C1439*$C$708+D1439*$D$708))/(1+$B$2)^(213)</f>
        <v/>
      </c>
      <c r="G1439">
        <f>((B1439*$B$948+C1439*$C$948+D1439*$D$948))/(1+$B$3)^(213)</f>
        <v/>
      </c>
    </row>
    <row r="1440">
      <c r="A1440" t="n">
        <v>215</v>
      </c>
      <c r="B1440">
        <f>IF($B$4="life-table",(B1193+B1194)/2,IF($B$4="beginning",B1193,B1194))</f>
        <v/>
      </c>
      <c r="C1440">
        <f>IF($B$4="life-table",(C1193+C1194)/2,IF($B$4="beginning",C1193,C1194))</f>
        <v/>
      </c>
      <c r="D1440">
        <f>IF($B$4="life-table",(D1193+D1194)/2,IF($B$4="beginning",D1193,D1194))</f>
        <v/>
      </c>
      <c r="F1440">
        <f>((B1440*$B$229+C1440*$C$229+D1440*$D$229)+(B1440*$B$469+C1440*$C$469+D1440*$D$469)+(B1440*$B$709+C1440*$C$709+D1440*$D$709))/(1+$B$2)^(214)</f>
        <v/>
      </c>
      <c r="G1440">
        <f>((B1440*$B$949+C1440*$C$949+D1440*$D$949))/(1+$B$3)^(214)</f>
        <v/>
      </c>
    </row>
    <row r="1441">
      <c r="A1441" t="n">
        <v>216</v>
      </c>
      <c r="B1441">
        <f>IF($B$4="life-table",(B1194+B1195)/2,IF($B$4="beginning",B1194,B1195))</f>
        <v/>
      </c>
      <c r="C1441">
        <f>IF($B$4="life-table",(C1194+C1195)/2,IF($B$4="beginning",C1194,C1195))</f>
        <v/>
      </c>
      <c r="D1441">
        <f>IF($B$4="life-table",(D1194+D1195)/2,IF($B$4="beginning",D1194,D1195))</f>
        <v/>
      </c>
      <c r="F1441">
        <f>((B1441*$B$230+C1441*$C$230+D1441*$D$230)+(B1441*$B$470+C1441*$C$470+D1441*$D$470)+(B1441*$B$710+C1441*$C$710+D1441*$D$710))/(1+$B$2)^(215)</f>
        <v/>
      </c>
      <c r="G1441">
        <f>((B1441*$B$950+C1441*$C$950+D1441*$D$950))/(1+$B$3)^(215)</f>
        <v/>
      </c>
    </row>
    <row r="1442">
      <c r="A1442" t="n">
        <v>217</v>
      </c>
      <c r="B1442">
        <f>IF($B$4="life-table",(B1195+B1196)/2,IF($B$4="beginning",B1195,B1196))</f>
        <v/>
      </c>
      <c r="C1442">
        <f>IF($B$4="life-table",(C1195+C1196)/2,IF($B$4="beginning",C1195,C1196))</f>
        <v/>
      </c>
      <c r="D1442">
        <f>IF($B$4="life-table",(D1195+D1196)/2,IF($B$4="beginning",D1195,D1196))</f>
        <v/>
      </c>
      <c r="F1442">
        <f>((B1442*$B$231+C1442*$C$231+D1442*$D$231)+(B1442*$B$471+C1442*$C$471+D1442*$D$471)+(B1442*$B$711+C1442*$C$711+D1442*$D$711))/(1+$B$2)^(216)</f>
        <v/>
      </c>
      <c r="G1442">
        <f>((B1442*$B$951+C1442*$C$951+D1442*$D$951))/(1+$B$3)^(216)</f>
        <v/>
      </c>
    </row>
    <row r="1443">
      <c r="A1443" t="n">
        <v>218</v>
      </c>
      <c r="B1443">
        <f>IF($B$4="life-table",(B1196+B1197)/2,IF($B$4="beginning",B1196,B1197))</f>
        <v/>
      </c>
      <c r="C1443">
        <f>IF($B$4="life-table",(C1196+C1197)/2,IF($B$4="beginning",C1196,C1197))</f>
        <v/>
      </c>
      <c r="D1443">
        <f>IF($B$4="life-table",(D1196+D1197)/2,IF($B$4="beginning",D1196,D1197))</f>
        <v/>
      </c>
      <c r="F1443">
        <f>((B1443*$B$232+C1443*$C$232+D1443*$D$232)+(B1443*$B$472+C1443*$C$472+D1443*$D$472)+(B1443*$B$712+C1443*$C$712+D1443*$D$712))/(1+$B$2)^(217)</f>
        <v/>
      </c>
      <c r="G1443">
        <f>((B1443*$B$952+C1443*$C$952+D1443*$D$952))/(1+$B$3)^(217)</f>
        <v/>
      </c>
    </row>
    <row r="1444">
      <c r="A1444" t="n">
        <v>219</v>
      </c>
      <c r="B1444">
        <f>IF($B$4="life-table",(B1197+B1198)/2,IF($B$4="beginning",B1197,B1198))</f>
        <v/>
      </c>
      <c r="C1444">
        <f>IF($B$4="life-table",(C1197+C1198)/2,IF($B$4="beginning",C1197,C1198))</f>
        <v/>
      </c>
      <c r="D1444">
        <f>IF($B$4="life-table",(D1197+D1198)/2,IF($B$4="beginning",D1197,D1198))</f>
        <v/>
      </c>
      <c r="F1444">
        <f>((B1444*$B$233+C1444*$C$233+D1444*$D$233)+(B1444*$B$473+C1444*$C$473+D1444*$D$473)+(B1444*$B$713+C1444*$C$713+D1444*$D$713))/(1+$B$2)^(218)</f>
        <v/>
      </c>
      <c r="G1444">
        <f>((B1444*$B$953+C1444*$C$953+D1444*$D$953))/(1+$B$3)^(218)</f>
        <v/>
      </c>
    </row>
    <row r="1445">
      <c r="A1445" t="n">
        <v>220</v>
      </c>
      <c r="B1445">
        <f>IF($B$4="life-table",(B1198+B1199)/2,IF($B$4="beginning",B1198,B1199))</f>
        <v/>
      </c>
      <c r="C1445">
        <f>IF($B$4="life-table",(C1198+C1199)/2,IF($B$4="beginning",C1198,C1199))</f>
        <v/>
      </c>
      <c r="D1445">
        <f>IF($B$4="life-table",(D1198+D1199)/2,IF($B$4="beginning",D1198,D1199))</f>
        <v/>
      </c>
      <c r="F1445">
        <f>((B1445*$B$234+C1445*$C$234+D1445*$D$234)+(B1445*$B$474+C1445*$C$474+D1445*$D$474)+(B1445*$B$714+C1445*$C$714+D1445*$D$714))/(1+$B$2)^(219)</f>
        <v/>
      </c>
      <c r="G1445">
        <f>((B1445*$B$954+C1445*$C$954+D1445*$D$954))/(1+$B$3)^(219)</f>
        <v/>
      </c>
    </row>
    <row r="1446">
      <c r="A1446" t="n">
        <v>221</v>
      </c>
      <c r="B1446">
        <f>IF($B$4="life-table",(B1199+B1200)/2,IF($B$4="beginning",B1199,B1200))</f>
        <v/>
      </c>
      <c r="C1446">
        <f>IF($B$4="life-table",(C1199+C1200)/2,IF($B$4="beginning",C1199,C1200))</f>
        <v/>
      </c>
      <c r="D1446">
        <f>IF($B$4="life-table",(D1199+D1200)/2,IF($B$4="beginning",D1199,D1200))</f>
        <v/>
      </c>
      <c r="F1446">
        <f>((B1446*$B$235+C1446*$C$235+D1446*$D$235)+(B1446*$B$475+C1446*$C$475+D1446*$D$475)+(B1446*$B$715+C1446*$C$715+D1446*$D$715))/(1+$B$2)^(220)</f>
        <v/>
      </c>
      <c r="G1446">
        <f>((B1446*$B$955+C1446*$C$955+D1446*$D$955))/(1+$B$3)^(220)</f>
        <v/>
      </c>
    </row>
    <row r="1447">
      <c r="A1447" t="n">
        <v>222</v>
      </c>
      <c r="B1447">
        <f>IF($B$4="life-table",(B1200+B1201)/2,IF($B$4="beginning",B1200,B1201))</f>
        <v/>
      </c>
      <c r="C1447">
        <f>IF($B$4="life-table",(C1200+C1201)/2,IF($B$4="beginning",C1200,C1201))</f>
        <v/>
      </c>
      <c r="D1447">
        <f>IF($B$4="life-table",(D1200+D1201)/2,IF($B$4="beginning",D1200,D1201))</f>
        <v/>
      </c>
      <c r="F1447">
        <f>((B1447*$B$236+C1447*$C$236+D1447*$D$236)+(B1447*$B$476+C1447*$C$476+D1447*$D$476)+(B1447*$B$716+C1447*$C$716+D1447*$D$716))/(1+$B$2)^(221)</f>
        <v/>
      </c>
      <c r="G1447">
        <f>((B1447*$B$956+C1447*$C$956+D1447*$D$956))/(1+$B$3)^(221)</f>
        <v/>
      </c>
    </row>
    <row r="1448">
      <c r="A1448" t="n">
        <v>223</v>
      </c>
      <c r="B1448">
        <f>IF($B$4="life-table",(B1201+B1202)/2,IF($B$4="beginning",B1201,B1202))</f>
        <v/>
      </c>
      <c r="C1448">
        <f>IF($B$4="life-table",(C1201+C1202)/2,IF($B$4="beginning",C1201,C1202))</f>
        <v/>
      </c>
      <c r="D1448">
        <f>IF($B$4="life-table",(D1201+D1202)/2,IF($B$4="beginning",D1201,D1202))</f>
        <v/>
      </c>
      <c r="F1448">
        <f>((B1448*$B$237+C1448*$C$237+D1448*$D$237)+(B1448*$B$477+C1448*$C$477+D1448*$D$477)+(B1448*$B$717+C1448*$C$717+D1448*$D$717))/(1+$B$2)^(222)</f>
        <v/>
      </c>
      <c r="G1448">
        <f>((B1448*$B$957+C1448*$C$957+D1448*$D$957))/(1+$B$3)^(222)</f>
        <v/>
      </c>
    </row>
    <row r="1449">
      <c r="A1449" t="n">
        <v>224</v>
      </c>
      <c r="B1449">
        <f>IF($B$4="life-table",(B1202+B1203)/2,IF($B$4="beginning",B1202,B1203))</f>
        <v/>
      </c>
      <c r="C1449">
        <f>IF($B$4="life-table",(C1202+C1203)/2,IF($B$4="beginning",C1202,C1203))</f>
        <v/>
      </c>
      <c r="D1449">
        <f>IF($B$4="life-table",(D1202+D1203)/2,IF($B$4="beginning",D1202,D1203))</f>
        <v/>
      </c>
      <c r="F1449">
        <f>((B1449*$B$238+C1449*$C$238+D1449*$D$238)+(B1449*$B$478+C1449*$C$478+D1449*$D$478)+(B1449*$B$718+C1449*$C$718+D1449*$D$718))/(1+$B$2)^(223)</f>
        <v/>
      </c>
      <c r="G1449">
        <f>((B1449*$B$958+C1449*$C$958+D1449*$D$958))/(1+$B$3)^(223)</f>
        <v/>
      </c>
    </row>
    <row r="1450">
      <c r="A1450" t="n">
        <v>225</v>
      </c>
      <c r="B1450">
        <f>IF($B$4="life-table",(B1203+B1204)/2,IF($B$4="beginning",B1203,B1204))</f>
        <v/>
      </c>
      <c r="C1450">
        <f>IF($B$4="life-table",(C1203+C1204)/2,IF($B$4="beginning",C1203,C1204))</f>
        <v/>
      </c>
      <c r="D1450">
        <f>IF($B$4="life-table",(D1203+D1204)/2,IF($B$4="beginning",D1203,D1204))</f>
        <v/>
      </c>
      <c r="F1450">
        <f>((B1450*$B$239+C1450*$C$239+D1450*$D$239)+(B1450*$B$479+C1450*$C$479+D1450*$D$479)+(B1450*$B$719+C1450*$C$719+D1450*$D$719))/(1+$B$2)^(224)</f>
        <v/>
      </c>
      <c r="G1450">
        <f>((B1450*$B$959+C1450*$C$959+D1450*$D$959))/(1+$B$3)^(224)</f>
        <v/>
      </c>
    </row>
    <row r="1451">
      <c r="A1451" t="n">
        <v>226</v>
      </c>
      <c r="B1451">
        <f>IF($B$4="life-table",(B1204+B1205)/2,IF($B$4="beginning",B1204,B1205))</f>
        <v/>
      </c>
      <c r="C1451">
        <f>IF($B$4="life-table",(C1204+C1205)/2,IF($B$4="beginning",C1204,C1205))</f>
        <v/>
      </c>
      <c r="D1451">
        <f>IF($B$4="life-table",(D1204+D1205)/2,IF($B$4="beginning",D1204,D1205))</f>
        <v/>
      </c>
      <c r="F1451">
        <f>((B1451*$B$240+C1451*$C$240+D1451*$D$240)+(B1451*$B$480+C1451*$C$480+D1451*$D$480)+(B1451*$B$720+C1451*$C$720+D1451*$D$720))/(1+$B$2)^(225)</f>
        <v/>
      </c>
      <c r="G1451">
        <f>((B1451*$B$960+C1451*$C$960+D1451*$D$960))/(1+$B$3)^(225)</f>
        <v/>
      </c>
    </row>
    <row r="1452">
      <c r="A1452" t="n">
        <v>227</v>
      </c>
      <c r="B1452">
        <f>IF($B$4="life-table",(B1205+B1206)/2,IF($B$4="beginning",B1205,B1206))</f>
        <v/>
      </c>
      <c r="C1452">
        <f>IF($B$4="life-table",(C1205+C1206)/2,IF($B$4="beginning",C1205,C1206))</f>
        <v/>
      </c>
      <c r="D1452">
        <f>IF($B$4="life-table",(D1205+D1206)/2,IF($B$4="beginning",D1205,D1206))</f>
        <v/>
      </c>
      <c r="F1452">
        <f>((B1452*$B$241+C1452*$C$241+D1452*$D$241)+(B1452*$B$481+C1452*$C$481+D1452*$D$481)+(B1452*$B$721+C1452*$C$721+D1452*$D$721))/(1+$B$2)^(226)</f>
        <v/>
      </c>
      <c r="G1452">
        <f>((B1452*$B$961+C1452*$C$961+D1452*$D$961))/(1+$B$3)^(226)</f>
        <v/>
      </c>
    </row>
    <row r="1453">
      <c r="A1453" t="n">
        <v>228</v>
      </c>
      <c r="B1453">
        <f>IF($B$4="life-table",(B1206+B1207)/2,IF($B$4="beginning",B1206,B1207))</f>
        <v/>
      </c>
      <c r="C1453">
        <f>IF($B$4="life-table",(C1206+C1207)/2,IF($B$4="beginning",C1206,C1207))</f>
        <v/>
      </c>
      <c r="D1453">
        <f>IF($B$4="life-table",(D1206+D1207)/2,IF($B$4="beginning",D1206,D1207))</f>
        <v/>
      </c>
      <c r="F1453">
        <f>((B1453*$B$242+C1453*$C$242+D1453*$D$242)+(B1453*$B$482+C1453*$C$482+D1453*$D$482)+(B1453*$B$722+C1453*$C$722+D1453*$D$722))/(1+$B$2)^(227)</f>
        <v/>
      </c>
      <c r="G1453">
        <f>((B1453*$B$962+C1453*$C$962+D1453*$D$962))/(1+$B$3)^(227)</f>
        <v/>
      </c>
    </row>
    <row r="1454">
      <c r="A1454" t="n">
        <v>229</v>
      </c>
      <c r="B1454">
        <f>IF($B$4="life-table",(B1207+B1208)/2,IF($B$4="beginning",B1207,B1208))</f>
        <v/>
      </c>
      <c r="C1454">
        <f>IF($B$4="life-table",(C1207+C1208)/2,IF($B$4="beginning",C1207,C1208))</f>
        <v/>
      </c>
      <c r="D1454">
        <f>IF($B$4="life-table",(D1207+D1208)/2,IF($B$4="beginning",D1207,D1208))</f>
        <v/>
      </c>
      <c r="F1454">
        <f>((B1454*$B$243+C1454*$C$243+D1454*$D$243)+(B1454*$B$483+C1454*$C$483+D1454*$D$483)+(B1454*$B$723+C1454*$C$723+D1454*$D$723))/(1+$B$2)^(228)</f>
        <v/>
      </c>
      <c r="G1454">
        <f>((B1454*$B$963+C1454*$C$963+D1454*$D$963))/(1+$B$3)^(228)</f>
        <v/>
      </c>
    </row>
    <row r="1455">
      <c r="A1455" t="n">
        <v>230</v>
      </c>
      <c r="B1455">
        <f>IF($B$4="life-table",(B1208+B1209)/2,IF($B$4="beginning",B1208,B1209))</f>
        <v/>
      </c>
      <c r="C1455">
        <f>IF($B$4="life-table",(C1208+C1209)/2,IF($B$4="beginning",C1208,C1209))</f>
        <v/>
      </c>
      <c r="D1455">
        <f>IF($B$4="life-table",(D1208+D1209)/2,IF($B$4="beginning",D1208,D1209))</f>
        <v/>
      </c>
      <c r="F1455">
        <f>((B1455*$B$244+C1455*$C$244+D1455*$D$244)+(B1455*$B$484+C1455*$C$484+D1455*$D$484)+(B1455*$B$724+C1455*$C$724+D1455*$D$724))/(1+$B$2)^(229)</f>
        <v/>
      </c>
      <c r="G1455">
        <f>((B1455*$B$964+C1455*$C$964+D1455*$D$964))/(1+$B$3)^(229)</f>
        <v/>
      </c>
    </row>
    <row r="1456">
      <c r="A1456" t="n">
        <v>231</v>
      </c>
      <c r="B1456">
        <f>IF($B$4="life-table",(B1209+B1210)/2,IF($B$4="beginning",B1209,B1210))</f>
        <v/>
      </c>
      <c r="C1456">
        <f>IF($B$4="life-table",(C1209+C1210)/2,IF($B$4="beginning",C1209,C1210))</f>
        <v/>
      </c>
      <c r="D1456">
        <f>IF($B$4="life-table",(D1209+D1210)/2,IF($B$4="beginning",D1209,D1210))</f>
        <v/>
      </c>
      <c r="F1456">
        <f>((B1456*$B$245+C1456*$C$245+D1456*$D$245)+(B1456*$B$485+C1456*$C$485+D1456*$D$485)+(B1456*$B$725+C1456*$C$725+D1456*$D$725))/(1+$B$2)^(230)</f>
        <v/>
      </c>
      <c r="G1456">
        <f>((B1456*$B$965+C1456*$C$965+D1456*$D$965))/(1+$B$3)^(230)</f>
        <v/>
      </c>
    </row>
    <row r="1457">
      <c r="A1457" t="n">
        <v>232</v>
      </c>
      <c r="B1457">
        <f>IF($B$4="life-table",(B1210+B1211)/2,IF($B$4="beginning",B1210,B1211))</f>
        <v/>
      </c>
      <c r="C1457">
        <f>IF($B$4="life-table",(C1210+C1211)/2,IF($B$4="beginning",C1210,C1211))</f>
        <v/>
      </c>
      <c r="D1457">
        <f>IF($B$4="life-table",(D1210+D1211)/2,IF($B$4="beginning",D1210,D1211))</f>
        <v/>
      </c>
      <c r="F1457">
        <f>((B1457*$B$246+C1457*$C$246+D1457*$D$246)+(B1457*$B$486+C1457*$C$486+D1457*$D$486)+(B1457*$B$726+C1457*$C$726+D1457*$D$726))/(1+$B$2)^(231)</f>
        <v/>
      </c>
      <c r="G1457">
        <f>((B1457*$B$966+C1457*$C$966+D1457*$D$966))/(1+$B$3)^(231)</f>
        <v/>
      </c>
    </row>
    <row r="1458">
      <c r="A1458" t="n">
        <v>233</v>
      </c>
      <c r="B1458">
        <f>IF($B$4="life-table",(B1211+B1212)/2,IF($B$4="beginning",B1211,B1212))</f>
        <v/>
      </c>
      <c r="C1458">
        <f>IF($B$4="life-table",(C1211+C1212)/2,IF($B$4="beginning",C1211,C1212))</f>
        <v/>
      </c>
      <c r="D1458">
        <f>IF($B$4="life-table",(D1211+D1212)/2,IF($B$4="beginning",D1211,D1212))</f>
        <v/>
      </c>
      <c r="F1458">
        <f>((B1458*$B$247+C1458*$C$247+D1458*$D$247)+(B1458*$B$487+C1458*$C$487+D1458*$D$487)+(B1458*$B$727+C1458*$C$727+D1458*$D$727))/(1+$B$2)^(232)</f>
        <v/>
      </c>
      <c r="G1458">
        <f>((B1458*$B$967+C1458*$C$967+D1458*$D$967))/(1+$B$3)^(232)</f>
        <v/>
      </c>
    </row>
    <row r="1459">
      <c r="A1459" t="n">
        <v>234</v>
      </c>
      <c r="B1459">
        <f>IF($B$4="life-table",(B1212+B1213)/2,IF($B$4="beginning",B1212,B1213))</f>
        <v/>
      </c>
      <c r="C1459">
        <f>IF($B$4="life-table",(C1212+C1213)/2,IF($B$4="beginning",C1212,C1213))</f>
        <v/>
      </c>
      <c r="D1459">
        <f>IF($B$4="life-table",(D1212+D1213)/2,IF($B$4="beginning",D1212,D1213))</f>
        <v/>
      </c>
      <c r="F1459">
        <f>((B1459*$B$248+C1459*$C$248+D1459*$D$248)+(B1459*$B$488+C1459*$C$488+D1459*$D$488)+(B1459*$B$728+C1459*$C$728+D1459*$D$728))/(1+$B$2)^(233)</f>
        <v/>
      </c>
      <c r="G1459">
        <f>((B1459*$B$968+C1459*$C$968+D1459*$D$968))/(1+$B$3)^(233)</f>
        <v/>
      </c>
    </row>
    <row r="1460">
      <c r="A1460" t="n">
        <v>235</v>
      </c>
      <c r="B1460">
        <f>IF($B$4="life-table",(B1213+B1214)/2,IF($B$4="beginning",B1213,B1214))</f>
        <v/>
      </c>
      <c r="C1460">
        <f>IF($B$4="life-table",(C1213+C1214)/2,IF($B$4="beginning",C1213,C1214))</f>
        <v/>
      </c>
      <c r="D1460">
        <f>IF($B$4="life-table",(D1213+D1214)/2,IF($B$4="beginning",D1213,D1214))</f>
        <v/>
      </c>
      <c r="F1460">
        <f>((B1460*$B$249+C1460*$C$249+D1460*$D$249)+(B1460*$B$489+C1460*$C$489+D1460*$D$489)+(B1460*$B$729+C1460*$C$729+D1460*$D$729))/(1+$B$2)^(234)</f>
        <v/>
      </c>
      <c r="G1460">
        <f>((B1460*$B$969+C1460*$C$969+D1460*$D$969))/(1+$B$3)^(234)</f>
        <v/>
      </c>
    </row>
    <row r="1461">
      <c r="A1461" t="n">
        <v>236</v>
      </c>
      <c r="B1461">
        <f>IF($B$4="life-table",(B1214+B1215)/2,IF($B$4="beginning",B1214,B1215))</f>
        <v/>
      </c>
      <c r="C1461">
        <f>IF($B$4="life-table",(C1214+C1215)/2,IF($B$4="beginning",C1214,C1215))</f>
        <v/>
      </c>
      <c r="D1461">
        <f>IF($B$4="life-table",(D1214+D1215)/2,IF($B$4="beginning",D1214,D1215))</f>
        <v/>
      </c>
      <c r="F1461">
        <f>((B1461*$B$250+C1461*$C$250+D1461*$D$250)+(B1461*$B$490+C1461*$C$490+D1461*$D$490)+(B1461*$B$730+C1461*$C$730+D1461*$D$730))/(1+$B$2)^(235)</f>
        <v/>
      </c>
      <c r="G1461">
        <f>((B1461*$B$970+C1461*$C$970+D1461*$D$970))/(1+$B$3)^(235)</f>
        <v/>
      </c>
    </row>
    <row r="1462">
      <c r="A1462" t="n">
        <v>237</v>
      </c>
      <c r="B1462">
        <f>IF($B$4="life-table",(B1215+B1216)/2,IF($B$4="beginning",B1215,B1216))</f>
        <v/>
      </c>
      <c r="C1462">
        <f>IF($B$4="life-table",(C1215+C1216)/2,IF($B$4="beginning",C1215,C1216))</f>
        <v/>
      </c>
      <c r="D1462">
        <f>IF($B$4="life-table",(D1215+D1216)/2,IF($B$4="beginning",D1215,D1216))</f>
        <v/>
      </c>
      <c r="F1462">
        <f>((B1462*$B$251+C1462*$C$251+D1462*$D$251)+(B1462*$B$491+C1462*$C$491+D1462*$D$491)+(B1462*$B$731+C1462*$C$731+D1462*$D$731))/(1+$B$2)^(236)</f>
        <v/>
      </c>
      <c r="G1462">
        <f>((B1462*$B$971+C1462*$C$971+D1462*$D$971))/(1+$B$3)^(236)</f>
        <v/>
      </c>
    </row>
    <row r="1463">
      <c r="A1463" t="n">
        <v>238</v>
      </c>
      <c r="B1463">
        <f>IF($B$4="life-table",(B1216+B1217)/2,IF($B$4="beginning",B1216,B1217))</f>
        <v/>
      </c>
      <c r="C1463">
        <f>IF($B$4="life-table",(C1216+C1217)/2,IF($B$4="beginning",C1216,C1217))</f>
        <v/>
      </c>
      <c r="D1463">
        <f>IF($B$4="life-table",(D1216+D1217)/2,IF($B$4="beginning",D1216,D1217))</f>
        <v/>
      </c>
      <c r="F1463">
        <f>((B1463*$B$252+C1463*$C$252+D1463*$D$252)+(B1463*$B$492+C1463*$C$492+D1463*$D$492)+(B1463*$B$732+C1463*$C$732+D1463*$D$732))/(1+$B$2)^(237)</f>
        <v/>
      </c>
      <c r="G1463">
        <f>((B1463*$B$972+C1463*$C$972+D1463*$D$972))/(1+$B$3)^(237)</f>
        <v/>
      </c>
    </row>
    <row r="1464">
      <c r="A1464" t="n">
        <v>239</v>
      </c>
      <c r="B1464">
        <f>IF($B$4="life-table",(B1217+B1218)/2,IF($B$4="beginning",B1217,B1218))</f>
        <v/>
      </c>
      <c r="C1464">
        <f>IF($B$4="life-table",(C1217+C1218)/2,IF($B$4="beginning",C1217,C1218))</f>
        <v/>
      </c>
      <c r="D1464">
        <f>IF($B$4="life-table",(D1217+D1218)/2,IF($B$4="beginning",D1217,D1218))</f>
        <v/>
      </c>
      <c r="F1464">
        <f>((B1464*$B$253+C1464*$C$253+D1464*$D$253)+(B1464*$B$493+C1464*$C$493+D1464*$D$493)+(B1464*$B$733+C1464*$C$733+D1464*$D$733))/(1+$B$2)^(238)</f>
        <v/>
      </c>
      <c r="G1464">
        <f>((B1464*$B$973+C1464*$C$973+D1464*$D$973))/(1+$B$3)^(238)</f>
        <v/>
      </c>
    </row>
    <row r="1465">
      <c r="A1465" t="n">
        <v>240</v>
      </c>
      <c r="B1465">
        <f>IF($B$4="life-table",(B1218+B1219)/2,IF($B$4="beginning",B1218,B1219))</f>
        <v/>
      </c>
      <c r="C1465">
        <f>IF($B$4="life-table",(C1218+C1219)/2,IF($B$4="beginning",C1218,C1219))</f>
        <v/>
      </c>
      <c r="D1465">
        <f>IF($B$4="life-table",(D1218+D1219)/2,IF($B$4="beginning",D1218,D1219))</f>
        <v/>
      </c>
      <c r="F1465">
        <f>((B1465*$B$254+C1465*$C$254+D1465*$D$254)+(B1465*$B$494+C1465*$C$494+D1465*$D$494)+(B1465*$B$734+C1465*$C$734+D1465*$D$734))/(1+$B$2)^(239)</f>
        <v/>
      </c>
      <c r="G1465">
        <f>((B1465*$B$974+C1465*$C$974+D1465*$D$974))/(1+$B$3)^(239)</f>
        <v/>
      </c>
    </row>
  </sheetData>
  <dataValidations count="1">
    <dataValidation sqref="B4" showDropDown="0" showInputMessage="0" showErrorMessage="0" allowBlank="0" type="list">
      <formula1>"beginning,end,life-table"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2026-09-30T03:27:07Z</dcterms:created>
  <dcterms:modified xsi:type="dcterms:W3CDTF">2026-09-30T03:27:07Z</dcterms:modified>
</cp:coreProperties>
</file>